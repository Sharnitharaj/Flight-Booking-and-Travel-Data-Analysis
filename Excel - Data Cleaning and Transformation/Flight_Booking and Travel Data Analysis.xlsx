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lines" sheetId="1" r:id="rId4"/>
    <sheet state="visible" name="Bookings" sheetId="2" r:id="rId5"/>
    <sheet state="visible" name="Flights" sheetId="3" r:id="rId6"/>
    <sheet state="visible" name="Routes" sheetId="4" r:id="rId7"/>
    <sheet state="visible" name="Analysis" sheetId="5" r:id="rId8"/>
    <sheet state="visible" name="Pivot Table" sheetId="6" r:id="rId9"/>
    <sheet state="visible" name="Descriptive Statistics" sheetId="7" r:id="rId10"/>
  </sheets>
  <definedNames>
    <definedName name="_xlcn.WorksheetConnection_FlightBookingandTravelDataAnalysis11.xlsxTable51">#REF!</definedName>
    <definedName name="_xlcn.WorksheetConnection_FlightBookingandTravelDataAnalysis.xlsxTable11">#REF!</definedName>
    <definedName name="_xlcn.WorksheetConnection_FlightBookingandTravelDataAnalysis11.xlsxTable21">#REF!</definedName>
    <definedName name="_xlcn.WorksheetConnection_FlightBookingandTravelDataAnalysis11.xlsxTable41">#REF!</definedName>
    <definedName hidden="1" localSheetId="3" name="Z_454B3B68_2B76_42B1_88DA_FD5EC81CFC76_.wvu.FilterData">Routes!$A$1:$L$31</definedName>
    <definedName hidden="1" localSheetId="2" name="Z_ECC150A9_33BF_487E_8243_9CA82F228D88_.wvu.FilterData">Flights!$A$1:$K$1201</definedName>
    <definedName hidden="1" localSheetId="0" name="Z_7FB1E0F8_6E8B_407E_95DF_8FAAE293DEAA_.wvu.FilterData">Airlines!$A$1:$J$7</definedName>
    <definedName hidden="1" localSheetId="4" name="Z_EE9066A9_E1C7_40D4_8750_FDB0F1CF95E3_.wvu.FilterData">Analysis!$A$1:$P$1201</definedName>
    <definedName hidden="1" localSheetId="1" name="Z_725881A9_0859_4152_AA44_92BD64AB7DF8_.wvu.FilterData">Bookings!$A$1:$K$1201</definedName>
  </definedNames>
  <calcPr/>
  <customWorkbookViews>
    <customWorkbookView activeSheetId="0" maximized="1" windowHeight="0" windowWidth="0" guid="{454B3B68-2B76-42B1-88DA-FD5EC81CFC76}" name="Table4 filter view"/>
    <customWorkbookView activeSheetId="0" maximized="1" windowHeight="0" windowWidth="0" guid="{ECC150A9-33BF-487E-8243-9CA82F228D88}" name="Table3 filter view"/>
    <customWorkbookView activeSheetId="0" maximized="1" windowHeight="0" windowWidth="0" guid="{7FB1E0F8-6E8B-407E-95DF-8FAAE293DEAA}" name="Table1 filter view"/>
    <customWorkbookView activeSheetId="0" maximized="1" windowHeight="0" windowWidth="0" guid="{EE9066A9-E1C7-40D4-8750-FDB0F1CF95E3}" name="Table5 filter view"/>
    <customWorkbookView activeSheetId="0" maximized="1" windowHeight="0" windowWidth="0" guid="{725881A9-0859-4152-AA44-92BD64AB7DF8}" name="Table2 filter view"/>
  </customWorkbookViews>
  <extLst>
    <ext uri="GoogleSheetsCustomDataVersion2">
      <go:sheetsCustomData xmlns:go="http://customooxmlschemas.google.com/" r:id="rId11" roundtripDataChecksum="WtwJnaRLcaHvcJZb6+vTjYek1x5jhIiP4jvUGT6r42A="/>
    </ext>
  </extLst>
</workbook>
</file>

<file path=xl/sharedStrings.xml><?xml version="1.0" encoding="utf-8"?>
<sst xmlns="http://schemas.openxmlformats.org/spreadsheetml/2006/main" count="23223" uniqueCount="3116">
  <si>
    <t>Booking_Id</t>
  </si>
  <si>
    <t>Flight_Id</t>
  </si>
  <si>
    <t>Airline_Id</t>
  </si>
  <si>
    <t>Route_Id</t>
  </si>
  <si>
    <t>Flight_Code</t>
  </si>
  <si>
    <t>Airline_Name</t>
  </si>
  <si>
    <t>Class</t>
  </si>
  <si>
    <t>Source_City</t>
  </si>
  <si>
    <t>Stops</t>
  </si>
  <si>
    <t>Destination_City</t>
  </si>
  <si>
    <t>Duration</t>
  </si>
  <si>
    <t>Departure_Time</t>
  </si>
  <si>
    <t>Days_Left</t>
  </si>
  <si>
    <t>Arrival_Time</t>
  </si>
  <si>
    <t>Booking_Window</t>
  </si>
  <si>
    <t>Price</t>
  </si>
  <si>
    <t>Route</t>
  </si>
  <si>
    <t>FLT22651</t>
  </si>
  <si>
    <t>Total_Bookings</t>
  </si>
  <si>
    <t>BK1000</t>
  </si>
  <si>
    <t>AL105</t>
  </si>
  <si>
    <t>unique_flights</t>
  </si>
  <si>
    <t>UK-811</t>
  </si>
  <si>
    <t>FLT10002</t>
  </si>
  <si>
    <t>Unique_Flights</t>
  </si>
  <si>
    <t>Routes_Covered</t>
  </si>
  <si>
    <t>RT1</t>
  </si>
  <si>
    <t>Delhi</t>
  </si>
  <si>
    <t>Airlines_Serving</t>
  </si>
  <si>
    <t>AL100</t>
  </si>
  <si>
    <t>Avg_Price</t>
  </si>
  <si>
    <t>Mumbai</t>
  </si>
  <si>
    <t>AirAsia</t>
  </si>
  <si>
    <t>Morning</t>
  </si>
  <si>
    <t>Economy</t>
  </si>
  <si>
    <t>Night</t>
  </si>
  <si>
    <t>Min_Price</t>
  </si>
  <si>
    <t>0</t>
  </si>
  <si>
    <t>Max_Price</t>
  </si>
  <si>
    <t>Economy_Bookings</t>
  </si>
  <si>
    <t>Business_Bookings</t>
  </si>
  <si>
    <t>Avg_Duration_Hrs</t>
  </si>
  <si>
    <t>FLT10081</t>
  </si>
  <si>
    <t>AL103</t>
  </si>
  <si>
    <t>6E-2102</t>
  </si>
  <si>
    <t>AL101</t>
  </si>
  <si>
    <t>BK1001</t>
  </si>
  <si>
    <t>Afternoon</t>
  </si>
  <si>
    <t>FLT10006</t>
  </si>
  <si>
    <t>Air_India</t>
  </si>
  <si>
    <t>FLT10140</t>
  </si>
  <si>
    <t>AI-544</t>
  </si>
  <si>
    <t>Vistara</t>
  </si>
  <si>
    <t>Business</t>
  </si>
  <si>
    <t>Evening</t>
  </si>
  <si>
    <t>FLT10079</t>
  </si>
  <si>
    <t>BK1002</t>
  </si>
  <si>
    <t>FLT10010</t>
  </si>
  <si>
    <t>AL102</t>
  </si>
  <si>
    <t>Go_First</t>
  </si>
  <si>
    <t>FLT10271</t>
  </si>
  <si>
    <t>6E-2137</t>
  </si>
  <si>
    <t>BK1003</t>
  </si>
  <si>
    <t>FLT10030</t>
  </si>
  <si>
    <t>FLT10229</t>
  </si>
  <si>
    <t>UK-835</t>
  </si>
  <si>
    <t>1</t>
  </si>
  <si>
    <t>FLT10429</t>
  </si>
  <si>
    <t>Indigo</t>
  </si>
  <si>
    <t>G8-713</t>
  </si>
  <si>
    <t>FLT10400</t>
  </si>
  <si>
    <t>G8-119</t>
  </si>
  <si>
    <t>AL104</t>
  </si>
  <si>
    <t>Spicejet</t>
  </si>
  <si>
    <t>BK1004</t>
  </si>
  <si>
    <t>FLT10070</t>
  </si>
  <si>
    <t>FLT10082</t>
  </si>
  <si>
    <t>AI-801</t>
  </si>
  <si>
    <t>FLT10305</t>
  </si>
  <si>
    <t>G8-717</t>
  </si>
  <si>
    <t>BK1005</t>
  </si>
  <si>
    <t>FLT10073</t>
  </si>
  <si>
    <t>FLT10185</t>
  </si>
  <si>
    <t>AI-504</t>
  </si>
  <si>
    <t>G8-392</t>
  </si>
  <si>
    <t>BK1006</t>
  </si>
  <si>
    <t>FLT10077</t>
  </si>
  <si>
    <t>FLT10083</t>
  </si>
  <si>
    <t>UK-637</t>
  </si>
  <si>
    <t>BK1007</t>
  </si>
  <si>
    <t>FLT10222</t>
  </si>
  <si>
    <t>FLT10078</t>
  </si>
  <si>
    <t>UK-879</t>
  </si>
  <si>
    <t>FLT10265</t>
  </si>
  <si>
    <t>AI-512</t>
  </si>
  <si>
    <t>BK1008</t>
  </si>
  <si>
    <t>FLT10084</t>
  </si>
  <si>
    <t>UK-747</t>
  </si>
  <si>
    <t>FLT10522</t>
  </si>
  <si>
    <t>G8-108</t>
  </si>
  <si>
    <t>BK1009</t>
  </si>
  <si>
    <t>UK-927</t>
  </si>
  <si>
    <t>BK1010</t>
  </si>
  <si>
    <t>FLT10275</t>
  </si>
  <si>
    <t>6E-926</t>
  </si>
  <si>
    <t>FLT10408</t>
  </si>
  <si>
    <t>BK1011</t>
  </si>
  <si>
    <t>G8-323</t>
  </si>
  <si>
    <t>RT2</t>
  </si>
  <si>
    <t>Bengaluru</t>
  </si>
  <si>
    <t>FLT10431</t>
  </si>
  <si>
    <t>6E-607</t>
  </si>
  <si>
    <t>BK1012</t>
  </si>
  <si>
    <t>FLT10155</t>
  </si>
  <si>
    <t>G8-188</t>
  </si>
  <si>
    <t>FLT10131</t>
  </si>
  <si>
    <t>AI-636</t>
  </si>
  <si>
    <t>BK1013</t>
  </si>
  <si>
    <t>FLT10086</t>
  </si>
  <si>
    <t>FLT10109</t>
  </si>
  <si>
    <t>UK-705</t>
  </si>
  <si>
    <t>BK1014</t>
  </si>
  <si>
    <t>UK-871</t>
  </si>
  <si>
    <t>FLT10235</t>
  </si>
  <si>
    <t>AI-439</t>
  </si>
  <si>
    <t>BK1015</t>
  </si>
  <si>
    <t>BK1016</t>
  </si>
  <si>
    <t>BK1017</t>
  </si>
  <si>
    <t>FLT10145</t>
  </si>
  <si>
    <t>BK1018</t>
  </si>
  <si>
    <t>FLT10153</t>
  </si>
  <si>
    <t>RT3</t>
  </si>
  <si>
    <t>Kolkata</t>
  </si>
  <si>
    <t>BK1019</t>
  </si>
  <si>
    <t>AI-764</t>
  </si>
  <si>
    <t>FLT10365</t>
  </si>
  <si>
    <t>6E-5329</t>
  </si>
  <si>
    <t>UK-899</t>
  </si>
  <si>
    <t>BK1020</t>
  </si>
  <si>
    <t>FLT10508</t>
  </si>
  <si>
    <t>6E-2176</t>
  </si>
  <si>
    <t>G8-165</t>
  </si>
  <si>
    <t>BK1021</t>
  </si>
  <si>
    <t>FLT10204</t>
  </si>
  <si>
    <t>AI-811</t>
  </si>
  <si>
    <t>BK1022</t>
  </si>
  <si>
    <t>FLT10395</t>
  </si>
  <si>
    <t>6E-369</t>
  </si>
  <si>
    <t>UK-809</t>
  </si>
  <si>
    <t>BK1023</t>
  </si>
  <si>
    <t>AI-885</t>
  </si>
  <si>
    <t>BK1024</t>
  </si>
  <si>
    <t>RT4</t>
  </si>
  <si>
    <t>FLT10404</t>
  </si>
  <si>
    <t>Hyderabad</t>
  </si>
  <si>
    <t>BK1025</t>
  </si>
  <si>
    <t>FLT10255</t>
  </si>
  <si>
    <t>UK-819</t>
  </si>
  <si>
    <t>BK1026</t>
  </si>
  <si>
    <t>I5-764</t>
  </si>
  <si>
    <t>BK1027</t>
  </si>
  <si>
    <t>FLT14909</t>
  </si>
  <si>
    <t>I5-338</t>
  </si>
  <si>
    <t>RT10</t>
  </si>
  <si>
    <t>Chennai</t>
  </si>
  <si>
    <t>BK1028</t>
  </si>
  <si>
    <t>FLT14615</t>
  </si>
  <si>
    <t>UK-944</t>
  </si>
  <si>
    <t>BK1029</t>
  </si>
  <si>
    <t>FLT14597</t>
  </si>
  <si>
    <t>AI-442</t>
  </si>
  <si>
    <t>BK1030</t>
  </si>
  <si>
    <t>FLT14896</t>
  </si>
  <si>
    <t>6E-354</t>
  </si>
  <si>
    <t>RT5</t>
  </si>
  <si>
    <t>FLT14639</t>
  </si>
  <si>
    <t>BK1031</t>
  </si>
  <si>
    <t>6E-6809</t>
  </si>
  <si>
    <t>FLT14821</t>
  </si>
  <si>
    <t>UK-849</t>
  </si>
  <si>
    <t>2+</t>
  </si>
  <si>
    <t>FLT14658</t>
  </si>
  <si>
    <t>UK-960</t>
  </si>
  <si>
    <t>BK1032</t>
  </si>
  <si>
    <t>FLT14701</t>
  </si>
  <si>
    <t>AI-806</t>
  </si>
  <si>
    <t>BK1033</t>
  </si>
  <si>
    <t>FLT14887</t>
  </si>
  <si>
    <t>AI-867</t>
  </si>
  <si>
    <t>FLT14708</t>
  </si>
  <si>
    <t>BK1034</t>
  </si>
  <si>
    <t>AI-809</t>
  </si>
  <si>
    <t>FLT14815</t>
  </si>
  <si>
    <t>I5-942</t>
  </si>
  <si>
    <t>BK1035</t>
  </si>
  <si>
    <t>RT6</t>
  </si>
  <si>
    <t>FLT14621</t>
  </si>
  <si>
    <t>SG-251</t>
  </si>
  <si>
    <t>BK1036</t>
  </si>
  <si>
    <t>FLT14735</t>
  </si>
  <si>
    <t>UK-655</t>
  </si>
  <si>
    <t>FLT14637</t>
  </si>
  <si>
    <t>UK-996</t>
  </si>
  <si>
    <t>FLT14737</t>
  </si>
  <si>
    <t>AI-651</t>
  </si>
  <si>
    <t>FLT14860</t>
  </si>
  <si>
    <t>BK1037</t>
  </si>
  <si>
    <t>FLT14582</t>
  </si>
  <si>
    <t>6E-5208</t>
  </si>
  <si>
    <t>BK1038</t>
  </si>
  <si>
    <t>FLT14813</t>
  </si>
  <si>
    <t>AI-673</t>
  </si>
  <si>
    <t>BK1039</t>
  </si>
  <si>
    <t>FLT10542</t>
  </si>
  <si>
    <t>FLT14917</t>
  </si>
  <si>
    <t>6E-6094</t>
  </si>
  <si>
    <t>BK1040</t>
  </si>
  <si>
    <t>FLT10550</t>
  </si>
  <si>
    <t>FLT14683</t>
  </si>
  <si>
    <t>UK-928</t>
  </si>
  <si>
    <t>RT7</t>
  </si>
  <si>
    <t>BK1041</t>
  </si>
  <si>
    <t>FLT10571</t>
  </si>
  <si>
    <t>FLT14591</t>
  </si>
  <si>
    <t>BK1042</t>
  </si>
  <si>
    <t>FLT10595</t>
  </si>
  <si>
    <t>FLT14762</t>
  </si>
  <si>
    <t>UK-930</t>
  </si>
  <si>
    <t>BK1043</t>
  </si>
  <si>
    <t>FLT10603</t>
  </si>
  <si>
    <t>FLT14654</t>
  </si>
  <si>
    <t>UK-851</t>
  </si>
  <si>
    <t>FLT14819</t>
  </si>
  <si>
    <t>BK1044</t>
  </si>
  <si>
    <t>6E-5396</t>
  </si>
  <si>
    <t>FLT10609</t>
  </si>
  <si>
    <t>FLT14837</t>
  </si>
  <si>
    <t>G8-244</t>
  </si>
  <si>
    <t>BK1045</t>
  </si>
  <si>
    <t>FLT10612</t>
  </si>
  <si>
    <t>FLT14719</t>
  </si>
  <si>
    <t>UK-994</t>
  </si>
  <si>
    <t>FLT14807</t>
  </si>
  <si>
    <t>UK-986</t>
  </si>
  <si>
    <t>BK1046</t>
  </si>
  <si>
    <t>FLT10616</t>
  </si>
  <si>
    <t>FLT14776</t>
  </si>
  <si>
    <t>BK1047</t>
  </si>
  <si>
    <t>FLT10630</t>
  </si>
  <si>
    <t>FLT14775</t>
  </si>
  <si>
    <t>AI-675</t>
  </si>
  <si>
    <t>RT8</t>
  </si>
  <si>
    <t>FLT14951</t>
  </si>
  <si>
    <t>FLT14607</t>
  </si>
  <si>
    <t>6E-5338</t>
  </si>
  <si>
    <t>BK1048</t>
  </si>
  <si>
    <t>FLT10649</t>
  </si>
  <si>
    <t>FLT14690</t>
  </si>
  <si>
    <t>FLT14624</t>
  </si>
  <si>
    <t>BK1049</t>
  </si>
  <si>
    <t>6E-5312</t>
  </si>
  <si>
    <t>FLT10650</t>
  </si>
  <si>
    <t>FLT14942</t>
  </si>
  <si>
    <t>BK1050</t>
  </si>
  <si>
    <t>AI-888</t>
  </si>
  <si>
    <t>FLT10658</t>
  </si>
  <si>
    <t>SpiceJet</t>
  </si>
  <si>
    <t>FLT14870</t>
  </si>
  <si>
    <t>BK1051</t>
  </si>
  <si>
    <t>FLT10695</t>
  </si>
  <si>
    <t>FLT14696</t>
  </si>
  <si>
    <t>6E-5332</t>
  </si>
  <si>
    <t>BK1052</t>
  </si>
  <si>
    <t>FLT14645</t>
  </si>
  <si>
    <t>FLT10698</t>
  </si>
  <si>
    <t>UK-863</t>
  </si>
  <si>
    <t>RT9</t>
  </si>
  <si>
    <t>FLT14604</t>
  </si>
  <si>
    <t>UK-958</t>
  </si>
  <si>
    <t>BK1053</t>
  </si>
  <si>
    <t>FLT14734</t>
  </si>
  <si>
    <t>FLT10714</t>
  </si>
  <si>
    <t>FLT14758</t>
  </si>
  <si>
    <t>UK-950</t>
  </si>
  <si>
    <t>BK1054</t>
  </si>
  <si>
    <t>FLT10716</t>
  </si>
  <si>
    <t>FLT15002</t>
  </si>
  <si>
    <t>AI-573</t>
  </si>
  <si>
    <t>RT11</t>
  </si>
  <si>
    <t>BK1055</t>
  </si>
  <si>
    <t>Duration_Hrs</t>
  </si>
  <si>
    <t>Duration_Category</t>
  </si>
  <si>
    <t>FLT10771</t>
  </si>
  <si>
    <t>FLT15535</t>
  </si>
  <si>
    <t>Price_Category</t>
  </si>
  <si>
    <t>AI-772</t>
  </si>
  <si>
    <t>Routes</t>
  </si>
  <si>
    <t>FLT15035</t>
  </si>
  <si>
    <t>6E-415</t>
  </si>
  <si>
    <t>BK1056</t>
  </si>
  <si>
    <t>FLT10778</t>
  </si>
  <si>
    <t>BK1057</t>
  </si>
  <si>
    <t>FLT10787</t>
  </si>
  <si>
    <t>FLT15258</t>
  </si>
  <si>
    <t>I5-722</t>
  </si>
  <si>
    <t>FLT15062</t>
  </si>
  <si>
    <t>UK-852</t>
  </si>
  <si>
    <t>BK1058</t>
  </si>
  <si>
    <t>FLT10801</t>
  </si>
  <si>
    <t>FLT22746</t>
  </si>
  <si>
    <t>UK-850</t>
  </si>
  <si>
    <t>FLT15221</t>
  </si>
  <si>
    <t>BK1059</t>
  </si>
  <si>
    <t>FLT10805</t>
  </si>
  <si>
    <t>FLT15306</t>
  </si>
  <si>
    <t>BK1060</t>
  </si>
  <si>
    <t>FLT10815</t>
  </si>
  <si>
    <t>FLT15281</t>
  </si>
  <si>
    <t>UK-893</t>
  </si>
  <si>
    <t>BK1061</t>
  </si>
  <si>
    <t>FLT10821</t>
  </si>
  <si>
    <t>FLT15486</t>
  </si>
  <si>
    <t>6E-6386</t>
  </si>
  <si>
    <t>FLT15234</t>
  </si>
  <si>
    <t>BK1062</t>
  </si>
  <si>
    <t>AI-9505</t>
  </si>
  <si>
    <t>FLT10831</t>
  </si>
  <si>
    <t>FLT15440</t>
  </si>
  <si>
    <t>G8-385</t>
  </si>
  <si>
    <t>BK1063</t>
  </si>
  <si>
    <t>FLT15187</t>
  </si>
  <si>
    <t>FLT10897</t>
  </si>
  <si>
    <t>FLT15084</t>
  </si>
  <si>
    <t>SG-401</t>
  </si>
  <si>
    <t>FLT14955</t>
  </si>
  <si>
    <t>BK1064</t>
  </si>
  <si>
    <t>UK-802</t>
  </si>
  <si>
    <t>FLT10957</t>
  </si>
  <si>
    <t>FLT15180</t>
  </si>
  <si>
    <t>AI-610</t>
  </si>
  <si>
    <t>FLT15529</t>
  </si>
  <si>
    <t>AI-640</t>
  </si>
  <si>
    <t>BK1065</t>
  </si>
  <si>
    <t>FLT10968</t>
  </si>
  <si>
    <t>FLT15379</t>
  </si>
  <si>
    <t>6E-484</t>
  </si>
  <si>
    <t>FLT15137</t>
  </si>
  <si>
    <t>G8-146</t>
  </si>
  <si>
    <t>BK1066</t>
  </si>
  <si>
    <t>FLT10973</t>
  </si>
  <si>
    <t>FLT15351</t>
  </si>
  <si>
    <t>G8-399</t>
  </si>
  <si>
    <t>BK1067</t>
  </si>
  <si>
    <t>FLT10976</t>
  </si>
  <si>
    <t>FLT15327</t>
  </si>
  <si>
    <t>I5-1426</t>
  </si>
  <si>
    <t>BK1068</t>
  </si>
  <si>
    <t>FLT11043</t>
  </si>
  <si>
    <t>FLT15031</t>
  </si>
  <si>
    <t>BK1069</t>
  </si>
  <si>
    <t>FLT11055</t>
  </si>
  <si>
    <t>RT12</t>
  </si>
  <si>
    <t>FLT15200</t>
  </si>
  <si>
    <t>UK-814</t>
  </si>
  <si>
    <t>BK1070</t>
  </si>
  <si>
    <t>FLT11063</t>
  </si>
  <si>
    <t>FLT15008</t>
  </si>
  <si>
    <t>I5-1982</t>
  </si>
  <si>
    <t>BK1071</t>
  </si>
  <si>
    <t>FLT11065</t>
  </si>
  <si>
    <t>FLT15173</t>
  </si>
  <si>
    <t>BK1072</t>
  </si>
  <si>
    <t>FLT15476</t>
  </si>
  <si>
    <t>FLT11081</t>
  </si>
  <si>
    <t>G8-803</t>
  </si>
  <si>
    <t>FLT15201</t>
  </si>
  <si>
    <t>UK-812</t>
  </si>
  <si>
    <t>BK1073</t>
  </si>
  <si>
    <t>FLT11109</t>
  </si>
  <si>
    <t>FLT15335</t>
  </si>
  <si>
    <t>G8-395</t>
  </si>
  <si>
    <t>BK1074</t>
  </si>
  <si>
    <t>FLT11110</t>
  </si>
  <si>
    <t>FLT15452</t>
  </si>
  <si>
    <t>6E-638</t>
  </si>
  <si>
    <t>FLT15505</t>
  </si>
  <si>
    <t>BK1075</t>
  </si>
  <si>
    <t>G8-873</t>
  </si>
  <si>
    <t>FLT11112</t>
  </si>
  <si>
    <t>FLT14992</t>
  </si>
  <si>
    <t>BK1076</t>
  </si>
  <si>
    <t>FLT11137</t>
  </si>
  <si>
    <t>RT13</t>
  </si>
  <si>
    <t>FLT15098</t>
  </si>
  <si>
    <t>6E-6339</t>
  </si>
  <si>
    <t>BK1077</t>
  </si>
  <si>
    <t>FLT11138</t>
  </si>
  <si>
    <t>FLT15330</t>
  </si>
  <si>
    <t>G8-7547</t>
  </si>
  <si>
    <t>BK1078</t>
  </si>
  <si>
    <t>FLT15030</t>
  </si>
  <si>
    <t>FLT11163</t>
  </si>
  <si>
    <t>FLT15071</t>
  </si>
  <si>
    <t>BK1079</t>
  </si>
  <si>
    <t>FLT11167</t>
  </si>
  <si>
    <t>FLT15353</t>
  </si>
  <si>
    <t>BK1080</t>
  </si>
  <si>
    <t>FLT11170</t>
  </si>
  <si>
    <t>FLT15101</t>
  </si>
  <si>
    <t>I5-1621</t>
  </si>
  <si>
    <t>FLT15284</t>
  </si>
  <si>
    <t>BK1081</t>
  </si>
  <si>
    <t>FLT11171</t>
  </si>
  <si>
    <t>FLT15085</t>
  </si>
  <si>
    <t>UK-854</t>
  </si>
  <si>
    <t>BK1082</t>
  </si>
  <si>
    <t>FLT11191</t>
  </si>
  <si>
    <t>FLT15168</t>
  </si>
  <si>
    <t>FLT16072</t>
  </si>
  <si>
    <t>G8-116</t>
  </si>
  <si>
    <t>FLT15629</t>
  </si>
  <si>
    <t>BK1083</t>
  </si>
  <si>
    <t>FLT11216</t>
  </si>
  <si>
    <t>RT14</t>
  </si>
  <si>
    <t>FLT15690</t>
  </si>
  <si>
    <t>AI-501</t>
  </si>
  <si>
    <t>BK1084</t>
  </si>
  <si>
    <t>FLT11231</t>
  </si>
  <si>
    <t>FLT15964</t>
  </si>
  <si>
    <t>AI-516</t>
  </si>
  <si>
    <t>FLT16103</t>
  </si>
  <si>
    <t>BK1085</t>
  </si>
  <si>
    <t>FLT11234</t>
  </si>
  <si>
    <t>AI-776</t>
  </si>
  <si>
    <t>FLT15880</t>
  </si>
  <si>
    <t>AI-9927</t>
  </si>
  <si>
    <t>BK1086</t>
  </si>
  <si>
    <t>FLT11236</t>
  </si>
  <si>
    <t>FLT15747</t>
  </si>
  <si>
    <t>UK-657</t>
  </si>
  <si>
    <t>FLT15588</t>
  </si>
  <si>
    <t>AI-503</t>
  </si>
  <si>
    <t>BK1087</t>
  </si>
  <si>
    <t>FLT11238</t>
  </si>
  <si>
    <t>FLT15640</t>
  </si>
  <si>
    <t>6E-7223</t>
  </si>
  <si>
    <t>BK1088</t>
  </si>
  <si>
    <t>FLT15869</t>
  </si>
  <si>
    <t>FLT11243</t>
  </si>
  <si>
    <t>FLT16024</t>
  </si>
  <si>
    <t>6E-6012</t>
  </si>
  <si>
    <t>BK1089</t>
  </si>
  <si>
    <t>RT15</t>
  </si>
  <si>
    <t>FLT11251</t>
  </si>
  <si>
    <t>FLT15837</t>
  </si>
  <si>
    <t>BK1090</t>
  </si>
  <si>
    <t>FLT11262</t>
  </si>
  <si>
    <t>FLT16094</t>
  </si>
  <si>
    <t>BK1091</t>
  </si>
  <si>
    <t>FLT11265</t>
  </si>
  <si>
    <t>FLT15843</t>
  </si>
  <si>
    <t>G8-790</t>
  </si>
  <si>
    <t>FLT16090</t>
  </si>
  <si>
    <t>BK1092</t>
  </si>
  <si>
    <t>FLT11301</t>
  </si>
  <si>
    <t>AI-9547</t>
  </si>
  <si>
    <t>FLT15642</t>
  </si>
  <si>
    <t>UK-808</t>
  </si>
  <si>
    <t>BK1093</t>
  </si>
  <si>
    <t>FLT11309</t>
  </si>
  <si>
    <t>FLT15823</t>
  </si>
  <si>
    <t>BK1094</t>
  </si>
  <si>
    <t>FLT15724</t>
  </si>
  <si>
    <t>FLT11319</t>
  </si>
  <si>
    <t>I5-1622</t>
  </si>
  <si>
    <t>RT16</t>
  </si>
  <si>
    <t>FLT15660</t>
  </si>
  <si>
    <t>BK1095</t>
  </si>
  <si>
    <t>FLT11341</t>
  </si>
  <si>
    <t>FLT15839</t>
  </si>
  <si>
    <t>UK-810</t>
  </si>
  <si>
    <t>BK1096</t>
  </si>
  <si>
    <t>FLT11356</t>
  </si>
  <si>
    <t>FLT15632</t>
  </si>
  <si>
    <t>FLT16028</t>
  </si>
  <si>
    <t>BK1097</t>
  </si>
  <si>
    <t>6E-575</t>
  </si>
  <si>
    <t>FLT11383</t>
  </si>
  <si>
    <t>FLT16073</t>
  </si>
  <si>
    <t>G8-118</t>
  </si>
  <si>
    <t>BK1098</t>
  </si>
  <si>
    <t>FLT15870</t>
  </si>
  <si>
    <t>FLT11386</t>
  </si>
  <si>
    <t>FLT15924</t>
  </si>
  <si>
    <t>BK1099</t>
  </si>
  <si>
    <t>FLT11388</t>
  </si>
  <si>
    <t>FLT15635</t>
  </si>
  <si>
    <t>BK1100</t>
  </si>
  <si>
    <t>FLT15803</t>
  </si>
  <si>
    <t>FLT11418</t>
  </si>
  <si>
    <t>AI-804</t>
  </si>
  <si>
    <t>FLT22764</t>
  </si>
  <si>
    <t>BK1101</t>
  </si>
  <si>
    <t>FLT11460</t>
  </si>
  <si>
    <t>RT17</t>
  </si>
  <si>
    <t>FLT15797</t>
  </si>
  <si>
    <t>UK-897</t>
  </si>
  <si>
    <t>BK1102</t>
  </si>
  <si>
    <t>FLT15631</t>
  </si>
  <si>
    <t>FLT11479</t>
  </si>
  <si>
    <t>FLT16096</t>
  </si>
  <si>
    <t>BK1103</t>
  </si>
  <si>
    <t>FLT11483</t>
  </si>
  <si>
    <t>BK1104</t>
  </si>
  <si>
    <t>FLT15952</t>
  </si>
  <si>
    <t>FLT11495</t>
  </si>
  <si>
    <t>RT18</t>
  </si>
  <si>
    <t>FLT15991</t>
  </si>
  <si>
    <t>BK1105</t>
  </si>
  <si>
    <t>G8-812</t>
  </si>
  <si>
    <t>FLT11496</t>
  </si>
  <si>
    <t>FLT16095</t>
  </si>
  <si>
    <t>AI-523</t>
  </si>
  <si>
    <t>BK1106</t>
  </si>
  <si>
    <t>FLT11531</t>
  </si>
  <si>
    <t>FLT15793</t>
  </si>
  <si>
    <t>BK1107</t>
  </si>
  <si>
    <t>FLT11558</t>
  </si>
  <si>
    <t>BK1108</t>
  </si>
  <si>
    <t>FLT11583</t>
  </si>
  <si>
    <t>FLT15614</t>
  </si>
  <si>
    <t>BK1109</t>
  </si>
  <si>
    <t>FLT11625</t>
  </si>
  <si>
    <t>RT19</t>
  </si>
  <si>
    <t>FLT15569</t>
  </si>
  <si>
    <t>BK1110</t>
  </si>
  <si>
    <t>FLT11629</t>
  </si>
  <si>
    <t>FLT15751</t>
  </si>
  <si>
    <t>BK1111</t>
  </si>
  <si>
    <t>FLT11647</t>
  </si>
  <si>
    <t>BK1112</t>
  </si>
  <si>
    <t>FLT15565</t>
  </si>
  <si>
    <t>FLT11656</t>
  </si>
  <si>
    <t>BK1113</t>
  </si>
  <si>
    <t>FLT11666</t>
  </si>
  <si>
    <t>FLT15649</t>
  </si>
  <si>
    <t>BK1114</t>
  </si>
  <si>
    <t>FLT11678</t>
  </si>
  <si>
    <t>FLT16337</t>
  </si>
  <si>
    <t>RT20</t>
  </si>
  <si>
    <t>FLT16142</t>
  </si>
  <si>
    <t>BK1115</t>
  </si>
  <si>
    <t>FLT11679</t>
  </si>
  <si>
    <t>FLT16151</t>
  </si>
  <si>
    <t>BK1116</t>
  </si>
  <si>
    <t>FLT11689</t>
  </si>
  <si>
    <t>BK1117</t>
  </si>
  <si>
    <t>FLT11695</t>
  </si>
  <si>
    <t>FLT16334</t>
  </si>
  <si>
    <t>BK1118</t>
  </si>
  <si>
    <t>FLT16236</t>
  </si>
  <si>
    <t>FLT11702</t>
  </si>
  <si>
    <t>AI-9517</t>
  </si>
  <si>
    <t>FLT16315</t>
  </si>
  <si>
    <t>RT21</t>
  </si>
  <si>
    <t>FLT16512</t>
  </si>
  <si>
    <t>6E-886</t>
  </si>
  <si>
    <t>FLT16323</t>
  </si>
  <si>
    <t>UK-846</t>
  </si>
  <si>
    <t>BK1119</t>
  </si>
  <si>
    <t>FLT11705</t>
  </si>
  <si>
    <t>FLT22781</t>
  </si>
  <si>
    <t>BK1120</t>
  </si>
  <si>
    <t>FLT11713</t>
  </si>
  <si>
    <t>FLT16189</t>
  </si>
  <si>
    <t>FLT22778</t>
  </si>
  <si>
    <t>BK1121</t>
  </si>
  <si>
    <t>FLT11719</t>
  </si>
  <si>
    <t>AI-505</t>
  </si>
  <si>
    <t>BK1122</t>
  </si>
  <si>
    <t>FLT11722</t>
  </si>
  <si>
    <t>FLT16508</t>
  </si>
  <si>
    <t>SG-517</t>
  </si>
  <si>
    <t>FLT16188</t>
  </si>
  <si>
    <t>BK1123</t>
  </si>
  <si>
    <t>FLT11735</t>
  </si>
  <si>
    <t>FLT16553</t>
  </si>
  <si>
    <t>FLT16389</t>
  </si>
  <si>
    <t>BK1124</t>
  </si>
  <si>
    <t>FLT11737</t>
  </si>
  <si>
    <t>RT22</t>
  </si>
  <si>
    <t>FLT16488</t>
  </si>
  <si>
    <t>BK1125</t>
  </si>
  <si>
    <t>FLT11743</t>
  </si>
  <si>
    <t>FLT16182</t>
  </si>
  <si>
    <t>AI-507</t>
  </si>
  <si>
    <t>BK1126</t>
  </si>
  <si>
    <t>FLT11752</t>
  </si>
  <si>
    <t>FLT16205</t>
  </si>
  <si>
    <t>BK1127</t>
  </si>
  <si>
    <t>FLT11756</t>
  </si>
  <si>
    <t>FLT16269</t>
  </si>
  <si>
    <t>SG-5073</t>
  </si>
  <si>
    <t>FLT16112</t>
  </si>
  <si>
    <t>BK1128</t>
  </si>
  <si>
    <t>FLT11781</t>
  </si>
  <si>
    <t>I5-996</t>
  </si>
  <si>
    <t>FLT16502</t>
  </si>
  <si>
    <t>6E-368</t>
  </si>
  <si>
    <t>BK1129</t>
  </si>
  <si>
    <t>FLT11788</t>
  </si>
  <si>
    <t>FLT16194</t>
  </si>
  <si>
    <t>UK-818</t>
  </si>
  <si>
    <t>FLT16390</t>
  </si>
  <si>
    <t>BK1130</t>
  </si>
  <si>
    <t>FLT11794</t>
  </si>
  <si>
    <t>RT23</t>
  </si>
  <si>
    <t>FLT16465</t>
  </si>
  <si>
    <t>6E-684</t>
  </si>
  <si>
    <t>FLT16530</t>
  </si>
  <si>
    <t>BK1131</t>
  </si>
  <si>
    <t>FLT11799</t>
  </si>
  <si>
    <t>FLT16526</t>
  </si>
  <si>
    <t>G8-320</t>
  </si>
  <si>
    <t>BK1132</t>
  </si>
  <si>
    <t>FLT11806</t>
  </si>
  <si>
    <t>FLT16284</t>
  </si>
  <si>
    <t>FLT16288</t>
  </si>
  <si>
    <t>AI-738</t>
  </si>
  <si>
    <t>BK1133</t>
  </si>
  <si>
    <t>FLT16130</t>
  </si>
  <si>
    <t>I5-592</t>
  </si>
  <si>
    <t>FLT11817</t>
  </si>
  <si>
    <t>FLT16121</t>
  </si>
  <si>
    <t>FLT16538</t>
  </si>
  <si>
    <t>BK1134</t>
  </si>
  <si>
    <t>FLT11828</t>
  </si>
  <si>
    <t>FLT16558</t>
  </si>
  <si>
    <t>AI-564</t>
  </si>
  <si>
    <t>FLT16185</t>
  </si>
  <si>
    <t>RT24</t>
  </si>
  <si>
    <t>SG-327</t>
  </si>
  <si>
    <t>BK1135</t>
  </si>
  <si>
    <t>FLT16346</t>
  </si>
  <si>
    <t>I5-5405</t>
  </si>
  <si>
    <t>FLT11833</t>
  </si>
  <si>
    <t>FLT16398</t>
  </si>
  <si>
    <t>FLT16426</t>
  </si>
  <si>
    <t>BK1136</t>
  </si>
  <si>
    <t>FLT11843</t>
  </si>
  <si>
    <t>FLT16167</t>
  </si>
  <si>
    <t>6E-6491</t>
  </si>
  <si>
    <t>FLT16202</t>
  </si>
  <si>
    <t>6E-6326</t>
  </si>
  <si>
    <t>BK1137</t>
  </si>
  <si>
    <t>FLT11848</t>
  </si>
  <si>
    <t>FLT16531</t>
  </si>
  <si>
    <t>6E-524</t>
  </si>
  <si>
    <t>FLT16191</t>
  </si>
  <si>
    <t>FLT16891</t>
  </si>
  <si>
    <t>BK1138</t>
  </si>
  <si>
    <t>FLT11853</t>
  </si>
  <si>
    <t>FLT16597</t>
  </si>
  <si>
    <t>BK1139</t>
  </si>
  <si>
    <t>FLT11862</t>
  </si>
  <si>
    <t>FLT16579</t>
  </si>
  <si>
    <t>6E-7257</t>
  </si>
  <si>
    <t>FLT16878</t>
  </si>
  <si>
    <t>BK1140</t>
  </si>
  <si>
    <t>G8-285</t>
  </si>
  <si>
    <t>FLT11872</t>
  </si>
  <si>
    <t>RT25</t>
  </si>
  <si>
    <t>FLT16621</t>
  </si>
  <si>
    <t>FLT16803</t>
  </si>
  <si>
    <t>BK1141</t>
  </si>
  <si>
    <t>FLT11874</t>
  </si>
  <si>
    <t>FLT16640</t>
  </si>
  <si>
    <t>BK1142</t>
  </si>
  <si>
    <t>FLT11879</t>
  </si>
  <si>
    <t>FLT16683</t>
  </si>
  <si>
    <t>FLT16869</t>
  </si>
  <si>
    <t>6E-537</t>
  </si>
  <si>
    <t>BK1143</t>
  </si>
  <si>
    <t>FLT11898</t>
  </si>
  <si>
    <t>FLT16690</t>
  </si>
  <si>
    <t>BK1144</t>
  </si>
  <si>
    <t>FLT11904</t>
  </si>
  <si>
    <t>FLT16797</t>
  </si>
  <si>
    <t>FLT16603</t>
  </si>
  <si>
    <t>BK1145</t>
  </si>
  <si>
    <t>FLT11912</t>
  </si>
  <si>
    <t>FLT16717</t>
  </si>
  <si>
    <t>BK1146</t>
  </si>
  <si>
    <t>FLT16619</t>
  </si>
  <si>
    <t>FLT11935</t>
  </si>
  <si>
    <t>UK-816</t>
  </si>
  <si>
    <t>FLT16719</t>
  </si>
  <si>
    <t>BK1147</t>
  </si>
  <si>
    <t>FLT11938</t>
  </si>
  <si>
    <t>RT26</t>
  </si>
  <si>
    <t>FLT16842</t>
  </si>
  <si>
    <t>6E-541</t>
  </si>
  <si>
    <t>FLT16564</t>
  </si>
  <si>
    <t>BK1148</t>
  </si>
  <si>
    <t>I5-1576</t>
  </si>
  <si>
    <t>FLT11947</t>
  </si>
  <si>
    <t>FLT16795</t>
  </si>
  <si>
    <t>BK1149</t>
  </si>
  <si>
    <t>FLT11965</t>
  </si>
  <si>
    <t>FLT16898</t>
  </si>
  <si>
    <t>BK1150</t>
  </si>
  <si>
    <t>FLT11978</t>
  </si>
  <si>
    <t>FLT16665</t>
  </si>
  <si>
    <t>I5-5204</t>
  </si>
  <si>
    <t>BK1151</t>
  </si>
  <si>
    <t>FLT16573</t>
  </si>
  <si>
    <t>FLT12002</t>
  </si>
  <si>
    <t>FLT16744</t>
  </si>
  <si>
    <t>BK1152</t>
  </si>
  <si>
    <t>FLT12006</t>
  </si>
  <si>
    <t>BK1153</t>
  </si>
  <si>
    <t>FLT16636</t>
  </si>
  <si>
    <t>FLT12016</t>
  </si>
  <si>
    <t>RT27</t>
  </si>
  <si>
    <t>6E-6017</t>
  </si>
  <si>
    <t>FLT16801</t>
  </si>
  <si>
    <t>BK1154</t>
  </si>
  <si>
    <t>FLT12029</t>
  </si>
  <si>
    <t>FLT16819</t>
  </si>
  <si>
    <t>6E-7071</t>
  </si>
  <si>
    <t>FLT16701</t>
  </si>
  <si>
    <t>BK1155</t>
  </si>
  <si>
    <t>SG-5093</t>
  </si>
  <si>
    <t>FLT12041</t>
  </si>
  <si>
    <t>FLT16789</t>
  </si>
  <si>
    <t>AI-565</t>
  </si>
  <si>
    <t>FLT16758</t>
  </si>
  <si>
    <t>BK1156</t>
  </si>
  <si>
    <t>FLT12062</t>
  </si>
  <si>
    <t>FLT16757</t>
  </si>
  <si>
    <t>BK1157</t>
  </si>
  <si>
    <t>FLT12071</t>
  </si>
  <si>
    <t>FLT22788</t>
  </si>
  <si>
    <t>BK1158</t>
  </si>
  <si>
    <t>FLT12087</t>
  </si>
  <si>
    <t>FLT16589</t>
  </si>
  <si>
    <t>BK1159</t>
  </si>
  <si>
    <t>FLT12102</t>
  </si>
  <si>
    <t>FLT16672</t>
  </si>
  <si>
    <t>FLT16606</t>
  </si>
  <si>
    <t>BK1160</t>
  </si>
  <si>
    <t>AI-808</t>
  </si>
  <si>
    <t>FLT12104</t>
  </si>
  <si>
    <t>RT28</t>
  </si>
  <si>
    <t>FLT16921</t>
  </si>
  <si>
    <t>BK1161</t>
  </si>
  <si>
    <t>FLT12107</t>
  </si>
  <si>
    <t>FLT16852</t>
  </si>
  <si>
    <t>6E-841</t>
  </si>
  <si>
    <t>FLT16678</t>
  </si>
  <si>
    <t>UK-858</t>
  </si>
  <si>
    <t>BK1162</t>
  </si>
  <si>
    <t>FLT12109</t>
  </si>
  <si>
    <t>FLT16627</t>
  </si>
  <si>
    <t>BK1163</t>
  </si>
  <si>
    <t>FLT12125</t>
  </si>
  <si>
    <t>FLT16586</t>
  </si>
  <si>
    <t>UK-820</t>
  </si>
  <si>
    <t>BK1164</t>
  </si>
  <si>
    <t>FLT12158</t>
  </si>
  <si>
    <t>FLT16716</t>
  </si>
  <si>
    <t>RT29</t>
  </si>
  <si>
    <t>BK1165</t>
  </si>
  <si>
    <t>FLT12172</t>
  </si>
  <si>
    <t>FLT16740</t>
  </si>
  <si>
    <t>6E-357</t>
  </si>
  <si>
    <t>BK1166</t>
  </si>
  <si>
    <t>FLT12173</t>
  </si>
  <si>
    <t>FLT17094</t>
  </si>
  <si>
    <t>I5-1530</t>
  </si>
  <si>
    <t>BK1167</t>
  </si>
  <si>
    <t>FLT12177</t>
  </si>
  <si>
    <t>FLT16935</t>
  </si>
  <si>
    <t>BK1168</t>
  </si>
  <si>
    <t>FLT12185</t>
  </si>
  <si>
    <t>BK1169</t>
  </si>
  <si>
    <t>FLT17040</t>
  </si>
  <si>
    <t>FLT12186</t>
  </si>
  <si>
    <t>BK1170</t>
  </si>
  <si>
    <t>FLT12189</t>
  </si>
  <si>
    <t>FLT17101</t>
  </si>
  <si>
    <t>G8-7548</t>
  </si>
  <si>
    <t>BK1171</t>
  </si>
  <si>
    <t>FLT12208</t>
  </si>
  <si>
    <t>BK1172</t>
  </si>
  <si>
    <t>FLT12216</t>
  </si>
  <si>
    <t>FLT17044</t>
  </si>
  <si>
    <t>RT30</t>
  </si>
  <si>
    <t>AI-9925</t>
  </si>
  <si>
    <t>BK1173</t>
  </si>
  <si>
    <t>FLT12225</t>
  </si>
  <si>
    <t>FLT17112</t>
  </si>
  <si>
    <t>BK1174</t>
  </si>
  <si>
    <t>FLT12227</t>
  </si>
  <si>
    <t>BK1175</t>
  </si>
  <si>
    <t>FLT12281</t>
  </si>
  <si>
    <t>FLT17128</t>
  </si>
  <si>
    <t>BK1176</t>
  </si>
  <si>
    <t>FLT12287</t>
  </si>
  <si>
    <t>FLT17164</t>
  </si>
  <si>
    <t>BK1177</t>
  </si>
  <si>
    <t>FLT12294</t>
  </si>
  <si>
    <t>BK1178</t>
  </si>
  <si>
    <t>FLT12300</t>
  </si>
  <si>
    <t>FLT16938</t>
  </si>
  <si>
    <t>BK1179</t>
  </si>
  <si>
    <t>FLT12307</t>
  </si>
  <si>
    <t>FLT16959</t>
  </si>
  <si>
    <t>BK1180</t>
  </si>
  <si>
    <t>FLT12313</t>
  </si>
  <si>
    <t>BK1181</t>
  </si>
  <si>
    <t>FLT12331</t>
  </si>
  <si>
    <t>BK1182</t>
  </si>
  <si>
    <t>FLT12346</t>
  </si>
  <si>
    <t>BK1183</t>
  </si>
  <si>
    <t>FLT12349</t>
  </si>
  <si>
    <t>BK1184</t>
  </si>
  <si>
    <t>FLT12361</t>
  </si>
  <si>
    <t>BK1185</t>
  </si>
  <si>
    <t>FLT16989</t>
  </si>
  <si>
    <t>FLT12373</t>
  </si>
  <si>
    <t>FLT17147</t>
  </si>
  <si>
    <t>BK1186</t>
  </si>
  <si>
    <t>FLT12379</t>
  </si>
  <si>
    <t>FLT17155</t>
  </si>
  <si>
    <t>BK1187</t>
  </si>
  <si>
    <t>FLT12389</t>
  </si>
  <si>
    <t>FLT17088</t>
  </si>
  <si>
    <t>BK1188</t>
  </si>
  <si>
    <t>FLT12435</t>
  </si>
  <si>
    <t>FLT16997</t>
  </si>
  <si>
    <t>BK1189</t>
  </si>
  <si>
    <t>FLT17077</t>
  </si>
  <si>
    <t>FLT12440</t>
  </si>
  <si>
    <t>FLT17125</t>
  </si>
  <si>
    <t>BK1190</t>
  </si>
  <si>
    <t>FLT12445</t>
  </si>
  <si>
    <t>FLT16944</t>
  </si>
  <si>
    <t>BK1191</t>
  </si>
  <si>
    <t>FLT12447</t>
  </si>
  <si>
    <t>BK1192</t>
  </si>
  <si>
    <t>FLT12450</t>
  </si>
  <si>
    <t>BK1193</t>
  </si>
  <si>
    <t>FLT12453</t>
  </si>
  <si>
    <t>FLT17030</t>
  </si>
  <si>
    <t>BK1194</t>
  </si>
  <si>
    <t>FLT12457</t>
  </si>
  <si>
    <t>FLT16953</t>
  </si>
  <si>
    <t>BK1195</t>
  </si>
  <si>
    <t>FLT12461</t>
  </si>
  <si>
    <t>BK1196</t>
  </si>
  <si>
    <t>FLT17015</t>
  </si>
  <si>
    <t>FLT12506</t>
  </si>
  <si>
    <t>BK1197</t>
  </si>
  <si>
    <t>FLT12523</t>
  </si>
  <si>
    <t>FLT16948</t>
  </si>
  <si>
    <t>BK1198</t>
  </si>
  <si>
    <t>FLT17046</t>
  </si>
  <si>
    <t>FLT12524</t>
  </si>
  <si>
    <t>BK1199</t>
  </si>
  <si>
    <t>FLT12526</t>
  </si>
  <si>
    <t>FLT17053</t>
  </si>
  <si>
    <t>BK1200</t>
  </si>
  <si>
    <t>FLT12528</t>
  </si>
  <si>
    <t>BK1201</t>
  </si>
  <si>
    <t>FLT12537</t>
  </si>
  <si>
    <t>FLT16962</t>
  </si>
  <si>
    <t>BK1202</t>
  </si>
  <si>
    <t>FLT12552</t>
  </si>
  <si>
    <t>SG-4009</t>
  </si>
  <si>
    <t>BK1203</t>
  </si>
  <si>
    <t>FLT12568</t>
  </si>
  <si>
    <t>FLT17171</t>
  </si>
  <si>
    <t>BK1204</t>
  </si>
  <si>
    <t>FLT12618</t>
  </si>
  <si>
    <t>BK1205</t>
  </si>
  <si>
    <t>FLT12627</t>
  </si>
  <si>
    <t>FLT17115</t>
  </si>
  <si>
    <t>BK1206</t>
  </si>
  <si>
    <t>FLT12631</t>
  </si>
  <si>
    <t>FLT17148</t>
  </si>
  <si>
    <t>BK1207</t>
  </si>
  <si>
    <t>FLT12636</t>
  </si>
  <si>
    <t>G8-283</t>
  </si>
  <si>
    <t>BK1208</t>
  </si>
  <si>
    <t>FLT12646</t>
  </si>
  <si>
    <t>FLT16939</t>
  </si>
  <si>
    <t>BK1209</t>
  </si>
  <si>
    <t>FLT12647</t>
  </si>
  <si>
    <t>BK1210</t>
  </si>
  <si>
    <t>FLT12680</t>
  </si>
  <si>
    <t>FLT17091</t>
  </si>
  <si>
    <t>BK1211</t>
  </si>
  <si>
    <t>FLT12696</t>
  </si>
  <si>
    <t>FLT17069</t>
  </si>
  <si>
    <t>BK1212</t>
  </si>
  <si>
    <t>FLT12719</t>
  </si>
  <si>
    <t>BK1213</t>
  </si>
  <si>
    <t>FLT12723</t>
  </si>
  <si>
    <t>FLT17025</t>
  </si>
  <si>
    <t>BK1214</t>
  </si>
  <si>
    <t>FLT12748</t>
  </si>
  <si>
    <t>FLT17054</t>
  </si>
  <si>
    <t>BK1215</t>
  </si>
  <si>
    <t>FLT12749</t>
  </si>
  <si>
    <t>FLT17011</t>
  </si>
  <si>
    <t>SG-1031</t>
  </si>
  <si>
    <t>BK1216</t>
  </si>
  <si>
    <t>FLT12762</t>
  </si>
  <si>
    <t>FLT17142</t>
  </si>
  <si>
    <t>BK1217</t>
  </si>
  <si>
    <t>FLT12793</t>
  </si>
  <si>
    <t>6E-356</t>
  </si>
  <si>
    <t>FLT16954</t>
  </si>
  <si>
    <t>BK1218</t>
  </si>
  <si>
    <t>FLT12803</t>
  </si>
  <si>
    <t>FLT17038</t>
  </si>
  <si>
    <t>UK-866</t>
  </si>
  <si>
    <t>FLT16947</t>
  </si>
  <si>
    <t>BK1219</t>
  </si>
  <si>
    <t>FLT12825</t>
  </si>
  <si>
    <t>FLT17134</t>
  </si>
  <si>
    <t>AI-9876</t>
  </si>
  <si>
    <t>BK1220</t>
  </si>
  <si>
    <t>FLT12835</t>
  </si>
  <si>
    <t>FLT17111</t>
  </si>
  <si>
    <t>BK1221</t>
  </si>
  <si>
    <t>FLT12837</t>
  </si>
  <si>
    <t>FLT17653</t>
  </si>
  <si>
    <t>G8-792</t>
  </si>
  <si>
    <t>BK1222</t>
  </si>
  <si>
    <t>FLT12839</t>
  </si>
  <si>
    <t>FLT17622</t>
  </si>
  <si>
    <t>AI-676</t>
  </si>
  <si>
    <t>BK1223</t>
  </si>
  <si>
    <t>FLT12849</t>
  </si>
  <si>
    <t>FLT17648</t>
  </si>
  <si>
    <t>G8-393</t>
  </si>
  <si>
    <t>BK1224</t>
  </si>
  <si>
    <t>FLT12862</t>
  </si>
  <si>
    <t>BK1225</t>
  </si>
  <si>
    <t>FLT17607</t>
  </si>
  <si>
    <t>FLT12866</t>
  </si>
  <si>
    <t>6E-2127</t>
  </si>
  <si>
    <t>BK1226</t>
  </si>
  <si>
    <t>FLT12901</t>
  </si>
  <si>
    <t>FLT17541</t>
  </si>
  <si>
    <t>AI-526</t>
  </si>
  <si>
    <t>BK1227</t>
  </si>
  <si>
    <t>FLT12919</t>
  </si>
  <si>
    <t>FLT17228</t>
  </si>
  <si>
    <t>UK-776</t>
  </si>
  <si>
    <t>BK1228</t>
  </si>
  <si>
    <t>FLT12921</t>
  </si>
  <si>
    <t>FLT17495</t>
  </si>
  <si>
    <t>G8-7560</t>
  </si>
  <si>
    <t>BK1229</t>
  </si>
  <si>
    <t>FLT12936</t>
  </si>
  <si>
    <t>FLT17249</t>
  </si>
  <si>
    <t>6E-6021</t>
  </si>
  <si>
    <t>BK1230</t>
  </si>
  <si>
    <t>FLT17677</t>
  </si>
  <si>
    <t>FLT12976</t>
  </si>
  <si>
    <t>AI-771</t>
  </si>
  <si>
    <t>FLT17520</t>
  </si>
  <si>
    <t>6E-6616</t>
  </si>
  <si>
    <t>BK1231</t>
  </si>
  <si>
    <t>FLT12978</t>
  </si>
  <si>
    <t>FLT17588</t>
  </si>
  <si>
    <t>AI-9745</t>
  </si>
  <si>
    <t>BK1232</t>
  </si>
  <si>
    <t>FLT12981</t>
  </si>
  <si>
    <t>FLT17393</t>
  </si>
  <si>
    <t>6E-417</t>
  </si>
  <si>
    <t>BK1233</t>
  </si>
  <si>
    <t>FLT13010</t>
  </si>
  <si>
    <t>FLT17290</t>
  </si>
  <si>
    <t>Flight Booking and Travel Data Analysis</t>
  </si>
  <si>
    <t>BK1234</t>
  </si>
  <si>
    <t>Airline Class Performance</t>
  </si>
  <si>
    <t>FLT13028</t>
  </si>
  <si>
    <t>Airline-wise Price Analysis</t>
  </si>
  <si>
    <t>FLT17422</t>
  </si>
  <si>
    <t>Row Labels</t>
  </si>
  <si>
    <t>AI-9720</t>
  </si>
  <si>
    <t>Total Economy_Bookings</t>
  </si>
  <si>
    <t>Total Business_Bookings</t>
  </si>
  <si>
    <t xml:space="preserve"> Total_Bookings</t>
  </si>
  <si>
    <t xml:space="preserve"> Avg_Price</t>
  </si>
  <si>
    <t>BK1235</t>
  </si>
  <si>
    <t>FLT13034</t>
  </si>
  <si>
    <t>FLT17346</t>
  </si>
  <si>
    <t>6E-7623</t>
  </si>
  <si>
    <t>FLT17266</t>
  </si>
  <si>
    <t>BK1236</t>
  </si>
  <si>
    <t>FLT13061</t>
  </si>
  <si>
    <t>UK-772</t>
  </si>
  <si>
    <t>Grand Total</t>
  </si>
  <si>
    <t>Route-wise Booking Analysis</t>
  </si>
  <si>
    <t>Booking Window Analysis</t>
  </si>
  <si>
    <t>FLT17498</t>
  </si>
  <si>
    <t>Average of Duration_Hrs</t>
  </si>
  <si>
    <t>Average of Price</t>
  </si>
  <si>
    <t>Count of Booking_Id</t>
  </si>
  <si>
    <t>AI-781</t>
  </si>
  <si>
    <t>Bengaluru -&gt; Chennai</t>
  </si>
  <si>
    <t>BK1237</t>
  </si>
  <si>
    <t>Advance</t>
  </si>
  <si>
    <t>Bengaluru -&gt; Delhi</t>
  </si>
  <si>
    <t>FLT13065</t>
  </si>
  <si>
    <t>Last Minute</t>
  </si>
  <si>
    <t>Bengaluru -&gt; Hyderabad</t>
  </si>
  <si>
    <t>Moderate</t>
  </si>
  <si>
    <t>Bengaluru -&gt; Kolkata</t>
  </si>
  <si>
    <t>Short Notice</t>
  </si>
  <si>
    <t>Bengaluru -&gt; Mumbai</t>
  </si>
  <si>
    <t>Chennai -&gt; Bengaluru</t>
  </si>
  <si>
    <t>FLT17448</t>
  </si>
  <si>
    <t>Chennai -&gt; Delhi</t>
  </si>
  <si>
    <t>AI-732</t>
  </si>
  <si>
    <t>Chennai -&gt; Hyderabad</t>
  </si>
  <si>
    <t>Class-wise Price Analysis</t>
  </si>
  <si>
    <t>Chennai -&gt; Kolkata</t>
  </si>
  <si>
    <t>Chennai -&gt; Mumbai</t>
  </si>
  <si>
    <t>Min of Price</t>
  </si>
  <si>
    <t>Max of Price</t>
  </si>
  <si>
    <t>Delhi -&gt; Bengaluru</t>
  </si>
  <si>
    <t>BK1238</t>
  </si>
  <si>
    <t>FLT13069</t>
  </si>
  <si>
    <t>Delhi -&gt; Chennai</t>
  </si>
  <si>
    <t>FLT17515</t>
  </si>
  <si>
    <t>Delhi -&gt; Hyderabad</t>
  </si>
  <si>
    <t>AI-713</t>
  </si>
  <si>
    <t>Delhi -&gt; Kolkata</t>
  </si>
  <si>
    <t>Delhi -&gt; Mumbai</t>
  </si>
  <si>
    <t>Hyderabad -&gt; Bengaluru</t>
  </si>
  <si>
    <t>Hyderabad -&gt; Chennai</t>
  </si>
  <si>
    <t>Hyderabad -&gt; Delhi</t>
  </si>
  <si>
    <t>Hyderabad -&gt; Kolkata</t>
  </si>
  <si>
    <t>FLT17243</t>
  </si>
  <si>
    <t>Hyderabad -&gt; Mumbai</t>
  </si>
  <si>
    <t>BK1239</t>
  </si>
  <si>
    <t>Kolkata -&gt; Bengaluru</t>
  </si>
  <si>
    <t>FLT13080</t>
  </si>
  <si>
    <t>Kolkata -&gt; Chennai</t>
  </si>
  <si>
    <t>Kolkata -&gt; Delhi</t>
  </si>
  <si>
    <t>Kolkata -&gt; Hyderabad</t>
  </si>
  <si>
    <t>Kolkata -&gt; Mumbai</t>
  </si>
  <si>
    <t>Mumbai -&gt; Bengaluru</t>
  </si>
  <si>
    <t>Mumbai -&gt; Chennai</t>
  </si>
  <si>
    <t>Mumbai -&gt; Delhi</t>
  </si>
  <si>
    <t>Mumbai -&gt; Hyderabad</t>
  </si>
  <si>
    <t>Mumbai -&gt; Kolkata</t>
  </si>
  <si>
    <t>FLT17678</t>
  </si>
  <si>
    <t>BK1240</t>
  </si>
  <si>
    <t>FLT13089</t>
  </si>
  <si>
    <t>FLT17182</t>
  </si>
  <si>
    <t>BK1241</t>
  </si>
  <si>
    <t>6E-487</t>
  </si>
  <si>
    <t>FLT13110</t>
  </si>
  <si>
    <t>FLT17423</t>
  </si>
  <si>
    <t>6E-375</t>
  </si>
  <si>
    <t>BK1242</t>
  </si>
  <si>
    <t>FLT13114</t>
  </si>
  <si>
    <t>FLT17581</t>
  </si>
  <si>
    <t>6E-898</t>
  </si>
  <si>
    <t>BK1243</t>
  </si>
  <si>
    <t>FLT13127</t>
  </si>
  <si>
    <t>FLT17596</t>
  </si>
  <si>
    <t>6E-7147</t>
  </si>
  <si>
    <t>BK1244</t>
  </si>
  <si>
    <t>FLT13156</t>
  </si>
  <si>
    <t>FLT17624</t>
  </si>
  <si>
    <t>BK1245</t>
  </si>
  <si>
    <t>FLT13199</t>
  </si>
  <si>
    <t>FLT17345</t>
  </si>
  <si>
    <t>AI-9741</t>
  </si>
  <si>
    <t>BK1246</t>
  </si>
  <si>
    <t>FLT17203</t>
  </si>
  <si>
    <t>FLT13243</t>
  </si>
  <si>
    <t>6E-715</t>
  </si>
  <si>
    <t>FLT17621</t>
  </si>
  <si>
    <t>BK1247</t>
  </si>
  <si>
    <t>FLT13253</t>
  </si>
  <si>
    <t>FLT17263</t>
  </si>
  <si>
    <t>BK1248</t>
  </si>
  <si>
    <t>FLT13265</t>
  </si>
  <si>
    <t>FLT17554</t>
  </si>
  <si>
    <t>BK1249</t>
  </si>
  <si>
    <t>FLT13270</t>
  </si>
  <si>
    <t>FLT17304</t>
  </si>
  <si>
    <t>6E-7583</t>
  </si>
  <si>
    <t>BK1250</t>
  </si>
  <si>
    <t>FLT13275</t>
  </si>
  <si>
    <t>FLT17537</t>
  </si>
  <si>
    <t>AI-765</t>
  </si>
  <si>
    <t>BK1251</t>
  </si>
  <si>
    <t>FLT13281</t>
  </si>
  <si>
    <t>FLT17246</t>
  </si>
  <si>
    <t>BK1252</t>
  </si>
  <si>
    <t>FLT13317</t>
  </si>
  <si>
    <t>FLT17383</t>
  </si>
  <si>
    <t>SG-4025</t>
  </si>
  <si>
    <t>BK1253</t>
  </si>
  <si>
    <t>FLT13335</t>
  </si>
  <si>
    <t>Descriptive Statistics</t>
  </si>
  <si>
    <t>FLT17502</t>
  </si>
  <si>
    <t>BK1254</t>
  </si>
  <si>
    <t>FLT17542</t>
  </si>
  <si>
    <t>FLT13336</t>
  </si>
  <si>
    <t>SG-3839</t>
  </si>
  <si>
    <t>FLT17274</t>
  </si>
  <si>
    <t>BK1255</t>
  </si>
  <si>
    <t>FLT13361</t>
  </si>
  <si>
    <t>AI-763</t>
  </si>
  <si>
    <t>FLT17391</t>
  </si>
  <si>
    <t>Mean</t>
  </si>
  <si>
    <t>BK1256</t>
  </si>
  <si>
    <t>FLT13375</t>
  </si>
  <si>
    <t>Standard Error</t>
  </si>
  <si>
    <t>FLT17327</t>
  </si>
  <si>
    <t>Median</t>
  </si>
  <si>
    <t>Mode</t>
  </si>
  <si>
    <t>BK1257</t>
  </si>
  <si>
    <t>FLT13387</t>
  </si>
  <si>
    <t>FLT22843</t>
  </si>
  <si>
    <t>UK-720</t>
  </si>
  <si>
    <t>BK1258</t>
  </si>
  <si>
    <t>Standard Deviation</t>
  </si>
  <si>
    <t>FLT13390</t>
  </si>
  <si>
    <t>Sample Variance</t>
  </si>
  <si>
    <t>FLT17761</t>
  </si>
  <si>
    <t>Kurtosis</t>
  </si>
  <si>
    <t>Skewness</t>
  </si>
  <si>
    <t>Range</t>
  </si>
  <si>
    <t>BK1259</t>
  </si>
  <si>
    <t>FLT13393</t>
  </si>
  <si>
    <t>Minimum</t>
  </si>
  <si>
    <t>FLT22818</t>
  </si>
  <si>
    <t>Maximum</t>
  </si>
  <si>
    <t>Sum</t>
  </si>
  <si>
    <t>Count</t>
  </si>
  <si>
    <t>BK1260</t>
  </si>
  <si>
    <t>FLT13449</t>
  </si>
  <si>
    <t>FLT18011</t>
  </si>
  <si>
    <t>G8-789</t>
  </si>
  <si>
    <t>FLT17811</t>
  </si>
  <si>
    <t>SG-679</t>
  </si>
  <si>
    <t>BK1261</t>
  </si>
  <si>
    <t>FLT13469</t>
  </si>
  <si>
    <t>FLT18027</t>
  </si>
  <si>
    <t>6E-6917</t>
  </si>
  <si>
    <t>BK1262</t>
  </si>
  <si>
    <t>FLT13485</t>
  </si>
  <si>
    <t>FLT18111</t>
  </si>
  <si>
    <t>FLT18054</t>
  </si>
  <si>
    <t>AI-768</t>
  </si>
  <si>
    <t>BK1263</t>
  </si>
  <si>
    <t>FLT13498</t>
  </si>
  <si>
    <t>FLT17762</t>
  </si>
  <si>
    <t>AI-770</t>
  </si>
  <si>
    <t>BK1264</t>
  </si>
  <si>
    <t>FLT13516</t>
  </si>
  <si>
    <t>FLT17878</t>
  </si>
  <si>
    <t>AI-424</t>
  </si>
  <si>
    <t>BK1265</t>
  </si>
  <si>
    <t>FLT13522</t>
  </si>
  <si>
    <t>FLT17874</t>
  </si>
  <si>
    <t>UK-706</t>
  </si>
  <si>
    <t>FLT17689</t>
  </si>
  <si>
    <t>BK1266</t>
  </si>
  <si>
    <t>FLT13552</t>
  </si>
  <si>
    <t>FLT17763</t>
  </si>
  <si>
    <t>BK1267</t>
  </si>
  <si>
    <t>FLT13577</t>
  </si>
  <si>
    <t>FLT18003</t>
  </si>
  <si>
    <t>BK1268</t>
  </si>
  <si>
    <t>FLT17947</t>
  </si>
  <si>
    <t>FLT13578</t>
  </si>
  <si>
    <t>FLT18105</t>
  </si>
  <si>
    <t>BK1269</t>
  </si>
  <si>
    <t>6E-6965</t>
  </si>
  <si>
    <t>FLT13579</t>
  </si>
  <si>
    <t>FLT22819</t>
  </si>
  <si>
    <t>BK1270</t>
  </si>
  <si>
    <t>FLT13595</t>
  </si>
  <si>
    <t>FLT17685</t>
  </si>
  <si>
    <t>6E-6513</t>
  </si>
  <si>
    <t>BK1271</t>
  </si>
  <si>
    <t>FLT13607</t>
  </si>
  <si>
    <t>FLT22834</t>
  </si>
  <si>
    <t>BK1272</t>
  </si>
  <si>
    <t>FLT13615</t>
  </si>
  <si>
    <t>FLT18075</t>
  </si>
  <si>
    <t>BK1273</t>
  </si>
  <si>
    <t>FLT18141</t>
  </si>
  <si>
    <t>FLT13634</t>
  </si>
  <si>
    <t>G8-227</t>
  </si>
  <si>
    <t>BK1274</t>
  </si>
  <si>
    <t>FLT13675</t>
  </si>
  <si>
    <t>FLT17887</t>
  </si>
  <si>
    <t>BK1275</t>
  </si>
  <si>
    <t>FLT13681</t>
  </si>
  <si>
    <t>FLT22835</t>
  </si>
  <si>
    <t>UK-708</t>
  </si>
  <si>
    <t>FLT17899</t>
  </si>
  <si>
    <t>AI-747</t>
  </si>
  <si>
    <t>BK1276</t>
  </si>
  <si>
    <t>FLT13686</t>
  </si>
  <si>
    <t>FLT17752</t>
  </si>
  <si>
    <t>UK-738</t>
  </si>
  <si>
    <t>FLT17749</t>
  </si>
  <si>
    <t>BK1277</t>
  </si>
  <si>
    <t>FLT13687</t>
  </si>
  <si>
    <t>I5-547</t>
  </si>
  <si>
    <t>FLT17867</t>
  </si>
  <si>
    <t>AI-402</t>
  </si>
  <si>
    <t>BK1278</t>
  </si>
  <si>
    <t>FLT13691</t>
  </si>
  <si>
    <t>FLT22836</t>
  </si>
  <si>
    <t>BK1279</t>
  </si>
  <si>
    <t>FLT13715</t>
  </si>
  <si>
    <t>FLT18047</t>
  </si>
  <si>
    <t>BK1280</t>
  </si>
  <si>
    <t>FLT17929</t>
  </si>
  <si>
    <t>FLT13758</t>
  </si>
  <si>
    <t>6E-6488</t>
  </si>
  <si>
    <t>FLT22806</t>
  </si>
  <si>
    <t>BK1281</t>
  </si>
  <si>
    <t>FLT13770</t>
  </si>
  <si>
    <t>FLT17709</t>
  </si>
  <si>
    <t>BK1282</t>
  </si>
  <si>
    <t>FLT13772</t>
  </si>
  <si>
    <t>FLT18067</t>
  </si>
  <si>
    <t>SG-406</t>
  </si>
  <si>
    <t>BK1283</t>
  </si>
  <si>
    <t>FLT13793</t>
  </si>
  <si>
    <t>FLT18073</t>
  </si>
  <si>
    <t>G8-102</t>
  </si>
  <si>
    <t>FLT17757</t>
  </si>
  <si>
    <t>BK1284</t>
  </si>
  <si>
    <t>FLT13804</t>
  </si>
  <si>
    <t>FLT17834</t>
  </si>
  <si>
    <t>BK1285</t>
  </si>
  <si>
    <t>FLT13823</t>
  </si>
  <si>
    <t>FLT18079</t>
  </si>
  <si>
    <t>BK1286</t>
  </si>
  <si>
    <t>FLT13832</t>
  </si>
  <si>
    <t>FLT17810</t>
  </si>
  <si>
    <t>FLT17681</t>
  </si>
  <si>
    <t>SG-489</t>
  </si>
  <si>
    <t>BK1287</t>
  </si>
  <si>
    <t>FLT13839</t>
  </si>
  <si>
    <t>FLT17758</t>
  </si>
  <si>
    <t>BK1288</t>
  </si>
  <si>
    <t>FLT13840</t>
  </si>
  <si>
    <t>FLT18473</t>
  </si>
  <si>
    <t>BK1289</t>
  </si>
  <si>
    <t>FLT18484</t>
  </si>
  <si>
    <t>FLT13855</t>
  </si>
  <si>
    <t>FLT18305</t>
  </si>
  <si>
    <t>BK1290</t>
  </si>
  <si>
    <t>6E-989</t>
  </si>
  <si>
    <t>FLT13873</t>
  </si>
  <si>
    <t>FLT18535</t>
  </si>
  <si>
    <t>6E-725</t>
  </si>
  <si>
    <t>BK1291</t>
  </si>
  <si>
    <t>FLT13879</t>
  </si>
  <si>
    <t>FLT18258</t>
  </si>
  <si>
    <t>6E-512</t>
  </si>
  <si>
    <t>BK1292</t>
  </si>
  <si>
    <t>FLT13914</t>
  </si>
  <si>
    <t>FLT18218</t>
  </si>
  <si>
    <t>UK-778</t>
  </si>
  <si>
    <t>FLT18380</t>
  </si>
  <si>
    <t>BK1293</t>
  </si>
  <si>
    <t>FLT13960</t>
  </si>
  <si>
    <t>FLT18267</t>
  </si>
  <si>
    <t>BK1294</t>
  </si>
  <si>
    <t>FLT13966</t>
  </si>
  <si>
    <t>FLT18552</t>
  </si>
  <si>
    <t>FLT18545</t>
  </si>
  <si>
    <t>6E-759</t>
  </si>
  <si>
    <t>BK1295</t>
  </si>
  <si>
    <t>FLT13967</t>
  </si>
  <si>
    <t>FLT18243</t>
  </si>
  <si>
    <t>I5-510</t>
  </si>
  <si>
    <t>BK1296</t>
  </si>
  <si>
    <t>FLT13987</t>
  </si>
  <si>
    <t>FLT18336</t>
  </si>
  <si>
    <t>UK-774</t>
  </si>
  <si>
    <t>BK1297</t>
  </si>
  <si>
    <t>FLT18558</t>
  </si>
  <si>
    <t>FLT14007</t>
  </si>
  <si>
    <t>6E-893</t>
  </si>
  <si>
    <t>FLT18500</t>
  </si>
  <si>
    <t>BK1298</t>
  </si>
  <si>
    <t>FLT14016</t>
  </si>
  <si>
    <t>FLT18583</t>
  </si>
  <si>
    <t>BK1299</t>
  </si>
  <si>
    <t>FLT14020</t>
  </si>
  <si>
    <t>FLT18594</t>
  </si>
  <si>
    <t>BK1300</t>
  </si>
  <si>
    <t>FLT14047</t>
  </si>
  <si>
    <t>FLT18263</t>
  </si>
  <si>
    <t>FLT18433</t>
  </si>
  <si>
    <t>BK1301</t>
  </si>
  <si>
    <t>FLT14054</t>
  </si>
  <si>
    <t>FLT18492</t>
  </si>
  <si>
    <t>BK1302</t>
  </si>
  <si>
    <t>FLT14069</t>
  </si>
  <si>
    <t>FLT18265</t>
  </si>
  <si>
    <t>I5-552</t>
  </si>
  <si>
    <t>BK1303</t>
  </si>
  <si>
    <t>FLT14070</t>
  </si>
  <si>
    <t>FLT18353</t>
  </si>
  <si>
    <t>6E-958</t>
  </si>
  <si>
    <t>FLT18197</t>
  </si>
  <si>
    <t>BK1304</t>
  </si>
  <si>
    <t>I5-1563</t>
  </si>
  <si>
    <t>FLT14121</t>
  </si>
  <si>
    <t>FLT18278</t>
  </si>
  <si>
    <t>BK1305</t>
  </si>
  <si>
    <t>FLT14128</t>
  </si>
  <si>
    <t>BK1306</t>
  </si>
  <si>
    <t>FLT14135</t>
  </si>
  <si>
    <t>FLT18281</t>
  </si>
  <si>
    <t>BK1307</t>
  </si>
  <si>
    <t>FLT14142</t>
  </si>
  <si>
    <t>FLT18304</t>
  </si>
  <si>
    <t>6E-7713</t>
  </si>
  <si>
    <t>BK1308</t>
  </si>
  <si>
    <t>FLT14147</t>
  </si>
  <si>
    <t>FLT18486</t>
  </si>
  <si>
    <t>BK1309</t>
  </si>
  <si>
    <t>FLT14155</t>
  </si>
  <si>
    <t>FLT18260</t>
  </si>
  <si>
    <t>BK1310</t>
  </si>
  <si>
    <t>FLT14165</t>
  </si>
  <si>
    <t>FLT18270</t>
  </si>
  <si>
    <t>FLT18399</t>
  </si>
  <si>
    <t>BK1311</t>
  </si>
  <si>
    <t>FLT14175</t>
  </si>
  <si>
    <t>FLT18227</t>
  </si>
  <si>
    <t>BK1312</t>
  </si>
  <si>
    <t>FLT18345</t>
  </si>
  <si>
    <t>FLT14196</t>
  </si>
  <si>
    <t>FLT18627</t>
  </si>
  <si>
    <t>I5-360</t>
  </si>
  <si>
    <t>BK1313</t>
  </si>
  <si>
    <t>FLT14199</t>
  </si>
  <si>
    <t>FLT18261</t>
  </si>
  <si>
    <t>BK1314</t>
  </si>
  <si>
    <t>FLT14205</t>
  </si>
  <si>
    <t>FLT18521</t>
  </si>
  <si>
    <t>6E-566</t>
  </si>
  <si>
    <t>BK1315</t>
  </si>
  <si>
    <t>FLT14221</t>
  </si>
  <si>
    <t>BK1316</t>
  </si>
  <si>
    <t>FLT18325</t>
  </si>
  <si>
    <t>FLT14222</t>
  </si>
  <si>
    <t>SG-5075</t>
  </si>
  <si>
    <t>FLT18502</t>
  </si>
  <si>
    <t>G8-537</t>
  </si>
  <si>
    <t>BK1317</t>
  </si>
  <si>
    <t>FLT14236</t>
  </si>
  <si>
    <t>FLT18602</t>
  </si>
  <si>
    <t>BK1318</t>
  </si>
  <si>
    <t>FLT14238</t>
  </si>
  <si>
    <t>FLT18264</t>
  </si>
  <si>
    <t>BK1319</t>
  </si>
  <si>
    <t>FLT14239</t>
  </si>
  <si>
    <t>FLT18564</t>
  </si>
  <si>
    <t>I5-319</t>
  </si>
  <si>
    <t>BK1320</t>
  </si>
  <si>
    <t>FLT14242</t>
  </si>
  <si>
    <t>FLT18425</t>
  </si>
  <si>
    <t>BK1321</t>
  </si>
  <si>
    <t>FLT14243</t>
  </si>
  <si>
    <t>FLT18956</t>
  </si>
  <si>
    <t>BK1322</t>
  </si>
  <si>
    <t>FLT14250</t>
  </si>
  <si>
    <t>FLT18662</t>
  </si>
  <si>
    <t>FLT18644</t>
  </si>
  <si>
    <t>BK1323</t>
  </si>
  <si>
    <t>FLT14256</t>
  </si>
  <si>
    <t>FLT18943</t>
  </si>
  <si>
    <t>BK1324</t>
  </si>
  <si>
    <t>FLT18686</t>
  </si>
  <si>
    <t>FLT14260</t>
  </si>
  <si>
    <t>FLT18868</t>
  </si>
  <si>
    <t>BK1325</t>
  </si>
  <si>
    <t>G8-125</t>
  </si>
  <si>
    <t>FLT14270</t>
  </si>
  <si>
    <t>BK1326</t>
  </si>
  <si>
    <t>FLT18705</t>
  </si>
  <si>
    <t>FLT14276</t>
  </si>
  <si>
    <t>FLT18748</t>
  </si>
  <si>
    <t>BK1327</t>
  </si>
  <si>
    <t>FLT14318</t>
  </si>
  <si>
    <t>FLT18934</t>
  </si>
  <si>
    <t>6E-875</t>
  </si>
  <si>
    <t>BK1328</t>
  </si>
  <si>
    <t>FLT14350</t>
  </si>
  <si>
    <t>FLT18755</t>
  </si>
  <si>
    <t>I5-2473</t>
  </si>
  <si>
    <t>BK1329</t>
  </si>
  <si>
    <t>FLT14377</t>
  </si>
  <si>
    <t>FLT18862</t>
  </si>
  <si>
    <t>G8-626</t>
  </si>
  <si>
    <t>BK1330</t>
  </si>
  <si>
    <t>FLT14386</t>
  </si>
  <si>
    <t>FLT18668</t>
  </si>
  <si>
    <t>FLT18782</t>
  </si>
  <si>
    <t>BK1331</t>
  </si>
  <si>
    <t>FLT14389</t>
  </si>
  <si>
    <t>FLT18684</t>
  </si>
  <si>
    <t>BK1332</t>
  </si>
  <si>
    <t>FLT14397</t>
  </si>
  <si>
    <t>FLT18784</t>
  </si>
  <si>
    <t>BK1333</t>
  </si>
  <si>
    <t>FLT14412</t>
  </si>
  <si>
    <t>FLT18907</t>
  </si>
  <si>
    <t>BK1334</t>
  </si>
  <si>
    <t>FLT14443</t>
  </si>
  <si>
    <t>FLT18629</t>
  </si>
  <si>
    <t>BK1335</t>
  </si>
  <si>
    <t>FLT18860</t>
  </si>
  <si>
    <t>FLT14453</t>
  </si>
  <si>
    <t>FLT18963</t>
  </si>
  <si>
    <t>BK1336</t>
  </si>
  <si>
    <t>FLT14460</t>
  </si>
  <si>
    <t>FLT18730</t>
  </si>
  <si>
    <t>BK1337</t>
  </si>
  <si>
    <t>FLT14476</t>
  </si>
  <si>
    <t>FLT18638</t>
  </si>
  <si>
    <t>BK1338</t>
  </si>
  <si>
    <t>FLT14478</t>
  </si>
  <si>
    <t>FLT18809</t>
  </si>
  <si>
    <t>BK1339</t>
  </si>
  <si>
    <t>FLT18701</t>
  </si>
  <si>
    <t>FLT14489</t>
  </si>
  <si>
    <t>FLT18866</t>
  </si>
  <si>
    <t>BK1340</t>
  </si>
  <si>
    <t>FLT14492</t>
  </si>
  <si>
    <t>FLT18884</t>
  </si>
  <si>
    <t>FLT18766</t>
  </si>
  <si>
    <t>BK1341</t>
  </si>
  <si>
    <t>FLT14513</t>
  </si>
  <si>
    <t>FLT18854</t>
  </si>
  <si>
    <t>BK1342</t>
  </si>
  <si>
    <t>FLT14515</t>
  </si>
  <si>
    <t>FLT18823</t>
  </si>
  <si>
    <t>AI-9929</t>
  </si>
  <si>
    <t>BK1343</t>
  </si>
  <si>
    <t>FLT14554</t>
  </si>
  <si>
    <t>FLT18822</t>
  </si>
  <si>
    <t>FLT18995</t>
  </si>
  <si>
    <t>BK1344</t>
  </si>
  <si>
    <t>FLT14563</t>
  </si>
  <si>
    <t>FLT18654</t>
  </si>
  <si>
    <t>AI-773</t>
  </si>
  <si>
    <t>BK1345</t>
  </si>
  <si>
    <t>FLT14568</t>
  </si>
  <si>
    <t>FLT18737</t>
  </si>
  <si>
    <t>BK1346</t>
  </si>
  <si>
    <t>FLT14569</t>
  </si>
  <si>
    <t>FLT18671</t>
  </si>
  <si>
    <t>6E-822</t>
  </si>
  <si>
    <t>BK1347</t>
  </si>
  <si>
    <t>FLT14574</t>
  </si>
  <si>
    <t>FLT18986</t>
  </si>
  <si>
    <t>FLT18917</t>
  </si>
  <si>
    <t>BK1348</t>
  </si>
  <si>
    <t>FLT14577</t>
  </si>
  <si>
    <t>FLT18743</t>
  </si>
  <si>
    <t>BK1349</t>
  </si>
  <si>
    <t>FLT14579</t>
  </si>
  <si>
    <t>FLT18692</t>
  </si>
  <si>
    <t>BK1350</t>
  </si>
  <si>
    <t>FLT14581</t>
  </si>
  <si>
    <t>FLT18651</t>
  </si>
  <si>
    <t>BK1351</t>
  </si>
  <si>
    <t>FLT18781</t>
  </si>
  <si>
    <t>BK1352</t>
  </si>
  <si>
    <t>FLT18805</t>
  </si>
  <si>
    <t>I5-588</t>
  </si>
  <si>
    <t>BK1353</t>
  </si>
  <si>
    <t>AI-459</t>
  </si>
  <si>
    <t>UK-829</t>
  </si>
  <si>
    <t>BK1354</t>
  </si>
  <si>
    <t>UK-995</t>
  </si>
  <si>
    <t>BK1355</t>
  </si>
  <si>
    <t>BK1356</t>
  </si>
  <si>
    <t>G8-300</t>
  </si>
  <si>
    <t>BK1357</t>
  </si>
  <si>
    <t>BK1358</t>
  </si>
  <si>
    <t>I5-792</t>
  </si>
  <si>
    <t>BK1359</t>
  </si>
  <si>
    <t>UK-945</t>
  </si>
  <si>
    <t>BK1360</t>
  </si>
  <si>
    <t>UK-941</t>
  </si>
  <si>
    <t>BK1361</t>
  </si>
  <si>
    <t>6E-2348</t>
  </si>
  <si>
    <t>UK-933</t>
  </si>
  <si>
    <t>BK1362</t>
  </si>
  <si>
    <t>6E-654</t>
  </si>
  <si>
    <t>BK1363</t>
  </si>
  <si>
    <t>AI-805</t>
  </si>
  <si>
    <t>BK1364</t>
  </si>
  <si>
    <t>AI-467</t>
  </si>
  <si>
    <t>I5-791</t>
  </si>
  <si>
    <t>BK1365</t>
  </si>
  <si>
    <t>AI-868</t>
  </si>
  <si>
    <t>BK1366</t>
  </si>
  <si>
    <t>SG-8905</t>
  </si>
  <si>
    <t>BK1367</t>
  </si>
  <si>
    <t>I5-721</t>
  </si>
  <si>
    <t>BK1368</t>
  </si>
  <si>
    <t>AI-491</t>
  </si>
  <si>
    <t>BK1369</t>
  </si>
  <si>
    <t>I5-798</t>
  </si>
  <si>
    <t>BK1370</t>
  </si>
  <si>
    <t>6E-2331</t>
  </si>
  <si>
    <t>BK1371</t>
  </si>
  <si>
    <t>I5-775</t>
  </si>
  <si>
    <t>BK1372</t>
  </si>
  <si>
    <t>BK1373</t>
  </si>
  <si>
    <t>G8-143</t>
  </si>
  <si>
    <t>BK1374</t>
  </si>
  <si>
    <t>I5-713</t>
  </si>
  <si>
    <t>BK1375</t>
  </si>
  <si>
    <t>UK-855</t>
  </si>
  <si>
    <t>BK1376</t>
  </si>
  <si>
    <t>SG-8938</t>
  </si>
  <si>
    <t>BK1377</t>
  </si>
  <si>
    <t>BK1378</t>
  </si>
  <si>
    <t>BK1379</t>
  </si>
  <si>
    <t>SG-8185</t>
  </si>
  <si>
    <t>FLT22670</t>
  </si>
  <si>
    <t>BK1380</t>
  </si>
  <si>
    <t>6E-6205</t>
  </si>
  <si>
    <t>BK1381</t>
  </si>
  <si>
    <t>6E-2336</t>
  </si>
  <si>
    <t>BK1382</t>
  </si>
  <si>
    <t>BK1383</t>
  </si>
  <si>
    <t>G8-133</t>
  </si>
  <si>
    <t>BK1384</t>
  </si>
  <si>
    <t>BK1385</t>
  </si>
  <si>
    <t>BK1386</t>
  </si>
  <si>
    <t>BK1387</t>
  </si>
  <si>
    <t>BK1388</t>
  </si>
  <si>
    <t>UK-815</t>
  </si>
  <si>
    <t>BK1389</t>
  </si>
  <si>
    <t>FLT19247</t>
  </si>
  <si>
    <t>BK1390</t>
  </si>
  <si>
    <t>FLT19214</t>
  </si>
  <si>
    <t>BK1391</t>
  </si>
  <si>
    <t>FLT19193</t>
  </si>
  <si>
    <t>BK1392</t>
  </si>
  <si>
    <t>FLT19167</t>
  </si>
  <si>
    <t>BK1393</t>
  </si>
  <si>
    <t>I5-2991</t>
  </si>
  <si>
    <t>BK1394</t>
  </si>
  <si>
    <t>FLT19065</t>
  </si>
  <si>
    <t>BK1395</t>
  </si>
  <si>
    <t>FLT19136</t>
  </si>
  <si>
    <t>AI-729</t>
  </si>
  <si>
    <t>BK1396</t>
  </si>
  <si>
    <t>FLT19174</t>
  </si>
  <si>
    <t>BK1397</t>
  </si>
  <si>
    <t>FLT22858</t>
  </si>
  <si>
    <t>BK1398</t>
  </si>
  <si>
    <t>FLT19008</t>
  </si>
  <si>
    <t>FLT19113</t>
  </si>
  <si>
    <t>BK1399</t>
  </si>
  <si>
    <t>FLT19023</t>
  </si>
  <si>
    <t>BK1400</t>
  </si>
  <si>
    <t>FLT19224</t>
  </si>
  <si>
    <t>BK1401</t>
  </si>
  <si>
    <t>FLT19045</t>
  </si>
  <si>
    <t>BK1402</t>
  </si>
  <si>
    <t>FLT19205</t>
  </si>
  <si>
    <t>FLT19191</t>
  </si>
  <si>
    <t>BK1403</t>
  </si>
  <si>
    <t>6E-6172</t>
  </si>
  <si>
    <t>FLT19252</t>
  </si>
  <si>
    <t>SG-387</t>
  </si>
  <si>
    <t>BK1404</t>
  </si>
  <si>
    <t>FLT19078</t>
  </si>
  <si>
    <t>BK1405</t>
  </si>
  <si>
    <t>FLT19005</t>
  </si>
  <si>
    <t>BK1406</t>
  </si>
  <si>
    <t>FLT19208</t>
  </si>
  <si>
    <t>6E-6597</t>
  </si>
  <si>
    <t>FLT19066</t>
  </si>
  <si>
    <t>6E-345</t>
  </si>
  <si>
    <t>BK1407</t>
  </si>
  <si>
    <t>FLT19139</t>
  </si>
  <si>
    <t>BK1408</t>
  </si>
  <si>
    <t>FLT19145</t>
  </si>
  <si>
    <t>6E-7561</t>
  </si>
  <si>
    <t>FLT19018</t>
  </si>
  <si>
    <t>BK1409</t>
  </si>
  <si>
    <t>FLT19212</t>
  </si>
  <si>
    <t>BK1410</t>
  </si>
  <si>
    <t>FLT19110</t>
  </si>
  <si>
    <t>FLT19149</t>
  </si>
  <si>
    <t>I5-556</t>
  </si>
  <si>
    <t>BK1411</t>
  </si>
  <si>
    <t>FLT19077</t>
  </si>
  <si>
    <t>BK1412</t>
  </si>
  <si>
    <t>BK1413</t>
  </si>
  <si>
    <t>BK1414</t>
  </si>
  <si>
    <t>FLT19067</t>
  </si>
  <si>
    <t>BK1415</t>
  </si>
  <si>
    <t>FLT19089</t>
  </si>
  <si>
    <t>FLT19014</t>
  </si>
  <si>
    <t>BK1416</t>
  </si>
  <si>
    <t>FLT19029</t>
  </si>
  <si>
    <t>BK1417</t>
  </si>
  <si>
    <t>FLT19192</t>
  </si>
  <si>
    <t>BK1418</t>
  </si>
  <si>
    <t>FLT19229</t>
  </si>
  <si>
    <t>BK1419</t>
  </si>
  <si>
    <t>FLT19108</t>
  </si>
  <si>
    <t>BK1420</t>
  </si>
  <si>
    <t>FLT19032</t>
  </si>
  <si>
    <t>FLT19184</t>
  </si>
  <si>
    <t>BK1421</t>
  </si>
  <si>
    <t>FLT19072</t>
  </si>
  <si>
    <t>BK1422</t>
  </si>
  <si>
    <t>FLT19237</t>
  </si>
  <si>
    <t>FLT19207</t>
  </si>
  <si>
    <t>BK1423</t>
  </si>
  <si>
    <t>FLT19009</t>
  </si>
  <si>
    <t>BK1424</t>
  </si>
  <si>
    <t>FLT19367</t>
  </si>
  <si>
    <t>AI-515</t>
  </si>
  <si>
    <t>BK1425</t>
  </si>
  <si>
    <t>FLT22863</t>
  </si>
  <si>
    <t>UK-874</t>
  </si>
  <si>
    <t>FLT19442</t>
  </si>
  <si>
    <t>BK1426</t>
  </si>
  <si>
    <t>6E-6062</t>
  </si>
  <si>
    <t>BK1427</t>
  </si>
  <si>
    <t>FLT19333</t>
  </si>
  <si>
    <t>BK1428</t>
  </si>
  <si>
    <t>FLT19468</t>
  </si>
  <si>
    <t>G8-515</t>
  </si>
  <si>
    <t>FLT19456</t>
  </si>
  <si>
    <t>BK1429</t>
  </si>
  <si>
    <t>FLT19299</t>
  </si>
  <si>
    <t>UK-876</t>
  </si>
  <si>
    <t>FLT19517</t>
  </si>
  <si>
    <t>6E-6307</t>
  </si>
  <si>
    <t>BK1430</t>
  </si>
  <si>
    <t>FLT19466</t>
  </si>
  <si>
    <t>G8-509</t>
  </si>
  <si>
    <t>FLT19282</t>
  </si>
  <si>
    <t>UK-860</t>
  </si>
  <si>
    <t>BK1431</t>
  </si>
  <si>
    <t>FLT19375</t>
  </si>
  <si>
    <t>BK1432</t>
  </si>
  <si>
    <t>FLT19494</t>
  </si>
  <si>
    <t>I5-1518</t>
  </si>
  <si>
    <t>BK1433</t>
  </si>
  <si>
    <t>FLT19585</t>
  </si>
  <si>
    <t>AI-546</t>
  </si>
  <si>
    <t>BK1434</t>
  </si>
  <si>
    <t>FLT19320</t>
  </si>
  <si>
    <t>G8-123</t>
  </si>
  <si>
    <t>FLT19401</t>
  </si>
  <si>
    <t>BK1435</t>
  </si>
  <si>
    <t>FLT19339</t>
  </si>
  <si>
    <t>AI-9928</t>
  </si>
  <si>
    <t>BK1436</t>
  </si>
  <si>
    <t>FLT19452</t>
  </si>
  <si>
    <t>FLT19383</t>
  </si>
  <si>
    <t>AI-525</t>
  </si>
  <si>
    <t>BK1437</t>
  </si>
  <si>
    <t>FLT19314</t>
  </si>
  <si>
    <t>6E-6467</t>
  </si>
  <si>
    <t>FLT19266</t>
  </si>
  <si>
    <t>6E-7136</t>
  </si>
  <si>
    <t>BK1438</t>
  </si>
  <si>
    <t>FLT22860</t>
  </si>
  <si>
    <t>UK-878</t>
  </si>
  <si>
    <t>BK1439</t>
  </si>
  <si>
    <t>FLT19584</t>
  </si>
  <si>
    <t>BK1440</t>
  </si>
  <si>
    <t>FLT19574</t>
  </si>
  <si>
    <t>SG-3728</t>
  </si>
  <si>
    <t>BK1441</t>
  </si>
  <si>
    <t>FLT19370</t>
  </si>
  <si>
    <t>FLT19366</t>
  </si>
  <si>
    <t>FLT19389</t>
  </si>
  <si>
    <t>BK1442</t>
  </si>
  <si>
    <t>FLT19432</t>
  </si>
  <si>
    <t>BK1443</t>
  </si>
  <si>
    <t>FLT19368</t>
  </si>
  <si>
    <t>AI-9518</t>
  </si>
  <si>
    <t>BK1444</t>
  </si>
  <si>
    <t>FLT19303</t>
  </si>
  <si>
    <t>BK1445</t>
  </si>
  <si>
    <t>BK1446</t>
  </si>
  <si>
    <t>FLT19329</t>
  </si>
  <si>
    <t>AI-508</t>
  </si>
  <si>
    <t>BK1447</t>
  </si>
  <si>
    <t>FLT19351</t>
  </si>
  <si>
    <t>BK1448</t>
  </si>
  <si>
    <t>FLT19397</t>
  </si>
  <si>
    <t>BK1449</t>
  </si>
  <si>
    <t>BK1450</t>
  </si>
  <si>
    <t>FLT19459</t>
  </si>
  <si>
    <t>G8-506</t>
  </si>
  <si>
    <t>BK1451</t>
  </si>
  <si>
    <t>FLT19262</t>
  </si>
  <si>
    <t>6E-2248</t>
  </si>
  <si>
    <t>BK1452</t>
  </si>
  <si>
    <t>FLT19536</t>
  </si>
  <si>
    <t>AI-616</t>
  </si>
  <si>
    <t>BK1453</t>
  </si>
  <si>
    <t>FLT19373</t>
  </si>
  <si>
    <t>AI-9921</t>
  </si>
  <si>
    <t>BK1454</t>
  </si>
  <si>
    <t>FLT19531</t>
  </si>
  <si>
    <t>BK1455</t>
  </si>
  <si>
    <t>BK1456</t>
  </si>
  <si>
    <t>FLT19557</t>
  </si>
  <si>
    <t>AI-780</t>
  </si>
  <si>
    <t>FLT19335</t>
  </si>
  <si>
    <t>BK1457</t>
  </si>
  <si>
    <t>FLT19260</t>
  </si>
  <si>
    <t>I5-1517</t>
  </si>
  <si>
    <t>BK1458</t>
  </si>
  <si>
    <t>FLT19642</t>
  </si>
  <si>
    <t>UK-870</t>
  </si>
  <si>
    <t>FLT19727</t>
  </si>
  <si>
    <t>AI-9891</t>
  </si>
  <si>
    <t>BK1459</t>
  </si>
  <si>
    <t>FLT19762</t>
  </si>
  <si>
    <t>UK-890</t>
  </si>
  <si>
    <t>BK1460</t>
  </si>
  <si>
    <t>FLT19643</t>
  </si>
  <si>
    <t>BK1461</t>
  </si>
  <si>
    <t>FLT19928</t>
  </si>
  <si>
    <t>G8-503</t>
  </si>
  <si>
    <t>FLT19883</t>
  </si>
  <si>
    <t>G8-517</t>
  </si>
  <si>
    <t>BK1462</t>
  </si>
  <si>
    <t>FLT19964</t>
  </si>
  <si>
    <t>UK-830</t>
  </si>
  <si>
    <t>BK1463</t>
  </si>
  <si>
    <t>FLT22878</t>
  </si>
  <si>
    <t>FLT19763</t>
  </si>
  <si>
    <t>BK1464</t>
  </si>
  <si>
    <t>UK-880</t>
  </si>
  <si>
    <t>FLT19914</t>
  </si>
  <si>
    <t>BK1465</t>
  </si>
  <si>
    <t>FLT19983</t>
  </si>
  <si>
    <t>BK1466</t>
  </si>
  <si>
    <t>AI-9893</t>
  </si>
  <si>
    <t>FLT19724</t>
  </si>
  <si>
    <t>G8-424</t>
  </si>
  <si>
    <t>BK1467</t>
  </si>
  <si>
    <t>FLT19897</t>
  </si>
  <si>
    <t>BK1468</t>
  </si>
  <si>
    <t>BK1469</t>
  </si>
  <si>
    <t>FLT19680</t>
  </si>
  <si>
    <t>BK1470</t>
  </si>
  <si>
    <t>FLT19664</t>
  </si>
  <si>
    <t>AI-543</t>
  </si>
  <si>
    <t>BK1471</t>
  </si>
  <si>
    <t>BK1472</t>
  </si>
  <si>
    <t>FLT19973</t>
  </si>
  <si>
    <t>G8-551</t>
  </si>
  <si>
    <t>BK1473</t>
  </si>
  <si>
    <t>FLT19677</t>
  </si>
  <si>
    <t>BK1474</t>
  </si>
  <si>
    <t>FLT19888</t>
  </si>
  <si>
    <t>AI-840</t>
  </si>
  <si>
    <t>BK1475</t>
  </si>
  <si>
    <t>FLT19760</t>
  </si>
  <si>
    <t>UK-894</t>
  </si>
  <si>
    <t>BK1476</t>
  </si>
  <si>
    <t>FLT19732</t>
  </si>
  <si>
    <t>BK1477</t>
  </si>
  <si>
    <t>BK1478</t>
  </si>
  <si>
    <t>FLT22868</t>
  </si>
  <si>
    <t>BK1479</t>
  </si>
  <si>
    <t>FLT19596</t>
  </si>
  <si>
    <t>6E-905</t>
  </si>
  <si>
    <t>BK1480</t>
  </si>
  <si>
    <t>FLT19659</t>
  </si>
  <si>
    <t>BK1481</t>
  </si>
  <si>
    <t>BK1482</t>
  </si>
  <si>
    <t>FLT19908</t>
  </si>
  <si>
    <t>BK1483</t>
  </si>
  <si>
    <t>FLT19660</t>
  </si>
  <si>
    <t>BK1484</t>
  </si>
  <si>
    <t>BK1485</t>
  </si>
  <si>
    <t>FLT19796</t>
  </si>
  <si>
    <t>BK1486</t>
  </si>
  <si>
    <t>BK1487</t>
  </si>
  <si>
    <t>FLT19812</t>
  </si>
  <si>
    <t>I5-1543</t>
  </si>
  <si>
    <t>BK1488</t>
  </si>
  <si>
    <t>FLT19669</t>
  </si>
  <si>
    <t>AI-9885</t>
  </si>
  <si>
    <t>BK1489</t>
  </si>
  <si>
    <t>FLT19740</t>
  </si>
  <si>
    <t>BK1490</t>
  </si>
  <si>
    <t>FLT19805</t>
  </si>
  <si>
    <t>BK1491</t>
  </si>
  <si>
    <t>FLT19835</t>
  </si>
  <si>
    <t>BK1492</t>
  </si>
  <si>
    <t>BK1493</t>
  </si>
  <si>
    <t>FLT19617</t>
  </si>
  <si>
    <t>BK1494</t>
  </si>
  <si>
    <t>FLT19929</t>
  </si>
  <si>
    <t>FLT19657</t>
  </si>
  <si>
    <t>BK1495</t>
  </si>
  <si>
    <t>FLT19719</t>
  </si>
  <si>
    <t>BK1496</t>
  </si>
  <si>
    <t>FLT19620</t>
  </si>
  <si>
    <t>BK1497</t>
  </si>
  <si>
    <t>FLT19833</t>
  </si>
  <si>
    <t>G8-7556</t>
  </si>
  <si>
    <t>BK1498</t>
  </si>
  <si>
    <t>BK1499</t>
  </si>
  <si>
    <t>FLT19874</t>
  </si>
  <si>
    <t>UK-898</t>
  </si>
  <si>
    <t>BK1500</t>
  </si>
  <si>
    <t>FLT19988</t>
  </si>
  <si>
    <t>BK1501</t>
  </si>
  <si>
    <t>FLT19810</t>
  </si>
  <si>
    <t>BK1502</t>
  </si>
  <si>
    <t>FLT20274</t>
  </si>
  <si>
    <t>BK1503</t>
  </si>
  <si>
    <t>FLT20106</t>
  </si>
  <si>
    <t>BK1504</t>
  </si>
  <si>
    <t>BK1505</t>
  </si>
  <si>
    <t>FLT20103</t>
  </si>
  <si>
    <t>BK1506</t>
  </si>
  <si>
    <t>BK1507</t>
  </si>
  <si>
    <t>FLT20032</t>
  </si>
  <si>
    <t>BK1508</t>
  </si>
  <si>
    <t>FLT20116</t>
  </si>
  <si>
    <t>BK1509</t>
  </si>
  <si>
    <t>BK1510</t>
  </si>
  <si>
    <t>FLT20221</t>
  </si>
  <si>
    <t>I5-972</t>
  </si>
  <si>
    <t>BK1511</t>
  </si>
  <si>
    <t>FLT20171</t>
  </si>
  <si>
    <t>BK1512</t>
  </si>
  <si>
    <t>FLT20268</t>
  </si>
  <si>
    <t>BK1513</t>
  </si>
  <si>
    <t>BK1514</t>
  </si>
  <si>
    <t>FLT22895</t>
  </si>
  <si>
    <t>BK1515</t>
  </si>
  <si>
    <t>BK1516</t>
  </si>
  <si>
    <t>FLT20015</t>
  </si>
  <si>
    <t>AI-698</t>
  </si>
  <si>
    <t>BK1517</t>
  </si>
  <si>
    <t>FLT20114</t>
  </si>
  <si>
    <t>BK1518</t>
  </si>
  <si>
    <t>FLT20211</t>
  </si>
  <si>
    <t>6E-7211</t>
  </si>
  <si>
    <t>BK1519</t>
  </si>
  <si>
    <t>BK1520</t>
  </si>
  <si>
    <t>FLT20251</t>
  </si>
  <si>
    <t>BK1521</t>
  </si>
  <si>
    <t>FLT20145</t>
  </si>
  <si>
    <t>BK1522</t>
  </si>
  <si>
    <t>6E-514</t>
  </si>
  <si>
    <t>BK1523</t>
  </si>
  <si>
    <t>FLT20099</t>
  </si>
  <si>
    <t>BK1524</t>
  </si>
  <si>
    <t>BK1525</t>
  </si>
  <si>
    <t>FLT20162</t>
  </si>
  <si>
    <t>BK1526</t>
  </si>
  <si>
    <t>FLT20108</t>
  </si>
  <si>
    <t>BK1527</t>
  </si>
  <si>
    <t>BK1528</t>
  </si>
  <si>
    <t>FLT22884</t>
  </si>
  <si>
    <t>AI-559</t>
  </si>
  <si>
    <t>BK1529</t>
  </si>
  <si>
    <t>BK1530</t>
  </si>
  <si>
    <t>FLT20256</t>
  </si>
  <si>
    <t>BK1531</t>
  </si>
  <si>
    <t>FLT19999</t>
  </si>
  <si>
    <t>AI-9881</t>
  </si>
  <si>
    <t>BK1532</t>
  </si>
  <si>
    <t>BK1533</t>
  </si>
  <si>
    <t>FLT20270</t>
  </si>
  <si>
    <t>BK1534</t>
  </si>
  <si>
    <t>FLT20045</t>
  </si>
  <si>
    <t>BK1535</t>
  </si>
  <si>
    <t>BK1536</t>
  </si>
  <si>
    <t>FLT20155</t>
  </si>
  <si>
    <t>BK1537</t>
  </si>
  <si>
    <t>BK1538</t>
  </si>
  <si>
    <t>FLT20109</t>
  </si>
  <si>
    <t>BK1539</t>
  </si>
  <si>
    <t>FLT20134</t>
  </si>
  <si>
    <t>BK1540</t>
  </si>
  <si>
    <t>UK-659</t>
  </si>
  <si>
    <t>BK1541</t>
  </si>
  <si>
    <t>FLT20080</t>
  </si>
  <si>
    <t>BK1542</t>
  </si>
  <si>
    <t>FLT20098</t>
  </si>
  <si>
    <t>BK1543</t>
  </si>
  <si>
    <t>BK1544</t>
  </si>
  <si>
    <t>FLT20200</t>
  </si>
  <si>
    <t>BK1545</t>
  </si>
  <si>
    <t>BK1546</t>
  </si>
  <si>
    <t>BK1547</t>
  </si>
  <si>
    <t>FLT20129</t>
  </si>
  <si>
    <t>BK1548</t>
  </si>
  <si>
    <t>FLT20304</t>
  </si>
  <si>
    <t>BK1549</t>
  </si>
  <si>
    <t>BK1550</t>
  </si>
  <si>
    <t>FLT20166</t>
  </si>
  <si>
    <t>AI-541</t>
  </si>
  <si>
    <t>BK1551</t>
  </si>
  <si>
    <t>FLT20029</t>
  </si>
  <si>
    <t>BK1552</t>
  </si>
  <si>
    <t>FLT20094</t>
  </si>
  <si>
    <t>AI-838</t>
  </si>
  <si>
    <t>BK1553</t>
  </si>
  <si>
    <t>BK1554</t>
  </si>
  <si>
    <t>FLT20306</t>
  </si>
  <si>
    <t>AI-620</t>
  </si>
  <si>
    <t>BK1555</t>
  </si>
  <si>
    <t>FLT20068</t>
  </si>
  <si>
    <t>BK1556</t>
  </si>
  <si>
    <t>FLT19995</t>
  </si>
  <si>
    <t>6E-371</t>
  </si>
  <si>
    <t>BK1557</t>
  </si>
  <si>
    <t>FLT20290</t>
  </si>
  <si>
    <t>BK1558</t>
  </si>
  <si>
    <t>FLT22888</t>
  </si>
  <si>
    <t>BK1559</t>
  </si>
  <si>
    <t>BK1560</t>
  </si>
  <si>
    <t>FLT20100</t>
  </si>
  <si>
    <t>BK1561</t>
  </si>
  <si>
    <t>FLT20066</t>
  </si>
  <si>
    <t>BK1562</t>
  </si>
  <si>
    <t>BK1563</t>
  </si>
  <si>
    <t>FLT20509</t>
  </si>
  <si>
    <t>BK1564</t>
  </si>
  <si>
    <t>FLT22903</t>
  </si>
  <si>
    <t>BK1565</t>
  </si>
  <si>
    <t>BK1566</t>
  </si>
  <si>
    <t>FLT20344</t>
  </si>
  <si>
    <t>6E-384</t>
  </si>
  <si>
    <t>BK1567</t>
  </si>
  <si>
    <t>FLT20519</t>
  </si>
  <si>
    <t>BK1568</t>
  </si>
  <si>
    <t>6E-6593</t>
  </si>
  <si>
    <t>BK1569</t>
  </si>
  <si>
    <t>FLT20404</t>
  </si>
  <si>
    <t>BK1570</t>
  </si>
  <si>
    <t>BK1571</t>
  </si>
  <si>
    <t>FLT20395</t>
  </si>
  <si>
    <t>BK1572</t>
  </si>
  <si>
    <t>FLT20684</t>
  </si>
  <si>
    <t>BK1573</t>
  </si>
  <si>
    <t>FLT20405</t>
  </si>
  <si>
    <t>BK1574</t>
  </si>
  <si>
    <t>BK1575</t>
  </si>
  <si>
    <t>FLT20533</t>
  </si>
  <si>
    <t>BK1576</t>
  </si>
  <si>
    <t>FLT20437</t>
  </si>
  <si>
    <t>BK1577</t>
  </si>
  <si>
    <t>6E-827</t>
  </si>
  <si>
    <t>BK1578</t>
  </si>
  <si>
    <t>FLT20320</t>
  </si>
  <si>
    <t>BK1579</t>
  </si>
  <si>
    <t>BK1580</t>
  </si>
  <si>
    <t>FLT20694</t>
  </si>
  <si>
    <t>BK1581</t>
  </si>
  <si>
    <t>FLT20367</t>
  </si>
  <si>
    <t>BK1582</t>
  </si>
  <si>
    <t>BK1583</t>
  </si>
  <si>
    <t>FLT20383</t>
  </si>
  <si>
    <t>BK1584</t>
  </si>
  <si>
    <t>FLT20443</t>
  </si>
  <si>
    <t>6E-5207</t>
  </si>
  <si>
    <t>BK1585</t>
  </si>
  <si>
    <t>FLT20353</t>
  </si>
  <si>
    <t>6E-6151</t>
  </si>
  <si>
    <t>BK1586</t>
  </si>
  <si>
    <t>FLT20681</t>
  </si>
  <si>
    <t>BK1587</t>
  </si>
  <si>
    <t>FLT20586</t>
  </si>
  <si>
    <t>BK1588</t>
  </si>
  <si>
    <t>FLT20540</t>
  </si>
  <si>
    <t>6E-982</t>
  </si>
  <si>
    <t>BK1589</t>
  </si>
  <si>
    <t>BK1590</t>
  </si>
  <si>
    <t>FLT20688</t>
  </si>
  <si>
    <t>6E-6242</t>
  </si>
  <si>
    <t>BK1591</t>
  </si>
  <si>
    <t>FLT20388</t>
  </si>
  <si>
    <t>BK1592</t>
  </si>
  <si>
    <t>BK1593</t>
  </si>
  <si>
    <t>FLT20326</t>
  </si>
  <si>
    <t>6E-6319</t>
  </si>
  <si>
    <t>BK1594</t>
  </si>
  <si>
    <t>FLT20700</t>
  </si>
  <si>
    <t>BK1595</t>
  </si>
  <si>
    <t>FLT20549</t>
  </si>
  <si>
    <t>G8-426</t>
  </si>
  <si>
    <t>BK1596</t>
  </si>
  <si>
    <t>BK1597</t>
  </si>
  <si>
    <t>FLT20311</t>
  </si>
  <si>
    <t>6E-809</t>
  </si>
  <si>
    <t>BK1598</t>
  </si>
  <si>
    <t>FLT22901</t>
  </si>
  <si>
    <t>BK1599</t>
  </si>
  <si>
    <t>BK1600</t>
  </si>
  <si>
    <t>FLT20425</t>
  </si>
  <si>
    <t>AI-420</t>
  </si>
  <si>
    <t>BK1601</t>
  </si>
  <si>
    <t>FLT20545</t>
  </si>
  <si>
    <t>BK1602</t>
  </si>
  <si>
    <t>FLT20572</t>
  </si>
  <si>
    <t>BK1603</t>
  </si>
  <si>
    <t>FLT20415</t>
  </si>
  <si>
    <t>BK1604</t>
  </si>
  <si>
    <t>FLT22900</t>
  </si>
  <si>
    <t>BK1605</t>
  </si>
  <si>
    <t>BK1606</t>
  </si>
  <si>
    <t>FLT20686</t>
  </si>
  <si>
    <t>BK1607</t>
  </si>
  <si>
    <t>FLT20609</t>
  </si>
  <si>
    <t>BK1608</t>
  </si>
  <si>
    <t>FLT20368</t>
  </si>
  <si>
    <t>BK1609</t>
  </si>
  <si>
    <t>FLT20623</t>
  </si>
  <si>
    <t>BK1610</t>
  </si>
  <si>
    <t>FLT20427</t>
  </si>
  <si>
    <t>BK1611</t>
  </si>
  <si>
    <t>BK1612</t>
  </si>
  <si>
    <t>FLT20424</t>
  </si>
  <si>
    <t>6E-7224</t>
  </si>
  <si>
    <t>BK1613</t>
  </si>
  <si>
    <t>FLT20573</t>
  </si>
  <si>
    <t>BK1614</t>
  </si>
  <si>
    <t>6E-995</t>
  </si>
  <si>
    <t>BK1615</t>
  </si>
  <si>
    <t>FLT20469</t>
  </si>
  <si>
    <t>SG-5094</t>
  </si>
  <si>
    <t>BK1616</t>
  </si>
  <si>
    <t>FLT20452</t>
  </si>
  <si>
    <t>BK1617</t>
  </si>
  <si>
    <t>BK1618</t>
  </si>
  <si>
    <t>FLT20711</t>
  </si>
  <si>
    <t>BK1619</t>
  </si>
  <si>
    <t>BK1620</t>
  </si>
  <si>
    <t>FLT20786</t>
  </si>
  <si>
    <t>BK1621</t>
  </si>
  <si>
    <t>FLT20819</t>
  </si>
  <si>
    <t>BK1622</t>
  </si>
  <si>
    <t>FLT20846</t>
  </si>
  <si>
    <t>BK1623</t>
  </si>
  <si>
    <t>FLT20923</t>
  </si>
  <si>
    <t>BK1624</t>
  </si>
  <si>
    <t>BK1625</t>
  </si>
  <si>
    <t>FLT20815</t>
  </si>
  <si>
    <t>BK1626</t>
  </si>
  <si>
    <t>FLT20770</t>
  </si>
  <si>
    <t>BK1627</t>
  </si>
  <si>
    <t>BK1628</t>
  </si>
  <si>
    <t>FLT20806</t>
  </si>
  <si>
    <t>BK1629</t>
  </si>
  <si>
    <t>BK1630</t>
  </si>
  <si>
    <t>FLT20879</t>
  </si>
  <si>
    <t>BK1631</t>
  </si>
  <si>
    <t>FLT20887</t>
  </si>
  <si>
    <t>BK1632</t>
  </si>
  <si>
    <t>BK1633</t>
  </si>
  <si>
    <t>FLT20757</t>
  </si>
  <si>
    <t>BK1634</t>
  </si>
  <si>
    <t>FLT20717</t>
  </si>
  <si>
    <t>BK1635</t>
  </si>
  <si>
    <t>BK1636</t>
  </si>
  <si>
    <t>FLT20901</t>
  </si>
  <si>
    <t>BK1637</t>
  </si>
  <si>
    <t>BK1638</t>
  </si>
  <si>
    <t>FLT20727</t>
  </si>
  <si>
    <t>6E-6066</t>
  </si>
  <si>
    <t>BK1639</t>
  </si>
  <si>
    <t>FLT20732</t>
  </si>
  <si>
    <t>BK1640</t>
  </si>
  <si>
    <t>6E-6591</t>
  </si>
  <si>
    <t>BK1641</t>
  </si>
  <si>
    <t>FLT20747</t>
  </si>
  <si>
    <t>BK1642</t>
  </si>
  <si>
    <t>FLT20873</t>
  </si>
  <si>
    <t>BK1643</t>
  </si>
  <si>
    <t>BK1644</t>
  </si>
  <si>
    <t>FLT20784</t>
  </si>
  <si>
    <t>BK1645</t>
  </si>
  <si>
    <t>FLT20910</t>
  </si>
  <si>
    <t>BK1646</t>
  </si>
  <si>
    <t>BK1647</t>
  </si>
  <si>
    <t>FLT20799</t>
  </si>
  <si>
    <t>BK1648</t>
  </si>
  <si>
    <t>FLT20795</t>
  </si>
  <si>
    <t>FLT20720</t>
  </si>
  <si>
    <t>BK1649</t>
  </si>
  <si>
    <t>FLT20781</t>
  </si>
  <si>
    <t>6E-752</t>
  </si>
  <si>
    <t>BK1650</t>
  </si>
  <si>
    <t>FLT20843</t>
  </si>
  <si>
    <t>FLT20849</t>
  </si>
  <si>
    <t>BK1651</t>
  </si>
  <si>
    <t>FLT20845</t>
  </si>
  <si>
    <t>6E-879</t>
  </si>
  <si>
    <t>BK1652</t>
  </si>
  <si>
    <t>FLT20894</t>
  </si>
  <si>
    <t>BK1653</t>
  </si>
  <si>
    <t>BK1654</t>
  </si>
  <si>
    <t>BK1655</t>
  </si>
  <si>
    <t>BK1656</t>
  </si>
  <si>
    <t>BK1657</t>
  </si>
  <si>
    <t>BK1658</t>
  </si>
  <si>
    <t>BK1659</t>
  </si>
  <si>
    <t>BK1660</t>
  </si>
  <si>
    <t>FLT20769</t>
  </si>
  <si>
    <t>FLT20762</t>
  </si>
  <si>
    <t>BK1661</t>
  </si>
  <si>
    <t>SG-732</t>
  </si>
  <si>
    <t>FLT20803</t>
  </si>
  <si>
    <t>BK1662</t>
  </si>
  <si>
    <t>FLT20914</t>
  </si>
  <si>
    <t>BK1663</t>
  </si>
  <si>
    <t>FLT20771</t>
  </si>
  <si>
    <t>BK1664</t>
  </si>
  <si>
    <t>FLT20718</t>
  </si>
  <si>
    <t>BK1665</t>
  </si>
  <si>
    <t>FLT20892</t>
  </si>
  <si>
    <t>BK1666</t>
  </si>
  <si>
    <t>BK1667</t>
  </si>
  <si>
    <t>FLT20858</t>
  </si>
  <si>
    <t>BK1668</t>
  </si>
  <si>
    <t>BK1669</t>
  </si>
  <si>
    <t>BK1670</t>
  </si>
  <si>
    <t>BK1671</t>
  </si>
  <si>
    <t>BK1672</t>
  </si>
  <si>
    <t>BK1673</t>
  </si>
  <si>
    <t>BK1674</t>
  </si>
  <si>
    <t>FLT20816</t>
  </si>
  <si>
    <t>BK1675</t>
  </si>
  <si>
    <t>FLT20861</t>
  </si>
  <si>
    <t>BK1676</t>
  </si>
  <si>
    <t>BK1677</t>
  </si>
  <si>
    <t>FLT20813</t>
  </si>
  <si>
    <t>BK1678</t>
  </si>
  <si>
    <t>FLT20777</t>
  </si>
  <si>
    <t>BK1679</t>
  </si>
  <si>
    <t>BK1680</t>
  </si>
  <si>
    <t>FLT20882</t>
  </si>
  <si>
    <t>BK1681</t>
  </si>
  <si>
    <t>FLT21319</t>
  </si>
  <si>
    <t>BK1682</t>
  </si>
  <si>
    <t>AI-672</t>
  </si>
  <si>
    <t>BK1683</t>
  </si>
  <si>
    <t>FLT21002</t>
  </si>
  <si>
    <t>AI-569</t>
  </si>
  <si>
    <t>BK1684</t>
  </si>
  <si>
    <t>BK1685</t>
  </si>
  <si>
    <t>FLT21202</t>
  </si>
  <si>
    <t>6E-917</t>
  </si>
  <si>
    <t>BK1686</t>
  </si>
  <si>
    <t>FLT21229</t>
  </si>
  <si>
    <t>BK1687</t>
  </si>
  <si>
    <t>AI-440</t>
  </si>
  <si>
    <t>BK1688</t>
  </si>
  <si>
    <t>FLT21249</t>
  </si>
  <si>
    <t>6E-998</t>
  </si>
  <si>
    <t>BK1689</t>
  </si>
  <si>
    <t>FLT21213</t>
  </si>
  <si>
    <t>BK1690</t>
  </si>
  <si>
    <t>AI-9894</t>
  </si>
  <si>
    <t>BK1691</t>
  </si>
  <si>
    <t>FLT21142</t>
  </si>
  <si>
    <t>BK1692</t>
  </si>
  <si>
    <t>G8-302</t>
  </si>
  <si>
    <t>BK1693</t>
  </si>
  <si>
    <t>FLT21006</t>
  </si>
  <si>
    <t>UK-822</t>
  </si>
  <si>
    <t>BK1694</t>
  </si>
  <si>
    <t>BK1695</t>
  </si>
  <si>
    <t>FLT22927</t>
  </si>
  <si>
    <t>UK-828</t>
  </si>
  <si>
    <t>BK1696</t>
  </si>
  <si>
    <t>FLT21326</t>
  </si>
  <si>
    <t>AI-563</t>
  </si>
  <si>
    <t>BK1697</t>
  </si>
  <si>
    <t>FLT21214</t>
  </si>
  <si>
    <t>BK1698</t>
  </si>
  <si>
    <t>FLT20999</t>
  </si>
  <si>
    <t>BK1699</t>
  </si>
  <si>
    <t>FLT21149</t>
  </si>
  <si>
    <t>BK1700</t>
  </si>
  <si>
    <t>G8-505</t>
  </si>
  <si>
    <t>BK1701</t>
  </si>
  <si>
    <t>FLT21318</t>
  </si>
  <si>
    <t>BK1702</t>
  </si>
  <si>
    <t>BK1703</t>
  </si>
  <si>
    <t>BK1704</t>
  </si>
  <si>
    <t>BK1705</t>
  </si>
  <si>
    <t>BK1706</t>
  </si>
  <si>
    <t>BK1707</t>
  </si>
  <si>
    <t>BK1708</t>
  </si>
  <si>
    <t>BK1709</t>
  </si>
  <si>
    <t>BK1710</t>
  </si>
  <si>
    <t>BK1711</t>
  </si>
  <si>
    <t>FLT21079</t>
  </si>
  <si>
    <t>BK1712</t>
  </si>
  <si>
    <t>UK-826</t>
  </si>
  <si>
    <t>BK1713</t>
  </si>
  <si>
    <t>FLT21000</t>
  </si>
  <si>
    <t>BK1714</t>
  </si>
  <si>
    <t>FLT22926</t>
  </si>
  <si>
    <t>BK1715</t>
  </si>
  <si>
    <t>BK1716</t>
  </si>
  <si>
    <t>FLT21116</t>
  </si>
  <si>
    <t>6E-6219</t>
  </si>
  <si>
    <t>BK1717</t>
  </si>
  <si>
    <t>FLT20997</t>
  </si>
  <si>
    <t>BK1718</t>
  </si>
  <si>
    <t>FLT21077</t>
  </si>
  <si>
    <t>BK1719</t>
  </si>
  <si>
    <t>FLT20933</t>
  </si>
  <si>
    <t>6E-847</t>
  </si>
  <si>
    <t>BK1720</t>
  </si>
  <si>
    <t>BK1721</t>
  </si>
  <si>
    <t>FLT21099</t>
  </si>
  <si>
    <t>BK1722</t>
  </si>
  <si>
    <t>FLT20954</t>
  </si>
  <si>
    <t>SG-520</t>
  </si>
  <si>
    <t>BK1723</t>
  </si>
  <si>
    <t>FLT21335</t>
  </si>
  <si>
    <t>FLT21028</t>
  </si>
  <si>
    <t>AI-766</t>
  </si>
  <si>
    <t>BK1724</t>
  </si>
  <si>
    <t>FLT21056</t>
  </si>
  <si>
    <t>SG-1057</t>
  </si>
  <si>
    <t>BK1725</t>
  </si>
  <si>
    <t>FLT20994</t>
  </si>
  <si>
    <t>BK1726</t>
  </si>
  <si>
    <t>FLT21293</t>
  </si>
  <si>
    <t>SG-678</t>
  </si>
  <si>
    <t>BK1727</t>
  </si>
  <si>
    <t>FLT22917</t>
  </si>
  <si>
    <t>UK-824</t>
  </si>
  <si>
    <t>BK1728</t>
  </si>
  <si>
    <t>FLT20979</t>
  </si>
  <si>
    <t>BK1729</t>
  </si>
  <si>
    <t>FLT22918</t>
  </si>
  <si>
    <t>BK1730</t>
  </si>
  <si>
    <t>FLT21284</t>
  </si>
  <si>
    <t>BK1731</t>
  </si>
  <si>
    <t>BK1732</t>
  </si>
  <si>
    <t>FLT21105</t>
  </si>
  <si>
    <t>BK1733</t>
  </si>
  <si>
    <t>FLT21231</t>
  </si>
  <si>
    <t>BK1734</t>
  </si>
  <si>
    <t>BK1735</t>
  </si>
  <si>
    <t>FLT21299</t>
  </si>
  <si>
    <t>SG-395</t>
  </si>
  <si>
    <t>BK1736</t>
  </si>
  <si>
    <t>FLT20996</t>
  </si>
  <si>
    <t>BK1737</t>
  </si>
  <si>
    <t>FLT21127</t>
  </si>
  <si>
    <t>I5-517</t>
  </si>
  <si>
    <t>BK1738</t>
  </si>
  <si>
    <t>FLT21025</t>
  </si>
  <si>
    <t>BK1739</t>
  </si>
  <si>
    <t>FLT20963</t>
  </si>
  <si>
    <t>BK1740</t>
  </si>
  <si>
    <t>FLT21215</t>
  </si>
  <si>
    <t>SG-612</t>
  </si>
  <si>
    <t>BK1741</t>
  </si>
  <si>
    <t>BK1742</t>
  </si>
  <si>
    <t>FLT21607</t>
  </si>
  <si>
    <t>BK1743</t>
  </si>
  <si>
    <t>FLT21382</t>
  </si>
  <si>
    <t>UK-834</t>
  </si>
  <si>
    <t>BK1744</t>
  </si>
  <si>
    <t>FLT21503</t>
  </si>
  <si>
    <t>AI-430</t>
  </si>
  <si>
    <t>BK1745</t>
  </si>
  <si>
    <t>FLT21378</t>
  </si>
  <si>
    <t>BK1746</t>
  </si>
  <si>
    <t>UK-836</t>
  </si>
  <si>
    <t>BK1747</t>
  </si>
  <si>
    <t>FLT21686</t>
  </si>
  <si>
    <t>BK1748</t>
  </si>
  <si>
    <t>BK1749</t>
  </si>
  <si>
    <t>FLT21517</t>
  </si>
  <si>
    <t>UK-832</t>
  </si>
  <si>
    <t>BK1750</t>
  </si>
  <si>
    <t>FLT21489</t>
  </si>
  <si>
    <t>BK1751</t>
  </si>
  <si>
    <t>FLT21369</t>
  </si>
  <si>
    <t>UK-838</t>
  </si>
  <si>
    <t>BK1752</t>
  </si>
  <si>
    <t>BK1753</t>
  </si>
  <si>
    <t>FLT21452</t>
  </si>
  <si>
    <t>BK1754</t>
  </si>
  <si>
    <t>FLT21484</t>
  </si>
  <si>
    <t>BK1755</t>
  </si>
  <si>
    <t>FLT21713</t>
  </si>
  <si>
    <t>BK1756</t>
  </si>
  <si>
    <t>FLT21620</t>
  </si>
  <si>
    <t>AI-539</t>
  </si>
  <si>
    <t>BK1757</t>
  </si>
  <si>
    <t>FLT21440</t>
  </si>
  <si>
    <t>BK1758</t>
  </si>
  <si>
    <t>FLT21393</t>
  </si>
  <si>
    <t>BK1759</t>
  </si>
  <si>
    <t>FLT21534</t>
  </si>
  <si>
    <t>BK1760</t>
  </si>
  <si>
    <t>FLT21450</t>
  </si>
  <si>
    <t>BK1761</t>
  </si>
  <si>
    <t>FLT21351</t>
  </si>
  <si>
    <t>BK1762</t>
  </si>
  <si>
    <t>FLT21554</t>
  </si>
  <si>
    <t>I5-1229</t>
  </si>
  <si>
    <t>BK1763</t>
  </si>
  <si>
    <t>FLT21420</t>
  </si>
  <si>
    <t>FLT21336</t>
  </si>
  <si>
    <t>6E-588</t>
  </si>
  <si>
    <t>BK1764</t>
  </si>
  <si>
    <t>FLT21721</t>
  </si>
  <si>
    <t>BK1765</t>
  </si>
  <si>
    <t>FLT21488</t>
  </si>
  <si>
    <t>FLT21409</t>
  </si>
  <si>
    <t>BK1766</t>
  </si>
  <si>
    <t>FLT21504</t>
  </si>
  <si>
    <t>BK1767</t>
  </si>
  <si>
    <t>FLT21697</t>
  </si>
  <si>
    <t>FLT21413</t>
  </si>
  <si>
    <t>BK1768</t>
  </si>
  <si>
    <t>FLT22932</t>
  </si>
  <si>
    <t>BK1769</t>
  </si>
  <si>
    <t>FLT21665</t>
  </si>
  <si>
    <t>G8-917</t>
  </si>
  <si>
    <t>FLT21412</t>
  </si>
  <si>
    <t>6E-605</t>
  </si>
  <si>
    <t>BK1770</t>
  </si>
  <si>
    <t>FLT21635</t>
  </si>
  <si>
    <t>BK1771</t>
  </si>
  <si>
    <t>BK1772</t>
  </si>
  <si>
    <t>FLT21573</t>
  </si>
  <si>
    <t>BK1773</t>
  </si>
  <si>
    <t>BK1774</t>
  </si>
  <si>
    <t>FLT21345</t>
  </si>
  <si>
    <t>BK1775</t>
  </si>
  <si>
    <t>FLT21672</t>
  </si>
  <si>
    <t>BK1776</t>
  </si>
  <si>
    <t>FLT21632</t>
  </si>
  <si>
    <t>BK1777</t>
  </si>
  <si>
    <t>FLT21391</t>
  </si>
  <si>
    <t>BK1778</t>
  </si>
  <si>
    <t>BK1779</t>
  </si>
  <si>
    <t>FLT21499</t>
  </si>
  <si>
    <t>6E-6113</t>
  </si>
  <si>
    <t>BK1780</t>
  </si>
  <si>
    <t>FLT21361</t>
  </si>
  <si>
    <t>BK1781</t>
  </si>
  <si>
    <t>FLT21685</t>
  </si>
  <si>
    <t>G8-911</t>
  </si>
  <si>
    <t>BK1782</t>
  </si>
  <si>
    <t>FLT21418</t>
  </si>
  <si>
    <t>BK1783</t>
  </si>
  <si>
    <t>FLT21475</t>
  </si>
  <si>
    <t>BK1784</t>
  </si>
  <si>
    <t>BK1785</t>
  </si>
  <si>
    <t>FLT21960</t>
  </si>
  <si>
    <t>BK1786</t>
  </si>
  <si>
    <t>FLT21839</t>
  </si>
  <si>
    <t>BK1787</t>
  </si>
  <si>
    <t>BK1788</t>
  </si>
  <si>
    <t>FLT21836</t>
  </si>
  <si>
    <t>BK1789</t>
  </si>
  <si>
    <t>FLT21765</t>
  </si>
  <si>
    <t>BK1790</t>
  </si>
  <si>
    <t>BK1791</t>
  </si>
  <si>
    <t>FLT21849</t>
  </si>
  <si>
    <t>BK1792</t>
  </si>
  <si>
    <t>FLT21998</t>
  </si>
  <si>
    <t>6E-574</t>
  </si>
  <si>
    <t>BK1793</t>
  </si>
  <si>
    <t>BK1794</t>
  </si>
  <si>
    <t>FLT21905</t>
  </si>
  <si>
    <t>BK1795</t>
  </si>
  <si>
    <t>FLT21902</t>
  </si>
  <si>
    <t>BK1796</t>
  </si>
  <si>
    <t>FLT22945</t>
  </si>
  <si>
    <t>BK1797</t>
  </si>
  <si>
    <t>BK1798</t>
  </si>
  <si>
    <t>FLT21748</t>
  </si>
  <si>
    <t>BK1799</t>
  </si>
  <si>
    <t>FLT21847</t>
  </si>
  <si>
    <t>BK1800</t>
  </si>
  <si>
    <t>BK1801</t>
  </si>
  <si>
    <t>FLT21946</t>
  </si>
  <si>
    <t>BK1802</t>
  </si>
  <si>
    <t>BK1803</t>
  </si>
  <si>
    <t>FLT22018</t>
  </si>
  <si>
    <t>BK1804</t>
  </si>
  <si>
    <t>FLT21991</t>
  </si>
  <si>
    <t>6E-477</t>
  </si>
  <si>
    <t>BK1805</t>
  </si>
  <si>
    <t>FLT21832</t>
  </si>
  <si>
    <t>BK1806</t>
  </si>
  <si>
    <t>FLT21875</t>
  </si>
  <si>
    <t>BK1807</t>
  </si>
  <si>
    <t>BK1808</t>
  </si>
  <si>
    <t>FLT21841</t>
  </si>
  <si>
    <t>BK1809</t>
  </si>
  <si>
    <t>BK1810</t>
  </si>
  <si>
    <t>FLT21870</t>
  </si>
  <si>
    <t>BK1811</t>
  </si>
  <si>
    <t>FLT21880</t>
  </si>
  <si>
    <t>BK1812</t>
  </si>
  <si>
    <t>BK1813</t>
  </si>
  <si>
    <t>FLT21732</t>
  </si>
  <si>
    <t>6E-365</t>
  </si>
  <si>
    <t>BK1814</t>
  </si>
  <si>
    <t>FLT21926</t>
  </si>
  <si>
    <t>BK1815</t>
  </si>
  <si>
    <t>FLT21778</t>
  </si>
  <si>
    <t>BK1816</t>
  </si>
  <si>
    <t>BK1817</t>
  </si>
  <si>
    <t>FLT22026</t>
  </si>
  <si>
    <t>BK1818</t>
  </si>
  <si>
    <t>FLT21842</t>
  </si>
  <si>
    <t>BK1819</t>
  </si>
  <si>
    <t>BK1820</t>
  </si>
  <si>
    <t>FLT21868</t>
  </si>
  <si>
    <t>BK1821</t>
  </si>
  <si>
    <t>FLT21813</t>
  </si>
  <si>
    <t>BK1822</t>
  </si>
  <si>
    <t>FLT21831</t>
  </si>
  <si>
    <t>BK1823</t>
  </si>
  <si>
    <t>FLT21895</t>
  </si>
  <si>
    <t>I5-821</t>
  </si>
  <si>
    <t>BK1824</t>
  </si>
  <si>
    <t>FLT21862</t>
  </si>
  <si>
    <t>BK1825</t>
  </si>
  <si>
    <t>FLT22040</t>
  </si>
  <si>
    <t>BK1826</t>
  </si>
  <si>
    <t>BK1827</t>
  </si>
  <si>
    <t>FLT21900</t>
  </si>
  <si>
    <t>BK1828</t>
  </si>
  <si>
    <t>FLT21762</t>
  </si>
  <si>
    <t>BK1829</t>
  </si>
  <si>
    <t>BK1830</t>
  </si>
  <si>
    <t>BK1831</t>
  </si>
  <si>
    <t>BK1832</t>
  </si>
  <si>
    <t>BK1833</t>
  </si>
  <si>
    <t>BK1834</t>
  </si>
  <si>
    <t>BK1835</t>
  </si>
  <si>
    <t>BK1836</t>
  </si>
  <si>
    <t>FLT21827</t>
  </si>
  <si>
    <t>BK1837</t>
  </si>
  <si>
    <t>BK1838</t>
  </si>
  <si>
    <t>FLT21978</t>
  </si>
  <si>
    <t>BK1839</t>
  </si>
  <si>
    <t>FLT21801</t>
  </si>
  <si>
    <t>BK1840</t>
  </si>
  <si>
    <t>FLT21728</t>
  </si>
  <si>
    <t>BK1841</t>
  </si>
  <si>
    <t>FLT21932</t>
  </si>
  <si>
    <t>BK1842</t>
  </si>
  <si>
    <t>BK1843</t>
  </si>
  <si>
    <t>BK1844</t>
  </si>
  <si>
    <t>BK1845</t>
  </si>
  <si>
    <t>BK1846</t>
  </si>
  <si>
    <t>BK1847</t>
  </si>
  <si>
    <t>BK1848</t>
  </si>
  <si>
    <t>BK1849</t>
  </si>
  <si>
    <t>BK1850</t>
  </si>
  <si>
    <t>BK1851</t>
  </si>
  <si>
    <t>BK1852</t>
  </si>
  <si>
    <t>FLT22937</t>
  </si>
  <si>
    <t>AI-538</t>
  </si>
  <si>
    <t>BK1853</t>
  </si>
  <si>
    <t>FLT21833</t>
  </si>
  <si>
    <t>FLT21799</t>
  </si>
  <si>
    <t>BK1854</t>
  </si>
  <si>
    <t>FLT22276</t>
  </si>
  <si>
    <t>BK1855</t>
  </si>
  <si>
    <t>FLT22094</t>
  </si>
  <si>
    <t>BK1856</t>
  </si>
  <si>
    <t>FLT22337</t>
  </si>
  <si>
    <t>SG-4010</t>
  </si>
  <si>
    <t>BK1857</t>
  </si>
  <si>
    <t>FLT22354</t>
  </si>
  <si>
    <t>6E-6006</t>
  </si>
  <si>
    <t>BK1858</t>
  </si>
  <si>
    <t>FLT22108</t>
  </si>
  <si>
    <t>BK1859</t>
  </si>
  <si>
    <t>FLT22324</t>
  </si>
  <si>
    <t>BK1860</t>
  </si>
  <si>
    <t>FLT22067</t>
  </si>
  <si>
    <t>6E-591</t>
  </si>
  <si>
    <t>BK1861</t>
  </si>
  <si>
    <t>FLT22109</t>
  </si>
  <si>
    <t>BK1862</t>
  </si>
  <si>
    <t>FLT22300</t>
  </si>
  <si>
    <t>BK1863</t>
  </si>
  <si>
    <t>BK1864</t>
  </si>
  <si>
    <t>BK1865</t>
  </si>
  <si>
    <t>FLT22176</t>
  </si>
  <si>
    <t>BK1866</t>
  </si>
  <si>
    <t>FLT22134</t>
  </si>
  <si>
    <t>BK1867</t>
  </si>
  <si>
    <t>BK1868</t>
  </si>
  <si>
    <t>BK1869</t>
  </si>
  <si>
    <t>BK1870</t>
  </si>
  <si>
    <t>BK1871</t>
  </si>
  <si>
    <t>BK1872</t>
  </si>
  <si>
    <t>BK1873</t>
  </si>
  <si>
    <t>FLT22406</t>
  </si>
  <si>
    <t>FLT22262</t>
  </si>
  <si>
    <t>FLT22391</t>
  </si>
  <si>
    <t>6E-5394</t>
  </si>
  <si>
    <t>FLT22171</t>
  </si>
  <si>
    <t>6E-6137</t>
  </si>
  <si>
    <t>FLT22178</t>
  </si>
  <si>
    <t>FLT22255</t>
  </si>
  <si>
    <t>6E-2062</t>
  </si>
  <si>
    <t>FLT22352</t>
  </si>
  <si>
    <t>6E-6215</t>
  </si>
  <si>
    <t>FLT22191</t>
  </si>
  <si>
    <t>FLT22948</t>
  </si>
  <si>
    <t>BK1874</t>
  </si>
  <si>
    <t>FLT22192</t>
  </si>
  <si>
    <t>BK1875</t>
  </si>
  <si>
    <t>FLT22274</t>
  </si>
  <si>
    <t>BK1876</t>
  </si>
  <si>
    <t>FLT22376</t>
  </si>
  <si>
    <t>BK1877</t>
  </si>
  <si>
    <t>BK1878</t>
  </si>
  <si>
    <t>FLT22085</t>
  </si>
  <si>
    <t>BK1879</t>
  </si>
  <si>
    <t>FLT22349</t>
  </si>
  <si>
    <t>I5-361</t>
  </si>
  <si>
    <t>BK1880</t>
  </si>
  <si>
    <t>FLT22272</t>
  </si>
  <si>
    <t>6E-796</t>
  </si>
  <si>
    <t>BK1881</t>
  </si>
  <si>
    <t>FLT22199</t>
  </si>
  <si>
    <t>BK1882</t>
  </si>
  <si>
    <t>FLT22377</t>
  </si>
  <si>
    <t>FLT22077</t>
  </si>
  <si>
    <t>BK1883</t>
  </si>
  <si>
    <t>BK1884</t>
  </si>
  <si>
    <t>FLT22125</t>
  </si>
  <si>
    <t>6E-2752</t>
  </si>
  <si>
    <t>BK1885</t>
  </si>
  <si>
    <t>FLT22319</t>
  </si>
  <si>
    <t>6E-606</t>
  </si>
  <si>
    <t>BK1886</t>
  </si>
  <si>
    <t>FLT22061</t>
  </si>
  <si>
    <t>6E-539</t>
  </si>
  <si>
    <t>BK1887</t>
  </si>
  <si>
    <t>FLT22399</t>
  </si>
  <si>
    <t>AI-551</t>
  </si>
  <si>
    <t>FLT22200</t>
  </si>
  <si>
    <t>BK1888</t>
  </si>
  <si>
    <t>BK1889</t>
  </si>
  <si>
    <t>FLT22165</t>
  </si>
  <si>
    <t>FLT22091</t>
  </si>
  <si>
    <t>BK1890</t>
  </si>
  <si>
    <t>BK1891</t>
  </si>
  <si>
    <t>FLT22074</t>
  </si>
  <si>
    <t>FLT22403</t>
  </si>
  <si>
    <t>BK1892</t>
  </si>
  <si>
    <t>AI-545</t>
  </si>
  <si>
    <t>FLT22146</t>
  </si>
  <si>
    <t>BK1893</t>
  </si>
  <si>
    <t>FLT22142</t>
  </si>
  <si>
    <t>BK1894</t>
  </si>
  <si>
    <t>BK1895</t>
  </si>
  <si>
    <t>BK1896</t>
  </si>
  <si>
    <t>6E-5336</t>
  </si>
  <si>
    <t>BK1897</t>
  </si>
  <si>
    <t>BK1898</t>
  </si>
  <si>
    <t>BK1899</t>
  </si>
  <si>
    <t>G8-338</t>
  </si>
  <si>
    <t>BK1900</t>
  </si>
  <si>
    <t>G8-7535</t>
  </si>
  <si>
    <t>BK1901</t>
  </si>
  <si>
    <t>AI-485</t>
  </si>
  <si>
    <t>BK1902</t>
  </si>
  <si>
    <t>BK1903</t>
  </si>
  <si>
    <t>UK-963</t>
  </si>
  <si>
    <t>BK1904</t>
  </si>
  <si>
    <t>AI-479</t>
  </si>
  <si>
    <t>BK1905</t>
  </si>
  <si>
    <t>FLT22678</t>
  </si>
  <si>
    <t>UK-707</t>
  </si>
  <si>
    <t>BK1906</t>
  </si>
  <si>
    <t>BK1907</t>
  </si>
  <si>
    <t>SG-8253</t>
  </si>
  <si>
    <t>FLT22684</t>
  </si>
  <si>
    <t>AI-895</t>
  </si>
  <si>
    <t>BK1908</t>
  </si>
  <si>
    <t>UK-951</t>
  </si>
  <si>
    <t>BK1909</t>
  </si>
  <si>
    <t>BK1910</t>
  </si>
  <si>
    <t>BK1911</t>
  </si>
  <si>
    <t>I5-1529</t>
  </si>
  <si>
    <t>BK1912</t>
  </si>
  <si>
    <t>BK1913</t>
  </si>
  <si>
    <t>BK1914</t>
  </si>
  <si>
    <t>6E-353</t>
  </si>
  <si>
    <t>BK1915</t>
  </si>
  <si>
    <t>AI-889</t>
  </si>
  <si>
    <t>BK1916</t>
  </si>
  <si>
    <t>6E-912</t>
  </si>
  <si>
    <t>BK1917</t>
  </si>
  <si>
    <t>AI-453</t>
  </si>
  <si>
    <t>BK1918</t>
  </si>
  <si>
    <t>G8-113</t>
  </si>
  <si>
    <t>BK1919</t>
  </si>
  <si>
    <t>SG-8152</t>
  </si>
  <si>
    <t>BK1920</t>
  </si>
  <si>
    <t>BK1921</t>
  </si>
  <si>
    <t>G8-334</t>
  </si>
  <si>
    <t>BK1922</t>
  </si>
  <si>
    <t>BK1923</t>
  </si>
  <si>
    <t>BK1924</t>
  </si>
  <si>
    <t>SG-2976</t>
  </si>
  <si>
    <t>BK1925</t>
  </si>
  <si>
    <t>AI-473</t>
  </si>
  <si>
    <t>BK1926</t>
  </si>
  <si>
    <t>AI-877</t>
  </si>
  <si>
    <t>BK1927</t>
  </si>
  <si>
    <t>G8-336</t>
  </si>
  <si>
    <t>BK1928</t>
  </si>
  <si>
    <t>AI-441</t>
  </si>
  <si>
    <t>BK1929</t>
  </si>
  <si>
    <t>BK1930</t>
  </si>
  <si>
    <t>BK1931</t>
  </si>
  <si>
    <t>BK1932</t>
  </si>
  <si>
    <t>BK1933</t>
  </si>
  <si>
    <t>BK1934</t>
  </si>
  <si>
    <t>BK1935</t>
  </si>
  <si>
    <t>AI-803</t>
  </si>
  <si>
    <t>BK1936</t>
  </si>
  <si>
    <t>AI-9887</t>
  </si>
  <si>
    <t>BK1937</t>
  </si>
  <si>
    <t>AI-401</t>
  </si>
  <si>
    <t>BK1938</t>
  </si>
  <si>
    <t>BK1939</t>
  </si>
  <si>
    <t>BK1940</t>
  </si>
  <si>
    <t>BK1941</t>
  </si>
  <si>
    <t>BK1942</t>
  </si>
  <si>
    <t>BK1943</t>
  </si>
  <si>
    <t>BK1944</t>
  </si>
  <si>
    <t>BK1945</t>
  </si>
  <si>
    <t>BK1946</t>
  </si>
  <si>
    <t>BK1947</t>
  </si>
  <si>
    <t>BK1948</t>
  </si>
  <si>
    <t>BK1949</t>
  </si>
  <si>
    <t>BK1950</t>
  </si>
  <si>
    <t>BK1951</t>
  </si>
  <si>
    <t>BK1952</t>
  </si>
  <si>
    <t>BK1953</t>
  </si>
  <si>
    <t>BK1954</t>
  </si>
  <si>
    <t>BK1955</t>
  </si>
  <si>
    <t>BK1956</t>
  </si>
  <si>
    <t>BK1957</t>
  </si>
  <si>
    <t>BK1958</t>
  </si>
  <si>
    <t>BK1959</t>
  </si>
  <si>
    <t>6E-6202</t>
  </si>
  <si>
    <t>BK1960</t>
  </si>
  <si>
    <t>6E-2106</t>
  </si>
  <si>
    <t>BK1961</t>
  </si>
  <si>
    <t>UK-955</t>
  </si>
  <si>
    <t>FLT22432</t>
  </si>
  <si>
    <t>BK1962</t>
  </si>
  <si>
    <t>FLT22414</t>
  </si>
  <si>
    <t>BK1963</t>
  </si>
  <si>
    <t>SG-731</t>
  </si>
  <si>
    <t>BK1964</t>
  </si>
  <si>
    <t>FLT22501</t>
  </si>
  <si>
    <t>BK1965</t>
  </si>
  <si>
    <t>FLT22517</t>
  </si>
  <si>
    <t>6E-7216</t>
  </si>
  <si>
    <t>BK1966</t>
  </si>
  <si>
    <t>FLT22512</t>
  </si>
  <si>
    <t>6E-7149</t>
  </si>
  <si>
    <t>BK1967</t>
  </si>
  <si>
    <t>FLT22580</t>
  </si>
  <si>
    <t>BK1968</t>
  </si>
  <si>
    <t>FLT22641</t>
  </si>
  <si>
    <t>BK1969</t>
  </si>
  <si>
    <t>FLT22494</t>
  </si>
  <si>
    <t>BK1970</t>
  </si>
  <si>
    <t>FLT22417</t>
  </si>
  <si>
    <t>FLT22551</t>
  </si>
  <si>
    <t>BK1971</t>
  </si>
  <si>
    <t>FLT22453</t>
  </si>
  <si>
    <t>BK1972</t>
  </si>
  <si>
    <t>FLT22614</t>
  </si>
  <si>
    <t>I5-2462</t>
  </si>
  <si>
    <t>BK1973</t>
  </si>
  <si>
    <t>FLT22522</t>
  </si>
  <si>
    <t>BK1974</t>
  </si>
  <si>
    <t>FLT22576</t>
  </si>
  <si>
    <t>BK1975</t>
  </si>
  <si>
    <t>BK1976</t>
  </si>
  <si>
    <t>FLT22521</t>
  </si>
  <si>
    <t>BK1977</t>
  </si>
  <si>
    <t>FLT22638</t>
  </si>
  <si>
    <t>6E-7259</t>
  </si>
  <si>
    <t>BK1978</t>
  </si>
  <si>
    <t>FLT22593</t>
  </si>
  <si>
    <t>BK1979</t>
  </si>
  <si>
    <t>FLT22423</t>
  </si>
  <si>
    <t>6E-495</t>
  </si>
  <si>
    <t>BK1980</t>
  </si>
  <si>
    <t>FLT22560</t>
  </si>
  <si>
    <t>BK1981</t>
  </si>
  <si>
    <t>FLT22533</t>
  </si>
  <si>
    <t>BK1982</t>
  </si>
  <si>
    <t>FLT22535</t>
  </si>
  <si>
    <t>BK1983</t>
  </si>
  <si>
    <t>FLT22427</t>
  </si>
  <si>
    <t>BK1984</t>
  </si>
  <si>
    <t>BK1985</t>
  </si>
  <si>
    <t>FLT22643</t>
  </si>
  <si>
    <t>BK1986</t>
  </si>
  <si>
    <t>BK1987</t>
  </si>
  <si>
    <t>FLT22438</t>
  </si>
  <si>
    <t>BK1988</t>
  </si>
  <si>
    <t>FLT22584</t>
  </si>
  <si>
    <t>BK1989</t>
  </si>
  <si>
    <t>FLT22558</t>
  </si>
  <si>
    <t>BK1990</t>
  </si>
  <si>
    <t>AI-429</t>
  </si>
  <si>
    <t>BK1991</t>
  </si>
  <si>
    <t>FLT22418</t>
  </si>
  <si>
    <t>BK1992</t>
  </si>
  <si>
    <t>FLT22609</t>
  </si>
  <si>
    <t>FLT22952</t>
  </si>
  <si>
    <t>BK1993</t>
  </si>
  <si>
    <t>FLT22561</t>
  </si>
  <si>
    <t>BK1994</t>
  </si>
  <si>
    <t>FLT22504</t>
  </si>
  <si>
    <t>BK1995</t>
  </si>
  <si>
    <t>FLT22636</t>
  </si>
  <si>
    <t>BK1996</t>
  </si>
  <si>
    <t>FLT22433</t>
  </si>
  <si>
    <t>BK1997</t>
  </si>
  <si>
    <t>FLT22590</t>
  </si>
  <si>
    <t>FLT22426</t>
  </si>
  <si>
    <t>BK1998</t>
  </si>
  <si>
    <t>FLT22477</t>
  </si>
  <si>
    <t>BK1999</t>
  </si>
  <si>
    <t>FLT22600</t>
  </si>
  <si>
    <t>6E-557</t>
  </si>
  <si>
    <t>FLT22463</t>
  </si>
  <si>
    <t>FLT22487</t>
  </si>
  <si>
    <t>BK2000</t>
  </si>
  <si>
    <t>FLT22583</t>
  </si>
  <si>
    <t>BK2001</t>
  </si>
  <si>
    <t>BK2002</t>
  </si>
  <si>
    <t>UK-981</t>
  </si>
  <si>
    <t>G8-103</t>
  </si>
  <si>
    <t>BK2003</t>
  </si>
  <si>
    <t>BK2004</t>
  </si>
  <si>
    <t>UK-977</t>
  </si>
  <si>
    <t>AI-502</t>
  </si>
  <si>
    <t>BK2005</t>
  </si>
  <si>
    <t>BK2006</t>
  </si>
  <si>
    <t>G8-422</t>
  </si>
  <si>
    <t>BK2007</t>
  </si>
  <si>
    <t>BK2008</t>
  </si>
  <si>
    <t>BK2009</t>
  </si>
  <si>
    <t>G8-275</t>
  </si>
  <si>
    <t>BK2010</t>
  </si>
  <si>
    <t>AI-678</t>
  </si>
  <si>
    <t>AI-767</t>
  </si>
  <si>
    <t>BK2011</t>
  </si>
  <si>
    <t>BK2012</t>
  </si>
  <si>
    <t>G8-2509</t>
  </si>
  <si>
    <t>BK2013</t>
  </si>
  <si>
    <t>6E-2083</t>
  </si>
  <si>
    <t>I5-740</t>
  </si>
  <si>
    <t>BK2014</t>
  </si>
  <si>
    <t>6E-2076</t>
  </si>
  <si>
    <t>BK2015</t>
  </si>
  <si>
    <t>I5-829</t>
  </si>
  <si>
    <t>UK-993</t>
  </si>
  <si>
    <t>BK2016</t>
  </si>
  <si>
    <t>UK-813</t>
  </si>
  <si>
    <t>FLT22691</t>
  </si>
  <si>
    <t>UK-943</t>
  </si>
  <si>
    <t>BK2017</t>
  </si>
  <si>
    <t>SG-8941</t>
  </si>
  <si>
    <t>I5-779</t>
  </si>
  <si>
    <t>BK2018</t>
  </si>
  <si>
    <t>6E-6187</t>
  </si>
  <si>
    <t>BK2019</t>
  </si>
  <si>
    <t>AI-807</t>
  </si>
  <si>
    <t>BK2020</t>
  </si>
  <si>
    <t>BK2021</t>
  </si>
  <si>
    <t>BK2022</t>
  </si>
  <si>
    <t>AI-409</t>
  </si>
  <si>
    <t>BK2023</t>
  </si>
  <si>
    <t>AI-887</t>
  </si>
  <si>
    <t>BK2024</t>
  </si>
  <si>
    <t>BK2025</t>
  </si>
  <si>
    <t>6E-2247</t>
  </si>
  <si>
    <t>6E-635</t>
  </si>
  <si>
    <t>BK2026</t>
  </si>
  <si>
    <t>6E-954</t>
  </si>
  <si>
    <t>BK2027</t>
  </si>
  <si>
    <t>BK2028</t>
  </si>
  <si>
    <t>BK2029</t>
  </si>
  <si>
    <t>AI-542</t>
  </si>
  <si>
    <t>BK2030</t>
  </si>
  <si>
    <t>AI-624</t>
  </si>
  <si>
    <t>AI-762</t>
  </si>
  <si>
    <t>BK2031</t>
  </si>
  <si>
    <t>6E-6238</t>
  </si>
  <si>
    <t>BK2032</t>
  </si>
  <si>
    <t>UK-817</t>
  </si>
  <si>
    <t>BK2033</t>
  </si>
  <si>
    <t>6E-2005</t>
  </si>
  <si>
    <t>BK2034</t>
  </si>
  <si>
    <t>I5-747</t>
  </si>
  <si>
    <t>BK2035</t>
  </si>
  <si>
    <t>BK2036</t>
  </si>
  <si>
    <t>BK2037</t>
  </si>
  <si>
    <t>BK2038</t>
  </si>
  <si>
    <t>BK2039</t>
  </si>
  <si>
    <t>BK2040</t>
  </si>
  <si>
    <t>BK2041</t>
  </si>
  <si>
    <t>BK2042</t>
  </si>
  <si>
    <t>BK2043</t>
  </si>
  <si>
    <t>BK2044</t>
  </si>
  <si>
    <t>BK2045</t>
  </si>
  <si>
    <t>BK2046</t>
  </si>
  <si>
    <t>BK2047</t>
  </si>
  <si>
    <t>SG-958</t>
  </si>
  <si>
    <t>BK2048</t>
  </si>
  <si>
    <t>SG-8169</t>
  </si>
  <si>
    <t>BK2049</t>
  </si>
  <si>
    <t>6E-772</t>
  </si>
  <si>
    <t>BK2050</t>
  </si>
  <si>
    <t>UK-801</t>
  </si>
  <si>
    <t>BK2051</t>
  </si>
  <si>
    <t>BK2052</t>
  </si>
  <si>
    <t>I5-550</t>
  </si>
  <si>
    <t>BK2053</t>
  </si>
  <si>
    <t>G8-530</t>
  </si>
  <si>
    <t>BK2054</t>
  </si>
  <si>
    <t>AI-665</t>
  </si>
  <si>
    <t>BK2055</t>
  </si>
  <si>
    <t>FLT22697</t>
  </si>
  <si>
    <t>BK2056</t>
  </si>
  <si>
    <t>SG-8946</t>
  </si>
  <si>
    <t>BK2057</t>
  </si>
  <si>
    <t>6E-6245</t>
  </si>
  <si>
    <t>BK2058</t>
  </si>
  <si>
    <t>AI-883</t>
  </si>
  <si>
    <t>BK2059</t>
  </si>
  <si>
    <t>FLT22698</t>
  </si>
  <si>
    <t>BK2060</t>
  </si>
  <si>
    <t>UK-653</t>
  </si>
  <si>
    <t>UK-771</t>
  </si>
  <si>
    <t>BK2061</t>
  </si>
  <si>
    <t>BK2062</t>
  </si>
  <si>
    <t>AI-9657</t>
  </si>
  <si>
    <t>BK2063</t>
  </si>
  <si>
    <t>G8-329</t>
  </si>
  <si>
    <t>BK2064</t>
  </si>
  <si>
    <t>G8-306</t>
  </si>
  <si>
    <t>BK2065</t>
  </si>
  <si>
    <t>AI-681</t>
  </si>
  <si>
    <t>BK2066</t>
  </si>
  <si>
    <t>6E-5013</t>
  </si>
  <si>
    <t>BK2067</t>
  </si>
  <si>
    <t>AI-669</t>
  </si>
  <si>
    <t>BK2068</t>
  </si>
  <si>
    <t>6E-945</t>
  </si>
  <si>
    <t>6E-5308</t>
  </si>
  <si>
    <t>BK2069</t>
  </si>
  <si>
    <t>BK2070</t>
  </si>
  <si>
    <t>6E-5381</t>
  </si>
  <si>
    <t>BK2071</t>
  </si>
  <si>
    <t>G8-287</t>
  </si>
  <si>
    <t>BK2072</t>
  </si>
  <si>
    <t>G8-351</t>
  </si>
  <si>
    <t>G8-383</t>
  </si>
  <si>
    <t>BK2073</t>
  </si>
  <si>
    <t>BK2074</t>
  </si>
  <si>
    <t>BK2075</t>
  </si>
  <si>
    <t>BK2076</t>
  </si>
  <si>
    <t>BK2077</t>
  </si>
  <si>
    <t>BK2078</t>
  </si>
  <si>
    <t>G8-2606</t>
  </si>
  <si>
    <t>G8-2440</t>
  </si>
  <si>
    <t>BK2079</t>
  </si>
  <si>
    <t>I5-678</t>
  </si>
  <si>
    <t>AI-663</t>
  </si>
  <si>
    <t>BK2080</t>
  </si>
  <si>
    <t>6E-5047</t>
  </si>
  <si>
    <t>G8-339</t>
  </si>
  <si>
    <t>BK2081</t>
  </si>
  <si>
    <t>AI-570</t>
  </si>
  <si>
    <t>G8-341</t>
  </si>
  <si>
    <t>BK2082</t>
  </si>
  <si>
    <t>G8-371</t>
  </si>
  <si>
    <t>BK2083</t>
  </si>
  <si>
    <t>FLT22702</t>
  </si>
  <si>
    <t>AI-639</t>
  </si>
  <si>
    <t>AI-774</t>
  </si>
  <si>
    <t>AI-9919</t>
  </si>
  <si>
    <t>BK2084</t>
  </si>
  <si>
    <t>BK2085</t>
  </si>
  <si>
    <t>AI-631</t>
  </si>
  <si>
    <t>AI-627</t>
  </si>
  <si>
    <t>BK2086</t>
  </si>
  <si>
    <t>BK2087</t>
  </si>
  <si>
    <t>G8-381</t>
  </si>
  <si>
    <t>BK2088</t>
  </si>
  <si>
    <t>BK2089</t>
  </si>
  <si>
    <t>UK-954</t>
  </si>
  <si>
    <t>FLT22720</t>
  </si>
  <si>
    <t>BK2090</t>
  </si>
  <si>
    <t>UK-988</t>
  </si>
  <si>
    <t>BK2091</t>
  </si>
  <si>
    <t>G8-327</t>
  </si>
  <si>
    <t>UK-827</t>
  </si>
  <si>
    <t>BK2092</t>
  </si>
  <si>
    <t>G8-511</t>
  </si>
  <si>
    <t>BK2093</t>
  </si>
  <si>
    <t>BK2094</t>
  </si>
  <si>
    <t>BK2095</t>
  </si>
  <si>
    <t>BK2096</t>
  </si>
  <si>
    <t>BK2097</t>
  </si>
  <si>
    <t>BK2098</t>
  </si>
  <si>
    <t>BK2099</t>
  </si>
  <si>
    <t>BK2100</t>
  </si>
  <si>
    <t>6E-6109</t>
  </si>
  <si>
    <t>BK2101</t>
  </si>
  <si>
    <t>BK2102</t>
  </si>
  <si>
    <t>BK2103</t>
  </si>
  <si>
    <t>AI-685</t>
  </si>
  <si>
    <t>BK2104</t>
  </si>
  <si>
    <t>6E-434</t>
  </si>
  <si>
    <t>BK2105</t>
  </si>
  <si>
    <t>6E-5307</t>
  </si>
  <si>
    <t>BK2106</t>
  </si>
  <si>
    <t>AI-660</t>
  </si>
  <si>
    <t>6E-448</t>
  </si>
  <si>
    <t>6E-5366</t>
  </si>
  <si>
    <t>BK2107</t>
  </si>
  <si>
    <t>UK-651</t>
  </si>
  <si>
    <t>BK2108</t>
  </si>
  <si>
    <t>BK2109</t>
  </si>
  <si>
    <t>BK2110</t>
  </si>
  <si>
    <t>UK-910</t>
  </si>
  <si>
    <t>I5-423</t>
  </si>
  <si>
    <t>BK2111</t>
  </si>
  <si>
    <t>BK2112</t>
  </si>
  <si>
    <t>BK2113</t>
  </si>
  <si>
    <t>AI-625</t>
  </si>
  <si>
    <t>BK2114</t>
  </si>
  <si>
    <t>BK2115</t>
  </si>
  <si>
    <t>BK2116</t>
  </si>
  <si>
    <t>BK2117</t>
  </si>
  <si>
    <t>G8-325</t>
  </si>
  <si>
    <t>BK2118</t>
  </si>
  <si>
    <t>BK2119</t>
  </si>
  <si>
    <t>BK2120</t>
  </si>
  <si>
    <t>G8-7538</t>
  </si>
  <si>
    <t>BK2121</t>
  </si>
  <si>
    <t>6E-5209</t>
  </si>
  <si>
    <t>BK2122</t>
  </si>
  <si>
    <t>G8-345</t>
  </si>
  <si>
    <t>G8-331</t>
  </si>
  <si>
    <t>BK2123</t>
  </si>
  <si>
    <t>BK2124</t>
  </si>
  <si>
    <t>UK-821</t>
  </si>
  <si>
    <t>BK2125</t>
  </si>
  <si>
    <t>BK2126</t>
  </si>
  <si>
    <t>BK2127</t>
  </si>
  <si>
    <t>AI-619</t>
  </si>
  <si>
    <t>BK2128</t>
  </si>
  <si>
    <t>BK2129</t>
  </si>
  <si>
    <t>BK2130</t>
  </si>
  <si>
    <t>SG-8158</t>
  </si>
  <si>
    <t>BK2131</t>
  </si>
  <si>
    <t>AI-649</t>
  </si>
  <si>
    <t>BK2132</t>
  </si>
  <si>
    <t>6E-5355</t>
  </si>
  <si>
    <t>BK2133</t>
  </si>
  <si>
    <t>BK2134</t>
  </si>
  <si>
    <t>AI-671</t>
  </si>
  <si>
    <t>BK2135</t>
  </si>
  <si>
    <t>BK2136</t>
  </si>
  <si>
    <t>BK2137</t>
  </si>
  <si>
    <t>BK2138</t>
  </si>
  <si>
    <t>BK2139</t>
  </si>
  <si>
    <t>BK2140</t>
  </si>
  <si>
    <t>BK2141</t>
  </si>
  <si>
    <t>BK2142</t>
  </si>
  <si>
    <t>SG-611</t>
  </si>
  <si>
    <t>BK2143</t>
  </si>
  <si>
    <t>BK2144</t>
  </si>
  <si>
    <t>G8-321</t>
  </si>
  <si>
    <t>BK2145</t>
  </si>
  <si>
    <t>6E-5316</t>
  </si>
  <si>
    <t>BK2146</t>
  </si>
  <si>
    <t>UK-873</t>
  </si>
  <si>
    <t>BK2147</t>
  </si>
  <si>
    <t>6E-627</t>
  </si>
  <si>
    <t>BK2148</t>
  </si>
  <si>
    <t>BK2149</t>
  </si>
  <si>
    <t>BK2150</t>
  </si>
  <si>
    <t>BK2151</t>
  </si>
  <si>
    <t>BK2152</t>
  </si>
  <si>
    <t>6E-519</t>
  </si>
  <si>
    <t>BK2153</t>
  </si>
  <si>
    <t>BK2154</t>
  </si>
  <si>
    <t>BK2155</t>
  </si>
  <si>
    <t>SG-276</t>
  </si>
  <si>
    <t>BK2156</t>
  </si>
  <si>
    <t>BK2157</t>
  </si>
  <si>
    <t>SG-8710</t>
  </si>
  <si>
    <t>BK2158</t>
  </si>
  <si>
    <t>BK2159</t>
  </si>
  <si>
    <t>UK-970</t>
  </si>
  <si>
    <t>BK2160</t>
  </si>
  <si>
    <t>BK2161</t>
  </si>
  <si>
    <t>BK2162</t>
  </si>
  <si>
    <t>BK2163</t>
  </si>
  <si>
    <t>BK2164</t>
  </si>
  <si>
    <t>SG-8702</t>
  </si>
  <si>
    <t>BK2165</t>
  </si>
  <si>
    <t>BK2166</t>
  </si>
  <si>
    <t>6E-5392</t>
  </si>
  <si>
    <t>BK2167</t>
  </si>
  <si>
    <t>AI-633</t>
  </si>
  <si>
    <t>BK2168</t>
  </si>
  <si>
    <t>BK2169</t>
  </si>
  <si>
    <t>6E-5373</t>
  </si>
  <si>
    <t>UK-940</t>
  </si>
  <si>
    <t>BK2170</t>
  </si>
  <si>
    <t>BK2171</t>
  </si>
  <si>
    <t>BK2172</t>
  </si>
  <si>
    <t>BK2173</t>
  </si>
  <si>
    <t>G8-2504</t>
  </si>
  <si>
    <t>BK2174</t>
  </si>
  <si>
    <t>G8-317</t>
  </si>
  <si>
    <t>BK2175</t>
  </si>
  <si>
    <t>BK2176</t>
  </si>
  <si>
    <t>BK2177</t>
  </si>
  <si>
    <t>AI-603</t>
  </si>
  <si>
    <t>BK2178</t>
  </si>
  <si>
    <t>BK2179</t>
  </si>
  <si>
    <t>AI-607</t>
  </si>
  <si>
    <t>BK2180</t>
  </si>
  <si>
    <t>BK2181</t>
  </si>
  <si>
    <t>6E-932</t>
  </si>
  <si>
    <t>BK2182</t>
  </si>
  <si>
    <t>BK2183</t>
  </si>
  <si>
    <t>BK2184</t>
  </si>
  <si>
    <t>BK2185</t>
  </si>
  <si>
    <t>BK2186</t>
  </si>
  <si>
    <t>BK2187</t>
  </si>
  <si>
    <t>BK2188</t>
  </si>
  <si>
    <t>BK2189</t>
  </si>
  <si>
    <t>BK2190</t>
  </si>
  <si>
    <t>BK2191</t>
  </si>
  <si>
    <t>AI-683</t>
  </si>
  <si>
    <t>BK2192</t>
  </si>
  <si>
    <t>BK2193</t>
  </si>
  <si>
    <t>AI-615</t>
  </si>
  <si>
    <t>BK2194</t>
  </si>
  <si>
    <t>G8-7561</t>
  </si>
  <si>
    <t>BK2195</t>
  </si>
  <si>
    <t>BK2196</t>
  </si>
  <si>
    <t>G8-384</t>
  </si>
  <si>
    <t>BK2197</t>
  </si>
  <si>
    <t>BK2198</t>
  </si>
  <si>
    <t>BK2199</t>
  </si>
  <si>
    <t>AI-864</t>
  </si>
  <si>
    <t>6E-6818</t>
  </si>
  <si>
    <t>I5-767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</si>
</sst>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400]h:mm:ss\ AM/PM"/>
    <numFmt numFmtId="165" formatCode="&quot;₹ &quot;#,##0.00"/>
    <numFmt numFmtId="166" formatCode="&quot;₹ &quot;#,##0"/>
  </numFmts>
  <fonts count="12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8.0"/>
      <color rgb="FFC00000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theme="1"/>
      <name val="Cambria"/>
    </font>
    <font>
      <b/>
      <sz val="16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E8C4F2"/>
        <bgColor rgb="FFE8C4F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165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horizontal="left"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5" xfId="0" applyFont="1" applyNumberFormat="1"/>
    <xf borderId="0" fillId="0" fontId="4" numFmtId="166" xfId="0" applyAlignment="1" applyFont="1" applyNumberForma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4" numFmtId="166" xfId="0" applyFont="1" applyNumberForma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Border="1" applyFill="1" applyFont="1"/>
    <xf borderId="1" fillId="0" fontId="4" numFmtId="0" xfId="0" applyAlignment="1" applyBorder="1" applyFont="1">
      <alignment horizontal="left"/>
    </xf>
    <xf borderId="1" fillId="0" fontId="4" numFmtId="0" xfId="0" applyBorder="1" applyFont="1"/>
    <xf borderId="1" fillId="3" fontId="8" numFmtId="0" xfId="0" applyAlignment="1" applyBorder="1" applyFill="1" applyFont="1">
      <alignment horizontal="left"/>
    </xf>
    <xf borderId="1" fillId="3" fontId="8" numFmtId="0" xfId="0" applyBorder="1" applyFill="1" applyFont="1"/>
    <xf borderId="0" fillId="0" fontId="3" numFmtId="0" xfId="0" applyFont="1"/>
    <xf borderId="0" fillId="0" fontId="9" numFmtId="0" xfId="0" applyFont="1"/>
    <xf borderId="2" fillId="4" fontId="10" numFmtId="0" xfId="0" applyAlignment="1" applyBorder="1" applyFill="1" applyFont="1">
      <alignment horizontal="center"/>
    </xf>
    <xf borderId="3" fillId="4" fontId="10" numFmtId="0" xfId="0" applyAlignment="1" applyBorder="1" applyFill="1" applyFont="1">
      <alignment horizontal="center"/>
    </xf>
    <xf borderId="1" fillId="5" fontId="10" numFmtId="0" xfId="0" applyAlignment="1" applyBorder="1" applyFill="1" applyFont="1">
      <alignment horizontal="center"/>
    </xf>
    <xf borderId="1" fillId="6" fontId="10" numFmtId="0" xfId="0" applyAlignment="1" applyBorder="1" applyFill="1" applyFont="1">
      <alignment horizontal="center"/>
    </xf>
    <xf borderId="1" fillId="7" fontId="10" numFmtId="0" xfId="0" applyAlignment="1" applyBorder="1" applyFill="1" applyFont="1">
      <alignment horizontal="center"/>
    </xf>
    <xf borderId="1" fillId="8" fontId="10" numFmtId="0" xfId="0" applyAlignment="1" applyBorder="1" applyFill="1" applyFont="1">
      <alignment horizontal="center"/>
    </xf>
    <xf borderId="4" fillId="4" fontId="4" numFmtId="0" xfId="0" applyBorder="1" applyFill="1" applyFont="1"/>
    <xf borderId="5" fillId="4" fontId="4" numFmtId="0" xfId="0" applyBorder="1" applyFill="1" applyFont="1"/>
    <xf borderId="1" fillId="5" fontId="4" numFmtId="0" xfId="0" applyBorder="1" applyFill="1" applyFont="1"/>
    <xf borderId="1" fillId="6" fontId="4" numFmtId="0" xfId="0" applyBorder="1" applyFill="1" applyFont="1"/>
    <xf borderId="1" fillId="7" fontId="4" numFmtId="0" xfId="0" applyBorder="1" applyFill="1" applyFont="1"/>
    <xf borderId="1" fillId="8" fontId="4" numFmtId="0" xfId="0" applyBorder="1" applyFill="1" applyFont="1"/>
    <xf borderId="4" fillId="4" fontId="11" numFmtId="0" xfId="0" applyBorder="1" applyFill="1" applyFont="1"/>
    <xf borderId="1" fillId="5" fontId="11" numFmtId="0" xfId="0" applyBorder="1" applyFill="1" applyFont="1"/>
    <xf borderId="1" fillId="6" fontId="11" numFmtId="0" xfId="0" applyBorder="1" applyFill="1" applyFont="1"/>
    <xf borderId="1" fillId="7" fontId="11" numFmtId="0" xfId="0" applyBorder="1" applyFill="1" applyFont="1"/>
    <xf borderId="1" fillId="8" fontId="11" numFmtId="0" xfId="0" applyBorder="1" applyFill="1" applyFont="1"/>
    <xf borderId="6" fillId="4" fontId="11" numFmtId="0" xfId="0" applyBorder="1" applyFill="1" applyFont="1"/>
    <xf borderId="7" fillId="4" fontId="4" numFmtId="0" xfId="0" applyBorder="1" applyFill="1" applyFont="1"/>
  </cellXfs>
  <cellStyles count="1">
    <cellStyle xfId="0" name="Normal" builtinId="0"/>
  </cellStyles>
  <dxfs count="2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font/>
      <fill>
        <patternFill patternType="solid">
          <fgColor rgb="FFDADADA"/>
          <bgColor rgb="FFDADADA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2CB"/>
          <bgColor rgb="FFFFF2CB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EEAF6"/>
          <bgColor rgb="FFDEEAF6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3E1F8"/>
          <bgColor rgb="FFF3E1F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5">
    <tableStyle count="4" pivot="0" name="Flights-style">
      <tableStyleElement dxfId="2" type="headerRow"/>
      <tableStyleElement dxfId="4" type="firstRowStripe"/>
      <tableStyleElement dxfId="5" type="secondRowStripe"/>
      <tableStyleElement dxfId="7" size="0" type="wholeTable"/>
    </tableStyle>
    <tableStyle count="4" pivot="0" name="Bookings-style">
      <tableStyleElement dxfId="8" type="headerRow"/>
      <tableStyleElement dxfId="9" type="firstRowStripe"/>
      <tableStyleElement dxfId="11" type="secondRowStripe"/>
      <tableStyleElement dxfId="13" size="0" type="wholeTable"/>
    </tableStyle>
    <tableStyle count="4" pivot="0" name="Airlines-style">
      <tableStyleElement dxfId="1" type="headerRow"/>
      <tableStyleElement dxfId="3" type="firstRowStripe"/>
      <tableStyleElement dxfId="6" type="secondRowStripe"/>
      <tableStyleElement dxfId="15" size="0" type="wholeTable"/>
    </tableStyle>
    <tableStyle count="4" pivot="0" name="Routes-style">
      <tableStyleElement dxfId="10" type="headerRow"/>
      <tableStyleElement dxfId="12" type="firstRowStripe"/>
      <tableStyleElement dxfId="14" type="secondRowStripe"/>
      <tableStyleElement dxfId="16" size="0" type="wholeTable"/>
    </tableStyle>
    <tableStyle count="4" pivot="0" name="Analysis-style">
      <tableStyleElement dxfId="1" type="headerRow"/>
      <tableStyleElement dxfId="17" type="firstRowStripe"/>
      <tableStyleElement dxfId="17" type="secondRowStripe"/>
      <tableStyleElement dxfId="1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" displayName="Airlines" name="Airlines" id="4">
  <tableColumns count="10">
    <tableColumn name="Airline_Id" id="1"/>
    <tableColumn name="Airline_Name" id="2"/>
    <tableColumn name="Total_Bookings" id="3"/>
    <tableColumn name="unique_flights" id="4"/>
    <tableColumn name="Routes_Covered" id="5"/>
    <tableColumn name="Avg_Price" id="6"/>
    <tableColumn name="Min_Price" id="7"/>
    <tableColumn name="Max_Price" id="8"/>
    <tableColumn name="Economy_Bookings" id="9"/>
    <tableColumn name="Business_Bookings" id="10"/>
  </tableColumns>
  <tableStyleInfo name="Airlines-style" showColumnStripes="0" showFirstColumn="1" showLastColumn="1" showRowStripes="1"/>
</table>
</file>

<file path=xl/tables/table2.xml><?xml version="1.0" encoding="utf-8"?>
<table xmlns="http://schemas.openxmlformats.org/spreadsheetml/2006/main" ref="A1:K1201" displayName="Bookings" name="Bookings" id="3">
  <tableColumns count="11">
    <tableColumn name="Booking_Id" id="1"/>
    <tableColumn name="Flight_Id" id="2"/>
    <tableColumn name="Route_Id" id="3"/>
    <tableColumn name="Airline_Id" id="4"/>
    <tableColumn name="Airline_Name" id="5"/>
    <tableColumn name="Class" id="6"/>
    <tableColumn name="Stops" id="7"/>
    <tableColumn name="Duration" id="8"/>
    <tableColumn name="Days_Left" id="9"/>
    <tableColumn name="Booking_Window" id="10"/>
    <tableColumn name="Price" id="11"/>
  </tableColumns>
  <tableStyleInfo name="Bookings-style" showColumnStripes="0" showFirstColumn="1" showLastColumn="1" showRowStripes="1"/>
</table>
</file>

<file path=xl/tables/table3.xml><?xml version="1.0" encoding="utf-8"?>
<table xmlns="http://schemas.openxmlformats.org/spreadsheetml/2006/main" ref="A1:K1201" displayName="Flights" name="Flights" id="1">
  <tableColumns count="11">
    <tableColumn name="Flight_Id" id="1"/>
    <tableColumn name="Airline_Id" id="2"/>
    <tableColumn name="Flight_Code" id="3"/>
    <tableColumn name="Route_Id" id="4"/>
    <tableColumn name="Source_City" id="5"/>
    <tableColumn name="Destination_City" id="6"/>
    <tableColumn name="Departure_Time" id="7"/>
    <tableColumn name="Arrival_Time" id="8"/>
    <tableColumn name="Stops" id="9"/>
    <tableColumn name="Duration" id="10"/>
    <tableColumn name="Route" id="11"/>
  </tableColumns>
  <tableStyleInfo name="Flights-style" showColumnStripes="0" showFirstColumn="1" showLastColumn="1" showRowStripes="1"/>
</table>
</file>

<file path=xl/tables/table4.xml><?xml version="1.0" encoding="utf-8"?>
<table xmlns="http://schemas.openxmlformats.org/spreadsheetml/2006/main" ref="A1:L31" displayName="Routes" name="Routes" id="2">
  <tableColumns count="12">
    <tableColumn name="Route_Id" id="1"/>
    <tableColumn name="Source_City" id="2"/>
    <tableColumn name="Destination_City" id="3"/>
    <tableColumn name="Total_Bookings" id="4"/>
    <tableColumn name="Unique_Flights" id="5"/>
    <tableColumn name="Airlines_Serving" id="6"/>
    <tableColumn name="Avg_Price" id="7"/>
    <tableColumn name="Min_Price" id="8"/>
    <tableColumn name="Max_Price" id="9"/>
    <tableColumn name="Avg_Duration_Hrs" id="10"/>
    <tableColumn name="Economy_Bookings" id="11"/>
    <tableColumn name="Business_Bookings" id="12"/>
  </tableColumns>
  <tableStyleInfo name="Routes-style" showColumnStripes="0" showFirstColumn="1" showLastColumn="1" showRowStripes="1"/>
</table>
</file>

<file path=xl/tables/table5.xml><?xml version="1.0" encoding="utf-8"?>
<table xmlns="http://schemas.openxmlformats.org/spreadsheetml/2006/main" ref="A1:P1201" displayName="Analysis_Table" name="Analysis_Table" id="5">
  <tableColumns count="16">
    <tableColumn name="Booking_Id" id="1"/>
    <tableColumn name="Flight_Id" id="2"/>
    <tableColumn name="Route_Id" id="3"/>
    <tableColumn name="Airline_Id" id="4"/>
    <tableColumn name="Airline_Name" id="5"/>
    <tableColumn name="Class" id="6"/>
    <tableColumn name="Source_City" id="7"/>
    <tableColumn name="Destination_City" id="8"/>
    <tableColumn name="Stops" id="9"/>
    <tableColumn name="Duration_Hrs" id="10"/>
    <tableColumn name="Duration_Category" id="11"/>
    <tableColumn name="Price" id="12"/>
    <tableColumn name="Price_Category" id="13"/>
    <tableColumn name="Days_Left" id="14"/>
    <tableColumn name="Booking_Window" id="15"/>
    <tableColumn name="Routes" id="16"/>
  </tableColumns>
  <tableStyleInfo name="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5.43"/>
    <col customWidth="1" min="3" max="3" width="16.57"/>
    <col customWidth="1" min="4" max="4" width="16.29"/>
    <col customWidth="1" min="5" max="5" width="18.86"/>
    <col customWidth="1" min="6" max="6" width="17.0"/>
    <col customWidth="1" min="7" max="7" width="14.71"/>
    <col customWidth="1" min="8" max="8" width="16.57"/>
    <col customWidth="1" min="9" max="9" width="20.29"/>
    <col customWidth="1" min="10" max="10" width="19.86"/>
    <col customWidth="1" min="11" max="26" width="8.71"/>
  </cols>
  <sheetData>
    <row r="1">
      <c r="A1" s="1" t="s">
        <v>2</v>
      </c>
      <c r="B1" s="1" t="s">
        <v>5</v>
      </c>
      <c r="C1" s="1" t="s">
        <v>18</v>
      </c>
      <c r="D1" s="1" t="s">
        <v>21</v>
      </c>
      <c r="E1" s="1" t="s">
        <v>25</v>
      </c>
      <c r="F1" s="4" t="s">
        <v>30</v>
      </c>
      <c r="G1" s="4" t="s">
        <v>36</v>
      </c>
      <c r="H1" s="4" t="s">
        <v>38</v>
      </c>
      <c r="I1" s="1" t="s">
        <v>39</v>
      </c>
      <c r="J1" s="1" t="s">
        <v>40</v>
      </c>
    </row>
    <row r="2">
      <c r="A2" s="5" t="s">
        <v>29</v>
      </c>
      <c r="B2" s="5" t="s">
        <v>32</v>
      </c>
      <c r="C2" s="5">
        <v>61.0</v>
      </c>
      <c r="D2" s="5">
        <v>61.0</v>
      </c>
      <c r="E2" s="5">
        <v>27.0</v>
      </c>
      <c r="F2" s="9">
        <v>3930.52459016394</v>
      </c>
      <c r="G2" s="9">
        <v>1443.0</v>
      </c>
      <c r="H2" s="9">
        <v>7484.0</v>
      </c>
      <c r="I2" s="5">
        <v>61.0</v>
      </c>
      <c r="J2" s="5">
        <v>0.0</v>
      </c>
    </row>
    <row r="3">
      <c r="A3" s="5" t="s">
        <v>45</v>
      </c>
      <c r="B3" s="5" t="s">
        <v>49</v>
      </c>
      <c r="C3" s="5">
        <v>421.0</v>
      </c>
      <c r="D3" s="5">
        <v>421.0</v>
      </c>
      <c r="E3" s="5">
        <v>30.0</v>
      </c>
      <c r="F3" s="9">
        <v>18373.6793349169</v>
      </c>
      <c r="G3" s="9">
        <v>1526.0</v>
      </c>
      <c r="H3" s="9">
        <v>75382.0</v>
      </c>
      <c r="I3" s="5">
        <v>314.0</v>
      </c>
      <c r="J3" s="5">
        <v>107.0</v>
      </c>
    </row>
    <row r="4">
      <c r="A4" s="5" t="s">
        <v>58</v>
      </c>
      <c r="B4" s="5" t="s">
        <v>59</v>
      </c>
      <c r="C4" s="5">
        <v>109.0</v>
      </c>
      <c r="D4" s="5">
        <v>109.0</v>
      </c>
      <c r="E4" s="5">
        <v>26.0</v>
      </c>
      <c r="F4" s="9">
        <v>6339.71559633028</v>
      </c>
      <c r="G4" s="9">
        <v>2124.0</v>
      </c>
      <c r="H4" s="9">
        <v>31773.0</v>
      </c>
      <c r="I4" s="5">
        <v>109.0</v>
      </c>
      <c r="J4" s="5">
        <v>0.0</v>
      </c>
    </row>
    <row r="5">
      <c r="A5" s="5" t="s">
        <v>43</v>
      </c>
      <c r="B5" s="5" t="s">
        <v>68</v>
      </c>
      <c r="C5" s="5">
        <v>225.0</v>
      </c>
      <c r="D5" s="5">
        <v>225.0</v>
      </c>
      <c r="E5" s="5">
        <v>30.0</v>
      </c>
      <c r="F5" s="9">
        <v>5847.97777777778</v>
      </c>
      <c r="G5" s="9">
        <v>1105.0</v>
      </c>
      <c r="H5" s="9">
        <v>24561.0</v>
      </c>
      <c r="I5" s="5">
        <v>225.0</v>
      </c>
      <c r="J5" s="5">
        <v>0.0</v>
      </c>
    </row>
    <row r="6">
      <c r="A6" s="5" t="s">
        <v>72</v>
      </c>
      <c r="B6" s="5" t="s">
        <v>73</v>
      </c>
      <c r="C6" s="5">
        <v>46.0</v>
      </c>
      <c r="D6" s="5">
        <v>46.0</v>
      </c>
      <c r="E6" s="5">
        <v>22.0</v>
      </c>
      <c r="F6" s="9">
        <v>6134.97826086957</v>
      </c>
      <c r="G6" s="9">
        <v>1566.0</v>
      </c>
      <c r="H6" s="9">
        <v>27769.0</v>
      </c>
      <c r="I6" s="5">
        <v>46.0</v>
      </c>
      <c r="J6" s="5">
        <v>0.0</v>
      </c>
    </row>
    <row r="7">
      <c r="A7" s="5" t="s">
        <v>20</v>
      </c>
      <c r="B7" s="5" t="s">
        <v>52</v>
      </c>
      <c r="C7" s="5">
        <v>338.0</v>
      </c>
      <c r="D7" s="5">
        <v>338.0</v>
      </c>
      <c r="E7" s="5">
        <v>30.0</v>
      </c>
      <c r="F7" s="9">
        <v>25590.5177514793</v>
      </c>
      <c r="G7" s="9">
        <v>1776.0</v>
      </c>
      <c r="H7" s="9">
        <v>110936.0</v>
      </c>
      <c r="I7" s="5">
        <v>222.0</v>
      </c>
      <c r="J7" s="5">
        <v>116.0</v>
      </c>
    </row>
    <row r="8">
      <c r="F8" s="10"/>
      <c r="G8" s="10"/>
      <c r="H8" s="10"/>
    </row>
    <row r="9">
      <c r="F9" s="10"/>
      <c r="G9" s="10"/>
      <c r="H9" s="10"/>
    </row>
    <row r="10">
      <c r="F10" s="10"/>
      <c r="G10" s="10"/>
      <c r="H10" s="10"/>
    </row>
    <row r="11">
      <c r="F11" s="10"/>
      <c r="G11" s="10"/>
      <c r="H11" s="10"/>
    </row>
    <row r="12">
      <c r="F12" s="10"/>
      <c r="G12" s="10"/>
      <c r="H12" s="10"/>
    </row>
    <row r="13">
      <c r="F13" s="10"/>
      <c r="G13" s="10"/>
      <c r="H13" s="10"/>
    </row>
    <row r="14">
      <c r="F14" s="10"/>
      <c r="G14" s="10"/>
      <c r="H14" s="10"/>
    </row>
    <row r="15">
      <c r="F15" s="10"/>
      <c r="G15" s="10"/>
      <c r="H15" s="10"/>
    </row>
    <row r="16">
      <c r="F16" s="10"/>
      <c r="G16" s="10"/>
      <c r="H16" s="10"/>
    </row>
    <row r="17">
      <c r="F17" s="10"/>
      <c r="G17" s="10"/>
      <c r="H17" s="10"/>
    </row>
    <row r="18">
      <c r="F18" s="10"/>
      <c r="G18" s="10"/>
      <c r="H18" s="10"/>
    </row>
    <row r="19">
      <c r="F19" s="10"/>
      <c r="G19" s="10"/>
      <c r="H19" s="10"/>
    </row>
    <row r="20">
      <c r="F20" s="10"/>
      <c r="G20" s="10"/>
      <c r="H20" s="10"/>
    </row>
    <row r="21" ht="15.75" customHeight="1">
      <c r="F21" s="10"/>
      <c r="G21" s="10"/>
      <c r="H21" s="10"/>
    </row>
    <row r="22" ht="15.75" customHeight="1">
      <c r="F22" s="10"/>
      <c r="G22" s="10"/>
      <c r="H22" s="10"/>
    </row>
    <row r="23" ht="15.75" customHeight="1">
      <c r="F23" s="10"/>
      <c r="G23" s="10"/>
      <c r="H23" s="10"/>
    </row>
    <row r="24" ht="15.75" customHeight="1">
      <c r="F24" s="10"/>
      <c r="G24" s="10"/>
      <c r="H24" s="10"/>
    </row>
    <row r="25" ht="15.75" customHeight="1">
      <c r="F25" s="10"/>
      <c r="G25" s="10"/>
      <c r="H25" s="10"/>
    </row>
    <row r="26" ht="15.75" customHeight="1">
      <c r="F26" s="10"/>
      <c r="G26" s="10"/>
      <c r="H26" s="10"/>
    </row>
    <row r="27" ht="15.75" customHeight="1">
      <c r="F27" s="10"/>
      <c r="G27" s="10"/>
      <c r="H27" s="10"/>
    </row>
    <row r="28" ht="15.75" customHeight="1">
      <c r="F28" s="10"/>
      <c r="G28" s="10"/>
      <c r="H28" s="10"/>
    </row>
    <row r="29" ht="15.75" customHeight="1">
      <c r="F29" s="10"/>
      <c r="G29" s="10"/>
      <c r="H29" s="10"/>
    </row>
    <row r="30" ht="15.75" customHeight="1">
      <c r="F30" s="10"/>
      <c r="G30" s="10"/>
      <c r="H30" s="10"/>
    </row>
    <row r="31" ht="15.75" customHeight="1">
      <c r="F31" s="10"/>
      <c r="G31" s="10"/>
      <c r="H31" s="10"/>
    </row>
    <row r="32" ht="15.75" customHeight="1">
      <c r="F32" s="10"/>
      <c r="G32" s="10"/>
      <c r="H32" s="10"/>
    </row>
    <row r="33" ht="15.75" customHeight="1">
      <c r="F33" s="10"/>
      <c r="G33" s="10"/>
      <c r="H33" s="10"/>
    </row>
    <row r="34" ht="15.75" customHeight="1">
      <c r="F34" s="10"/>
      <c r="G34" s="10"/>
      <c r="H34" s="10"/>
    </row>
    <row r="35" ht="15.75" customHeight="1">
      <c r="F35" s="10"/>
      <c r="G35" s="10"/>
      <c r="H35" s="10"/>
    </row>
    <row r="36" ht="15.75" customHeight="1">
      <c r="F36" s="10"/>
      <c r="G36" s="10"/>
      <c r="H36" s="10"/>
    </row>
    <row r="37" ht="15.75" customHeight="1">
      <c r="F37" s="10"/>
      <c r="G37" s="10"/>
      <c r="H37" s="10"/>
    </row>
    <row r="38" ht="15.75" customHeight="1">
      <c r="F38" s="10"/>
      <c r="G38" s="10"/>
      <c r="H38" s="10"/>
    </row>
    <row r="39" ht="15.75" customHeight="1">
      <c r="F39" s="10"/>
      <c r="G39" s="10"/>
      <c r="H39" s="10"/>
    </row>
    <row r="40" ht="15.75" customHeight="1">
      <c r="F40" s="10"/>
      <c r="G40" s="10"/>
      <c r="H40" s="10"/>
    </row>
    <row r="41" ht="15.75" customHeight="1">
      <c r="F41" s="10"/>
      <c r="G41" s="10"/>
      <c r="H41" s="10"/>
    </row>
    <row r="42" ht="15.75" customHeight="1">
      <c r="F42" s="10"/>
      <c r="G42" s="10"/>
      <c r="H42" s="10"/>
    </row>
    <row r="43" ht="15.75" customHeight="1">
      <c r="F43" s="10"/>
      <c r="G43" s="10"/>
      <c r="H43" s="10"/>
    </row>
    <row r="44" ht="15.75" customHeight="1">
      <c r="F44" s="10"/>
      <c r="G44" s="10"/>
      <c r="H44" s="10"/>
    </row>
    <row r="45" ht="15.75" customHeight="1">
      <c r="F45" s="10"/>
      <c r="G45" s="10"/>
      <c r="H45" s="10"/>
    </row>
    <row r="46" ht="15.75" customHeight="1">
      <c r="F46" s="10"/>
      <c r="G46" s="10"/>
      <c r="H46" s="10"/>
    </row>
    <row r="47" ht="15.75" customHeight="1">
      <c r="F47" s="10"/>
      <c r="G47" s="10"/>
      <c r="H47" s="10"/>
    </row>
    <row r="48" ht="15.75" customHeight="1">
      <c r="F48" s="10"/>
      <c r="G48" s="10"/>
      <c r="H48" s="10"/>
    </row>
    <row r="49" ht="15.75" customHeight="1">
      <c r="F49" s="10"/>
      <c r="G49" s="10"/>
      <c r="H49" s="10"/>
    </row>
    <row r="50" ht="15.75" customHeight="1">
      <c r="F50" s="10"/>
      <c r="G50" s="10"/>
      <c r="H50" s="10"/>
    </row>
    <row r="51" ht="15.75" customHeight="1">
      <c r="F51" s="10"/>
      <c r="G51" s="10"/>
      <c r="H51" s="10"/>
    </row>
    <row r="52" ht="15.75" customHeight="1">
      <c r="F52" s="10"/>
      <c r="G52" s="10"/>
      <c r="H52" s="10"/>
    </row>
    <row r="53" ht="15.75" customHeight="1">
      <c r="F53" s="10"/>
      <c r="G53" s="10"/>
      <c r="H53" s="10"/>
    </row>
    <row r="54" ht="15.75" customHeight="1">
      <c r="F54" s="10"/>
      <c r="G54" s="10"/>
      <c r="H54" s="10"/>
    </row>
    <row r="55" ht="15.75" customHeight="1">
      <c r="F55" s="10"/>
      <c r="G55" s="10"/>
      <c r="H55" s="10"/>
    </row>
    <row r="56" ht="15.75" customHeight="1">
      <c r="F56" s="10"/>
      <c r="G56" s="10"/>
      <c r="H56" s="10"/>
    </row>
    <row r="57" ht="15.75" customHeight="1">
      <c r="F57" s="10"/>
      <c r="G57" s="10"/>
      <c r="H57" s="10"/>
    </row>
    <row r="58" ht="15.75" customHeight="1">
      <c r="F58" s="10"/>
      <c r="G58" s="10"/>
      <c r="H58" s="10"/>
    </row>
    <row r="59" ht="15.75" customHeight="1">
      <c r="F59" s="10"/>
      <c r="G59" s="10"/>
      <c r="H59" s="10"/>
    </row>
    <row r="60" ht="15.75" customHeight="1">
      <c r="F60" s="10"/>
      <c r="G60" s="10"/>
      <c r="H60" s="10"/>
    </row>
    <row r="61" ht="15.75" customHeight="1">
      <c r="F61" s="10"/>
      <c r="G61" s="10"/>
      <c r="H61" s="10"/>
    </row>
    <row r="62" ht="15.75" customHeight="1">
      <c r="F62" s="10"/>
      <c r="G62" s="10"/>
      <c r="H62" s="10"/>
    </row>
    <row r="63" ht="15.75" customHeight="1">
      <c r="F63" s="10"/>
      <c r="G63" s="10"/>
      <c r="H63" s="10"/>
    </row>
    <row r="64" ht="15.75" customHeight="1">
      <c r="F64" s="10"/>
      <c r="G64" s="10"/>
      <c r="H64" s="10"/>
    </row>
    <row r="65" ht="15.75" customHeight="1">
      <c r="F65" s="10"/>
      <c r="G65" s="10"/>
      <c r="H65" s="10"/>
    </row>
    <row r="66" ht="15.75" customHeight="1">
      <c r="F66" s="10"/>
      <c r="G66" s="10"/>
      <c r="H66" s="10"/>
    </row>
    <row r="67" ht="15.75" customHeight="1">
      <c r="F67" s="10"/>
      <c r="G67" s="10"/>
      <c r="H67" s="10"/>
    </row>
    <row r="68" ht="15.75" customHeight="1">
      <c r="F68" s="10"/>
      <c r="G68" s="10"/>
      <c r="H68" s="10"/>
    </row>
    <row r="69" ht="15.75" customHeight="1">
      <c r="F69" s="10"/>
      <c r="G69" s="10"/>
      <c r="H69" s="10"/>
    </row>
    <row r="70" ht="15.75" customHeight="1">
      <c r="F70" s="10"/>
      <c r="G70" s="10"/>
      <c r="H70" s="10"/>
    </row>
    <row r="71" ht="15.75" customHeight="1">
      <c r="F71" s="10"/>
      <c r="G71" s="10"/>
      <c r="H71" s="10"/>
    </row>
    <row r="72" ht="15.75" customHeight="1">
      <c r="F72" s="10"/>
      <c r="G72" s="10"/>
      <c r="H72" s="10"/>
    </row>
    <row r="73" ht="15.75" customHeight="1">
      <c r="F73" s="10"/>
      <c r="G73" s="10"/>
      <c r="H73" s="10"/>
    </row>
    <row r="74" ht="15.75" customHeight="1">
      <c r="F74" s="10"/>
      <c r="G74" s="10"/>
      <c r="H74" s="10"/>
    </row>
    <row r="75" ht="15.75" customHeight="1">
      <c r="F75" s="10"/>
      <c r="G75" s="10"/>
      <c r="H75" s="10"/>
    </row>
    <row r="76" ht="15.75" customHeight="1">
      <c r="F76" s="10"/>
      <c r="G76" s="10"/>
      <c r="H76" s="10"/>
    </row>
    <row r="77" ht="15.75" customHeight="1">
      <c r="F77" s="10"/>
      <c r="G77" s="10"/>
      <c r="H77" s="10"/>
    </row>
    <row r="78" ht="15.75" customHeight="1">
      <c r="F78" s="10"/>
      <c r="G78" s="10"/>
      <c r="H78" s="10"/>
    </row>
    <row r="79" ht="15.75" customHeight="1">
      <c r="F79" s="10"/>
      <c r="G79" s="10"/>
      <c r="H79" s="10"/>
    </row>
    <row r="80" ht="15.75" customHeight="1">
      <c r="F80" s="10"/>
      <c r="G80" s="10"/>
      <c r="H80" s="10"/>
    </row>
    <row r="81" ht="15.75" customHeight="1">
      <c r="F81" s="10"/>
      <c r="G81" s="10"/>
      <c r="H81" s="10"/>
    </row>
    <row r="82" ht="15.75" customHeight="1">
      <c r="F82" s="10"/>
      <c r="G82" s="10"/>
      <c r="H82" s="10"/>
    </row>
    <row r="83" ht="15.75" customHeight="1">
      <c r="F83" s="10"/>
      <c r="G83" s="10"/>
      <c r="H83" s="10"/>
    </row>
    <row r="84" ht="15.75" customHeight="1">
      <c r="F84" s="10"/>
      <c r="G84" s="10"/>
      <c r="H84" s="10"/>
    </row>
    <row r="85" ht="15.75" customHeight="1">
      <c r="F85" s="10"/>
      <c r="G85" s="10"/>
      <c r="H85" s="10"/>
    </row>
    <row r="86" ht="15.75" customHeight="1">
      <c r="F86" s="10"/>
      <c r="G86" s="10"/>
      <c r="H86" s="10"/>
    </row>
    <row r="87" ht="15.75" customHeight="1">
      <c r="F87" s="10"/>
      <c r="G87" s="10"/>
      <c r="H87" s="10"/>
    </row>
    <row r="88" ht="15.75" customHeight="1">
      <c r="F88" s="10"/>
      <c r="G88" s="10"/>
      <c r="H88" s="10"/>
    </row>
    <row r="89" ht="15.75" customHeight="1">
      <c r="F89" s="10"/>
      <c r="G89" s="10"/>
      <c r="H89" s="10"/>
    </row>
    <row r="90" ht="15.75" customHeight="1">
      <c r="F90" s="10"/>
      <c r="G90" s="10"/>
      <c r="H90" s="10"/>
    </row>
    <row r="91" ht="15.75" customHeight="1">
      <c r="F91" s="10"/>
      <c r="G91" s="10"/>
      <c r="H91" s="10"/>
    </row>
    <row r="92" ht="15.75" customHeight="1">
      <c r="F92" s="10"/>
      <c r="G92" s="10"/>
      <c r="H92" s="10"/>
    </row>
    <row r="93" ht="15.75" customHeight="1">
      <c r="F93" s="10"/>
      <c r="G93" s="10"/>
      <c r="H93" s="10"/>
    </row>
    <row r="94" ht="15.75" customHeight="1">
      <c r="F94" s="10"/>
      <c r="G94" s="10"/>
      <c r="H94" s="10"/>
    </row>
    <row r="95" ht="15.75" customHeight="1">
      <c r="F95" s="10"/>
      <c r="G95" s="10"/>
      <c r="H95" s="10"/>
    </row>
    <row r="96" ht="15.75" customHeight="1">
      <c r="F96" s="10"/>
      <c r="G96" s="10"/>
      <c r="H96" s="10"/>
    </row>
    <row r="97" ht="15.75" customHeight="1">
      <c r="F97" s="10"/>
      <c r="G97" s="10"/>
      <c r="H97" s="10"/>
    </row>
    <row r="98" ht="15.75" customHeight="1">
      <c r="F98" s="10"/>
      <c r="G98" s="10"/>
      <c r="H98" s="10"/>
    </row>
    <row r="99" ht="15.75" customHeight="1">
      <c r="F99" s="10"/>
      <c r="G99" s="10"/>
      <c r="H99" s="10"/>
    </row>
    <row r="100" ht="15.75" customHeight="1">
      <c r="F100" s="10"/>
      <c r="G100" s="10"/>
      <c r="H100" s="10"/>
    </row>
    <row r="101" ht="15.75" customHeight="1">
      <c r="F101" s="10"/>
      <c r="G101" s="10"/>
      <c r="H101" s="10"/>
    </row>
    <row r="102" ht="15.75" customHeight="1">
      <c r="F102" s="10"/>
      <c r="G102" s="10"/>
      <c r="H102" s="10"/>
    </row>
    <row r="103" ht="15.75" customHeight="1">
      <c r="F103" s="10"/>
      <c r="G103" s="10"/>
      <c r="H103" s="10"/>
    </row>
    <row r="104" ht="15.75" customHeight="1">
      <c r="F104" s="10"/>
      <c r="G104" s="10"/>
      <c r="H104" s="10"/>
    </row>
    <row r="105" ht="15.75" customHeight="1">
      <c r="F105" s="10"/>
      <c r="G105" s="10"/>
      <c r="H105" s="10"/>
    </row>
    <row r="106" ht="15.75" customHeight="1">
      <c r="F106" s="10"/>
      <c r="G106" s="10"/>
      <c r="H106" s="10"/>
    </row>
    <row r="107" ht="15.75" customHeight="1">
      <c r="F107" s="10"/>
      <c r="G107" s="10"/>
      <c r="H107" s="10"/>
    </row>
    <row r="108" ht="15.75" customHeight="1">
      <c r="F108" s="10"/>
      <c r="G108" s="10"/>
      <c r="H108" s="10"/>
    </row>
    <row r="109" ht="15.75" customHeight="1">
      <c r="F109" s="10"/>
      <c r="G109" s="10"/>
      <c r="H109" s="10"/>
    </row>
    <row r="110" ht="15.75" customHeight="1">
      <c r="F110" s="10"/>
      <c r="G110" s="10"/>
      <c r="H110" s="10"/>
    </row>
    <row r="111" ht="15.75" customHeight="1">
      <c r="F111" s="10"/>
      <c r="G111" s="10"/>
      <c r="H111" s="10"/>
    </row>
    <row r="112" ht="15.75" customHeight="1">
      <c r="F112" s="10"/>
      <c r="G112" s="10"/>
      <c r="H112" s="10"/>
    </row>
    <row r="113" ht="15.75" customHeight="1">
      <c r="F113" s="10"/>
      <c r="G113" s="10"/>
      <c r="H113" s="10"/>
    </row>
    <row r="114" ht="15.75" customHeight="1">
      <c r="F114" s="10"/>
      <c r="G114" s="10"/>
      <c r="H114" s="10"/>
    </row>
    <row r="115" ht="15.75" customHeight="1">
      <c r="F115" s="10"/>
      <c r="G115" s="10"/>
      <c r="H115" s="10"/>
    </row>
    <row r="116" ht="15.75" customHeight="1">
      <c r="F116" s="10"/>
      <c r="G116" s="10"/>
      <c r="H116" s="10"/>
    </row>
    <row r="117" ht="15.75" customHeight="1">
      <c r="F117" s="10"/>
      <c r="G117" s="10"/>
      <c r="H117" s="10"/>
    </row>
    <row r="118" ht="15.75" customHeight="1">
      <c r="F118" s="10"/>
      <c r="G118" s="10"/>
      <c r="H118" s="10"/>
    </row>
    <row r="119" ht="15.75" customHeight="1">
      <c r="F119" s="10"/>
      <c r="G119" s="10"/>
      <c r="H119" s="10"/>
    </row>
    <row r="120" ht="15.75" customHeight="1">
      <c r="F120" s="10"/>
      <c r="G120" s="10"/>
      <c r="H120" s="10"/>
    </row>
    <row r="121" ht="15.75" customHeight="1">
      <c r="F121" s="10"/>
      <c r="G121" s="10"/>
      <c r="H121" s="10"/>
    </row>
    <row r="122" ht="15.75" customHeight="1">
      <c r="F122" s="10"/>
      <c r="G122" s="10"/>
      <c r="H122" s="10"/>
    </row>
    <row r="123" ht="15.75" customHeight="1">
      <c r="F123" s="10"/>
      <c r="G123" s="10"/>
      <c r="H123" s="10"/>
    </row>
    <row r="124" ht="15.75" customHeight="1">
      <c r="F124" s="10"/>
      <c r="G124" s="10"/>
      <c r="H124" s="10"/>
    </row>
    <row r="125" ht="15.75" customHeight="1">
      <c r="F125" s="10"/>
      <c r="G125" s="10"/>
      <c r="H125" s="10"/>
    </row>
    <row r="126" ht="15.75" customHeight="1">
      <c r="F126" s="10"/>
      <c r="G126" s="10"/>
      <c r="H126" s="10"/>
    </row>
    <row r="127" ht="15.75" customHeight="1">
      <c r="F127" s="10"/>
      <c r="G127" s="10"/>
      <c r="H127" s="10"/>
    </row>
    <row r="128" ht="15.75" customHeight="1">
      <c r="F128" s="10"/>
      <c r="G128" s="10"/>
      <c r="H128" s="10"/>
    </row>
    <row r="129" ht="15.75" customHeight="1">
      <c r="F129" s="10"/>
      <c r="G129" s="10"/>
      <c r="H129" s="10"/>
    </row>
    <row r="130" ht="15.75" customHeight="1">
      <c r="F130" s="10"/>
      <c r="G130" s="10"/>
      <c r="H130" s="10"/>
    </row>
    <row r="131" ht="15.75" customHeight="1">
      <c r="F131" s="10"/>
      <c r="G131" s="10"/>
      <c r="H131" s="10"/>
    </row>
    <row r="132" ht="15.75" customHeight="1">
      <c r="F132" s="10"/>
      <c r="G132" s="10"/>
      <c r="H132" s="10"/>
    </row>
    <row r="133" ht="15.75" customHeight="1">
      <c r="F133" s="10"/>
      <c r="G133" s="10"/>
      <c r="H133" s="10"/>
    </row>
    <row r="134" ht="15.75" customHeight="1">
      <c r="F134" s="10"/>
      <c r="G134" s="10"/>
      <c r="H134" s="10"/>
    </row>
    <row r="135" ht="15.75" customHeight="1">
      <c r="F135" s="10"/>
      <c r="G135" s="10"/>
      <c r="H135" s="10"/>
    </row>
    <row r="136" ht="15.75" customHeight="1">
      <c r="F136" s="10"/>
      <c r="G136" s="10"/>
      <c r="H136" s="10"/>
    </row>
    <row r="137" ht="15.75" customHeight="1">
      <c r="F137" s="10"/>
      <c r="G137" s="10"/>
      <c r="H137" s="10"/>
    </row>
    <row r="138" ht="15.75" customHeight="1">
      <c r="F138" s="10"/>
      <c r="G138" s="10"/>
      <c r="H138" s="10"/>
    </row>
    <row r="139" ht="15.75" customHeight="1">
      <c r="F139" s="10"/>
      <c r="G139" s="10"/>
      <c r="H139" s="10"/>
    </row>
    <row r="140" ht="15.75" customHeight="1">
      <c r="F140" s="10"/>
      <c r="G140" s="10"/>
      <c r="H140" s="10"/>
    </row>
    <row r="141" ht="15.75" customHeight="1">
      <c r="F141" s="10"/>
      <c r="G141" s="10"/>
      <c r="H141" s="10"/>
    </row>
    <row r="142" ht="15.75" customHeight="1">
      <c r="F142" s="10"/>
      <c r="G142" s="10"/>
      <c r="H142" s="10"/>
    </row>
    <row r="143" ht="15.75" customHeight="1">
      <c r="F143" s="10"/>
      <c r="G143" s="10"/>
      <c r="H143" s="10"/>
    </row>
    <row r="144" ht="15.75" customHeight="1">
      <c r="F144" s="10"/>
      <c r="G144" s="10"/>
      <c r="H144" s="10"/>
    </row>
    <row r="145" ht="15.75" customHeight="1">
      <c r="F145" s="10"/>
      <c r="G145" s="10"/>
      <c r="H145" s="10"/>
    </row>
    <row r="146" ht="15.75" customHeight="1">
      <c r="F146" s="10"/>
      <c r="G146" s="10"/>
      <c r="H146" s="10"/>
    </row>
    <row r="147" ht="15.75" customHeight="1">
      <c r="F147" s="10"/>
      <c r="G147" s="10"/>
      <c r="H147" s="10"/>
    </row>
    <row r="148" ht="15.75" customHeight="1">
      <c r="F148" s="10"/>
      <c r="G148" s="10"/>
      <c r="H148" s="10"/>
    </row>
    <row r="149" ht="15.75" customHeight="1">
      <c r="F149" s="10"/>
      <c r="G149" s="10"/>
      <c r="H149" s="10"/>
    </row>
    <row r="150" ht="15.75" customHeight="1">
      <c r="F150" s="10"/>
      <c r="G150" s="10"/>
      <c r="H150" s="10"/>
    </row>
    <row r="151" ht="15.75" customHeight="1">
      <c r="F151" s="10"/>
      <c r="G151" s="10"/>
      <c r="H151" s="10"/>
    </row>
    <row r="152" ht="15.75" customHeight="1">
      <c r="F152" s="10"/>
      <c r="G152" s="10"/>
      <c r="H152" s="10"/>
    </row>
    <row r="153" ht="15.75" customHeight="1">
      <c r="F153" s="10"/>
      <c r="G153" s="10"/>
      <c r="H153" s="10"/>
    </row>
    <row r="154" ht="15.75" customHeight="1">
      <c r="F154" s="10"/>
      <c r="G154" s="10"/>
      <c r="H154" s="10"/>
    </row>
    <row r="155" ht="15.75" customHeight="1">
      <c r="F155" s="10"/>
      <c r="G155" s="10"/>
      <c r="H155" s="10"/>
    </row>
    <row r="156" ht="15.75" customHeight="1">
      <c r="F156" s="10"/>
      <c r="G156" s="10"/>
      <c r="H156" s="10"/>
    </row>
    <row r="157" ht="15.75" customHeight="1">
      <c r="F157" s="10"/>
      <c r="G157" s="10"/>
      <c r="H157" s="10"/>
    </row>
    <row r="158" ht="15.75" customHeight="1">
      <c r="F158" s="10"/>
      <c r="G158" s="10"/>
      <c r="H158" s="10"/>
    </row>
    <row r="159" ht="15.75" customHeight="1">
      <c r="F159" s="10"/>
      <c r="G159" s="10"/>
      <c r="H159" s="10"/>
    </row>
    <row r="160" ht="15.75" customHeight="1">
      <c r="F160" s="10"/>
      <c r="G160" s="10"/>
      <c r="H160" s="10"/>
    </row>
    <row r="161" ht="15.75" customHeight="1">
      <c r="F161" s="10"/>
      <c r="G161" s="10"/>
      <c r="H161" s="10"/>
    </row>
    <row r="162" ht="15.75" customHeight="1">
      <c r="F162" s="10"/>
      <c r="G162" s="10"/>
      <c r="H162" s="10"/>
    </row>
    <row r="163" ht="15.75" customHeight="1">
      <c r="F163" s="10"/>
      <c r="G163" s="10"/>
      <c r="H163" s="10"/>
    </row>
    <row r="164" ht="15.75" customHeight="1">
      <c r="F164" s="10"/>
      <c r="G164" s="10"/>
      <c r="H164" s="10"/>
    </row>
    <row r="165" ht="15.75" customHeight="1">
      <c r="F165" s="10"/>
      <c r="G165" s="10"/>
      <c r="H165" s="10"/>
    </row>
    <row r="166" ht="15.75" customHeight="1">
      <c r="F166" s="10"/>
      <c r="G166" s="10"/>
      <c r="H166" s="10"/>
    </row>
    <row r="167" ht="15.75" customHeight="1">
      <c r="F167" s="10"/>
      <c r="G167" s="10"/>
      <c r="H167" s="10"/>
    </row>
    <row r="168" ht="15.75" customHeight="1">
      <c r="F168" s="10"/>
      <c r="G168" s="10"/>
      <c r="H168" s="10"/>
    </row>
    <row r="169" ht="15.75" customHeight="1">
      <c r="F169" s="10"/>
      <c r="G169" s="10"/>
      <c r="H169" s="10"/>
    </row>
    <row r="170" ht="15.75" customHeight="1">
      <c r="F170" s="10"/>
      <c r="G170" s="10"/>
      <c r="H170" s="10"/>
    </row>
    <row r="171" ht="15.75" customHeight="1">
      <c r="F171" s="10"/>
      <c r="G171" s="10"/>
      <c r="H171" s="10"/>
    </row>
    <row r="172" ht="15.75" customHeight="1">
      <c r="F172" s="10"/>
      <c r="G172" s="10"/>
      <c r="H172" s="10"/>
    </row>
    <row r="173" ht="15.75" customHeight="1">
      <c r="F173" s="10"/>
      <c r="G173" s="10"/>
      <c r="H173" s="10"/>
    </row>
    <row r="174" ht="15.75" customHeight="1">
      <c r="F174" s="10"/>
      <c r="G174" s="10"/>
      <c r="H174" s="10"/>
    </row>
    <row r="175" ht="15.75" customHeight="1">
      <c r="F175" s="10"/>
      <c r="G175" s="10"/>
      <c r="H175" s="10"/>
    </row>
    <row r="176" ht="15.75" customHeight="1">
      <c r="F176" s="10"/>
      <c r="G176" s="10"/>
      <c r="H176" s="10"/>
    </row>
    <row r="177" ht="15.75" customHeight="1">
      <c r="F177" s="10"/>
      <c r="G177" s="10"/>
      <c r="H177" s="10"/>
    </row>
    <row r="178" ht="15.75" customHeight="1">
      <c r="F178" s="10"/>
      <c r="G178" s="10"/>
      <c r="H178" s="10"/>
    </row>
    <row r="179" ht="15.75" customHeight="1">
      <c r="F179" s="10"/>
      <c r="G179" s="10"/>
      <c r="H179" s="10"/>
    </row>
    <row r="180" ht="15.75" customHeight="1">
      <c r="F180" s="10"/>
      <c r="G180" s="10"/>
      <c r="H180" s="10"/>
    </row>
    <row r="181" ht="15.75" customHeight="1">
      <c r="F181" s="10"/>
      <c r="G181" s="10"/>
      <c r="H181" s="10"/>
    </row>
    <row r="182" ht="15.75" customHeight="1">
      <c r="F182" s="10"/>
      <c r="G182" s="10"/>
      <c r="H182" s="10"/>
    </row>
    <row r="183" ht="15.75" customHeight="1">
      <c r="F183" s="10"/>
      <c r="G183" s="10"/>
      <c r="H183" s="10"/>
    </row>
    <row r="184" ht="15.75" customHeight="1">
      <c r="F184" s="10"/>
      <c r="G184" s="10"/>
      <c r="H184" s="10"/>
    </row>
    <row r="185" ht="15.75" customHeight="1">
      <c r="F185" s="10"/>
      <c r="G185" s="10"/>
      <c r="H185" s="10"/>
    </row>
    <row r="186" ht="15.75" customHeight="1">
      <c r="F186" s="10"/>
      <c r="G186" s="10"/>
      <c r="H186" s="10"/>
    </row>
    <row r="187" ht="15.75" customHeight="1">
      <c r="F187" s="10"/>
      <c r="G187" s="10"/>
      <c r="H187" s="10"/>
    </row>
    <row r="188" ht="15.75" customHeight="1">
      <c r="F188" s="10"/>
      <c r="G188" s="10"/>
      <c r="H188" s="10"/>
    </row>
    <row r="189" ht="15.75" customHeight="1">
      <c r="F189" s="10"/>
      <c r="G189" s="10"/>
      <c r="H189" s="10"/>
    </row>
    <row r="190" ht="15.75" customHeight="1">
      <c r="F190" s="10"/>
      <c r="G190" s="10"/>
      <c r="H190" s="10"/>
    </row>
    <row r="191" ht="15.75" customHeight="1">
      <c r="F191" s="10"/>
      <c r="G191" s="10"/>
      <c r="H191" s="10"/>
    </row>
    <row r="192" ht="15.75" customHeight="1">
      <c r="F192" s="10"/>
      <c r="G192" s="10"/>
      <c r="H192" s="10"/>
    </row>
    <row r="193" ht="15.75" customHeight="1">
      <c r="F193" s="10"/>
      <c r="G193" s="10"/>
      <c r="H193" s="10"/>
    </row>
    <row r="194" ht="15.75" customHeight="1">
      <c r="F194" s="10"/>
      <c r="G194" s="10"/>
      <c r="H194" s="10"/>
    </row>
    <row r="195" ht="15.75" customHeight="1">
      <c r="F195" s="10"/>
      <c r="G195" s="10"/>
      <c r="H195" s="10"/>
    </row>
    <row r="196" ht="15.75" customHeight="1">
      <c r="F196" s="10"/>
      <c r="G196" s="10"/>
      <c r="H196" s="10"/>
    </row>
    <row r="197" ht="15.75" customHeight="1">
      <c r="F197" s="10"/>
      <c r="G197" s="10"/>
      <c r="H197" s="10"/>
    </row>
    <row r="198" ht="15.75" customHeight="1">
      <c r="F198" s="10"/>
      <c r="G198" s="10"/>
      <c r="H198" s="10"/>
    </row>
    <row r="199" ht="15.75" customHeight="1">
      <c r="F199" s="10"/>
      <c r="G199" s="10"/>
      <c r="H199" s="10"/>
    </row>
    <row r="200" ht="15.75" customHeight="1">
      <c r="F200" s="10"/>
      <c r="G200" s="10"/>
      <c r="H200" s="10"/>
    </row>
    <row r="201" ht="15.75" customHeight="1">
      <c r="F201" s="10"/>
      <c r="G201" s="10"/>
      <c r="H201" s="10"/>
    </row>
    <row r="202" ht="15.75" customHeight="1">
      <c r="F202" s="10"/>
      <c r="G202" s="10"/>
      <c r="H202" s="10"/>
    </row>
    <row r="203" ht="15.75" customHeight="1">
      <c r="F203" s="10"/>
      <c r="G203" s="10"/>
      <c r="H203" s="10"/>
    </row>
    <row r="204" ht="15.75" customHeight="1">
      <c r="F204" s="10"/>
      <c r="G204" s="10"/>
      <c r="H204" s="10"/>
    </row>
    <row r="205" ht="15.75" customHeight="1">
      <c r="F205" s="10"/>
      <c r="G205" s="10"/>
      <c r="H205" s="10"/>
    </row>
    <row r="206" ht="15.75" customHeight="1">
      <c r="F206" s="10"/>
      <c r="G206" s="10"/>
      <c r="H206" s="10"/>
    </row>
    <row r="207" ht="15.75" customHeight="1">
      <c r="F207" s="10"/>
      <c r="G207" s="10"/>
      <c r="H207" s="10"/>
    </row>
    <row r="208" ht="15.75" customHeight="1">
      <c r="F208" s="10"/>
      <c r="G208" s="10"/>
      <c r="H208" s="10"/>
    </row>
    <row r="209" ht="15.75" customHeight="1">
      <c r="F209" s="10"/>
      <c r="G209" s="10"/>
      <c r="H209" s="10"/>
    </row>
    <row r="210" ht="15.75" customHeight="1">
      <c r="F210" s="10"/>
      <c r="G210" s="10"/>
      <c r="H210" s="10"/>
    </row>
    <row r="211" ht="15.75" customHeight="1">
      <c r="F211" s="10"/>
      <c r="G211" s="10"/>
      <c r="H211" s="10"/>
    </row>
    <row r="212" ht="15.75" customHeight="1">
      <c r="F212" s="10"/>
      <c r="G212" s="10"/>
      <c r="H212" s="10"/>
    </row>
    <row r="213" ht="15.75" customHeight="1">
      <c r="F213" s="10"/>
      <c r="G213" s="10"/>
      <c r="H213" s="10"/>
    </row>
    <row r="214" ht="15.75" customHeight="1">
      <c r="F214" s="10"/>
      <c r="G214" s="10"/>
      <c r="H214" s="10"/>
    </row>
    <row r="215" ht="15.75" customHeight="1">
      <c r="F215" s="10"/>
      <c r="G215" s="10"/>
      <c r="H215" s="10"/>
    </row>
    <row r="216" ht="15.75" customHeight="1">
      <c r="F216" s="10"/>
      <c r="G216" s="10"/>
      <c r="H216" s="10"/>
    </row>
    <row r="217" ht="15.75" customHeight="1">
      <c r="F217" s="10"/>
      <c r="G217" s="10"/>
      <c r="H217" s="10"/>
    </row>
    <row r="218" ht="15.75" customHeight="1">
      <c r="F218" s="10"/>
      <c r="G218" s="10"/>
      <c r="H218" s="10"/>
    </row>
    <row r="219" ht="15.75" customHeight="1">
      <c r="F219" s="10"/>
      <c r="G219" s="10"/>
      <c r="H219" s="10"/>
    </row>
    <row r="220" ht="15.75" customHeight="1">
      <c r="F220" s="10"/>
      <c r="G220" s="10"/>
      <c r="H220" s="10"/>
    </row>
    <row r="221" ht="15.75" customHeight="1">
      <c r="F221" s="10"/>
      <c r="G221" s="10"/>
      <c r="H221" s="10"/>
    </row>
    <row r="222" ht="15.75" customHeight="1">
      <c r="F222" s="10"/>
      <c r="G222" s="10"/>
      <c r="H222" s="10"/>
    </row>
    <row r="223" ht="15.75" customHeight="1">
      <c r="F223" s="10"/>
      <c r="G223" s="10"/>
      <c r="H223" s="10"/>
    </row>
    <row r="224" ht="15.75" customHeight="1">
      <c r="F224" s="10"/>
      <c r="G224" s="10"/>
      <c r="H224" s="10"/>
    </row>
    <row r="225" ht="15.75" customHeight="1">
      <c r="F225" s="10"/>
      <c r="G225" s="10"/>
      <c r="H225" s="10"/>
    </row>
    <row r="226" ht="15.75" customHeight="1">
      <c r="F226" s="10"/>
      <c r="G226" s="10"/>
      <c r="H226" s="10"/>
    </row>
    <row r="227" ht="15.75" customHeight="1">
      <c r="F227" s="10"/>
      <c r="G227" s="10"/>
      <c r="H227" s="10"/>
    </row>
    <row r="228" ht="15.75" customHeight="1">
      <c r="F228" s="10"/>
      <c r="G228" s="10"/>
      <c r="H228" s="10"/>
    </row>
    <row r="229" ht="15.75" customHeight="1">
      <c r="F229" s="10"/>
      <c r="G229" s="10"/>
      <c r="H229" s="10"/>
    </row>
    <row r="230" ht="15.75" customHeight="1">
      <c r="F230" s="10"/>
      <c r="G230" s="10"/>
      <c r="H230" s="10"/>
    </row>
    <row r="231" ht="15.75" customHeight="1">
      <c r="F231" s="10"/>
      <c r="G231" s="10"/>
      <c r="H231" s="10"/>
    </row>
    <row r="232" ht="15.75" customHeight="1">
      <c r="F232" s="10"/>
      <c r="G232" s="10"/>
      <c r="H232" s="10"/>
    </row>
    <row r="233" ht="15.75" customHeight="1">
      <c r="F233" s="10"/>
      <c r="G233" s="10"/>
      <c r="H233" s="10"/>
    </row>
    <row r="234" ht="15.75" customHeight="1">
      <c r="F234" s="10"/>
      <c r="G234" s="10"/>
      <c r="H234" s="10"/>
    </row>
    <row r="235" ht="15.75" customHeight="1">
      <c r="F235" s="10"/>
      <c r="G235" s="10"/>
      <c r="H235" s="10"/>
    </row>
    <row r="236" ht="15.75" customHeight="1">
      <c r="F236" s="10"/>
      <c r="G236" s="10"/>
      <c r="H236" s="10"/>
    </row>
    <row r="237" ht="15.75" customHeight="1">
      <c r="F237" s="10"/>
      <c r="G237" s="10"/>
      <c r="H237" s="10"/>
    </row>
    <row r="238" ht="15.75" customHeight="1">
      <c r="F238" s="10"/>
      <c r="G238" s="10"/>
      <c r="H238" s="10"/>
    </row>
    <row r="239" ht="15.75" customHeight="1">
      <c r="F239" s="10"/>
      <c r="G239" s="10"/>
      <c r="H239" s="10"/>
    </row>
    <row r="240" ht="15.75" customHeight="1">
      <c r="F240" s="10"/>
      <c r="G240" s="10"/>
      <c r="H240" s="10"/>
    </row>
    <row r="241" ht="15.75" customHeight="1">
      <c r="F241" s="10"/>
      <c r="G241" s="10"/>
      <c r="H241" s="10"/>
    </row>
    <row r="242" ht="15.75" customHeight="1">
      <c r="F242" s="10"/>
      <c r="G242" s="10"/>
      <c r="H242" s="10"/>
    </row>
    <row r="243" ht="15.75" customHeight="1">
      <c r="F243" s="10"/>
      <c r="G243" s="10"/>
      <c r="H243" s="10"/>
    </row>
    <row r="244" ht="15.75" customHeight="1">
      <c r="F244" s="10"/>
      <c r="G244" s="10"/>
      <c r="H244" s="10"/>
    </row>
    <row r="245" ht="15.75" customHeight="1">
      <c r="F245" s="10"/>
      <c r="G245" s="10"/>
      <c r="H245" s="10"/>
    </row>
    <row r="246" ht="15.75" customHeight="1">
      <c r="F246" s="10"/>
      <c r="G246" s="10"/>
      <c r="H246" s="10"/>
    </row>
    <row r="247" ht="15.75" customHeight="1">
      <c r="F247" s="10"/>
      <c r="G247" s="10"/>
      <c r="H247" s="10"/>
    </row>
    <row r="248" ht="15.75" customHeight="1">
      <c r="F248" s="10"/>
      <c r="G248" s="10"/>
      <c r="H248" s="10"/>
    </row>
    <row r="249" ht="15.75" customHeight="1">
      <c r="F249" s="10"/>
      <c r="G249" s="10"/>
      <c r="H249" s="10"/>
    </row>
    <row r="250" ht="15.75" customHeight="1">
      <c r="F250" s="10"/>
      <c r="G250" s="10"/>
      <c r="H250" s="10"/>
    </row>
    <row r="251" ht="15.75" customHeight="1">
      <c r="F251" s="10"/>
      <c r="G251" s="10"/>
      <c r="H251" s="10"/>
    </row>
    <row r="252" ht="15.75" customHeight="1">
      <c r="F252" s="10"/>
      <c r="G252" s="10"/>
      <c r="H252" s="10"/>
    </row>
    <row r="253" ht="15.75" customHeight="1">
      <c r="F253" s="10"/>
      <c r="G253" s="10"/>
      <c r="H253" s="10"/>
    </row>
    <row r="254" ht="15.75" customHeight="1">
      <c r="F254" s="10"/>
      <c r="G254" s="10"/>
      <c r="H254" s="10"/>
    </row>
    <row r="255" ht="15.75" customHeight="1">
      <c r="F255" s="10"/>
      <c r="G255" s="10"/>
      <c r="H255" s="10"/>
    </row>
    <row r="256" ht="15.75" customHeight="1">
      <c r="F256" s="10"/>
      <c r="G256" s="10"/>
      <c r="H256" s="10"/>
    </row>
    <row r="257" ht="15.75" customHeight="1">
      <c r="F257" s="10"/>
      <c r="G257" s="10"/>
      <c r="H257" s="10"/>
    </row>
    <row r="258" ht="15.75" customHeight="1">
      <c r="F258" s="10"/>
      <c r="G258" s="10"/>
      <c r="H258" s="10"/>
    </row>
    <row r="259" ht="15.75" customHeight="1">
      <c r="F259" s="10"/>
      <c r="G259" s="10"/>
      <c r="H259" s="10"/>
    </row>
    <row r="260" ht="15.75" customHeight="1">
      <c r="F260" s="10"/>
      <c r="G260" s="10"/>
      <c r="H260" s="10"/>
    </row>
    <row r="261" ht="15.75" customHeight="1">
      <c r="F261" s="10"/>
      <c r="G261" s="10"/>
      <c r="H261" s="10"/>
    </row>
    <row r="262" ht="15.75" customHeight="1">
      <c r="F262" s="10"/>
      <c r="G262" s="10"/>
      <c r="H262" s="10"/>
    </row>
    <row r="263" ht="15.75" customHeight="1">
      <c r="F263" s="10"/>
      <c r="G263" s="10"/>
      <c r="H263" s="10"/>
    </row>
    <row r="264" ht="15.75" customHeight="1">
      <c r="F264" s="10"/>
      <c r="G264" s="10"/>
      <c r="H264" s="10"/>
    </row>
    <row r="265" ht="15.75" customHeight="1">
      <c r="F265" s="10"/>
      <c r="G265" s="10"/>
      <c r="H265" s="10"/>
    </row>
    <row r="266" ht="15.75" customHeight="1">
      <c r="F266" s="10"/>
      <c r="G266" s="10"/>
      <c r="H266" s="10"/>
    </row>
    <row r="267" ht="15.75" customHeight="1">
      <c r="F267" s="10"/>
      <c r="G267" s="10"/>
      <c r="H267" s="10"/>
    </row>
    <row r="268" ht="15.75" customHeight="1">
      <c r="F268" s="10"/>
      <c r="G268" s="10"/>
      <c r="H268" s="10"/>
    </row>
    <row r="269" ht="15.75" customHeight="1">
      <c r="F269" s="10"/>
      <c r="G269" s="10"/>
      <c r="H269" s="10"/>
    </row>
    <row r="270" ht="15.75" customHeight="1">
      <c r="F270" s="10"/>
      <c r="G270" s="10"/>
      <c r="H270" s="10"/>
    </row>
    <row r="271" ht="15.75" customHeight="1">
      <c r="F271" s="10"/>
      <c r="G271" s="10"/>
      <c r="H271" s="10"/>
    </row>
    <row r="272" ht="15.75" customHeight="1">
      <c r="F272" s="10"/>
      <c r="G272" s="10"/>
      <c r="H272" s="10"/>
    </row>
    <row r="273" ht="15.75" customHeight="1">
      <c r="F273" s="10"/>
      <c r="G273" s="10"/>
      <c r="H273" s="10"/>
    </row>
    <row r="274" ht="15.75" customHeight="1">
      <c r="F274" s="10"/>
      <c r="G274" s="10"/>
      <c r="H274" s="10"/>
    </row>
    <row r="275" ht="15.75" customHeight="1">
      <c r="F275" s="10"/>
      <c r="G275" s="10"/>
      <c r="H275" s="10"/>
    </row>
    <row r="276" ht="15.75" customHeight="1">
      <c r="F276" s="10"/>
      <c r="G276" s="10"/>
      <c r="H276" s="10"/>
    </row>
    <row r="277" ht="15.75" customHeight="1">
      <c r="F277" s="10"/>
      <c r="G277" s="10"/>
      <c r="H277" s="10"/>
    </row>
    <row r="278" ht="15.75" customHeight="1">
      <c r="F278" s="10"/>
      <c r="G278" s="10"/>
      <c r="H278" s="10"/>
    </row>
    <row r="279" ht="15.75" customHeight="1">
      <c r="F279" s="10"/>
      <c r="G279" s="10"/>
      <c r="H279" s="10"/>
    </row>
    <row r="280" ht="15.75" customHeight="1">
      <c r="F280" s="10"/>
      <c r="G280" s="10"/>
      <c r="H280" s="10"/>
    </row>
    <row r="281" ht="15.75" customHeight="1">
      <c r="F281" s="10"/>
      <c r="G281" s="10"/>
      <c r="H281" s="10"/>
    </row>
    <row r="282" ht="15.75" customHeight="1">
      <c r="F282" s="10"/>
      <c r="G282" s="10"/>
      <c r="H282" s="10"/>
    </row>
    <row r="283" ht="15.75" customHeight="1">
      <c r="F283" s="10"/>
      <c r="G283" s="10"/>
      <c r="H283" s="10"/>
    </row>
    <row r="284" ht="15.75" customHeight="1">
      <c r="F284" s="10"/>
      <c r="G284" s="10"/>
      <c r="H284" s="10"/>
    </row>
    <row r="285" ht="15.75" customHeight="1">
      <c r="F285" s="10"/>
      <c r="G285" s="10"/>
      <c r="H285" s="10"/>
    </row>
    <row r="286" ht="15.75" customHeight="1">
      <c r="F286" s="10"/>
      <c r="G286" s="10"/>
      <c r="H286" s="10"/>
    </row>
    <row r="287" ht="15.75" customHeight="1">
      <c r="F287" s="10"/>
      <c r="G287" s="10"/>
      <c r="H287" s="10"/>
    </row>
    <row r="288" ht="15.75" customHeight="1">
      <c r="F288" s="10"/>
      <c r="G288" s="10"/>
      <c r="H288" s="10"/>
    </row>
    <row r="289" ht="15.75" customHeight="1">
      <c r="F289" s="10"/>
      <c r="G289" s="10"/>
      <c r="H289" s="10"/>
    </row>
    <row r="290" ht="15.75" customHeight="1">
      <c r="F290" s="10"/>
      <c r="G290" s="10"/>
      <c r="H290" s="10"/>
    </row>
    <row r="291" ht="15.75" customHeight="1">
      <c r="F291" s="10"/>
      <c r="G291" s="10"/>
      <c r="H291" s="10"/>
    </row>
    <row r="292" ht="15.75" customHeight="1">
      <c r="F292" s="10"/>
      <c r="G292" s="10"/>
      <c r="H292" s="10"/>
    </row>
    <row r="293" ht="15.75" customHeight="1">
      <c r="F293" s="10"/>
      <c r="G293" s="10"/>
      <c r="H293" s="10"/>
    </row>
    <row r="294" ht="15.75" customHeight="1">
      <c r="F294" s="10"/>
      <c r="G294" s="10"/>
      <c r="H294" s="10"/>
    </row>
    <row r="295" ht="15.75" customHeight="1">
      <c r="F295" s="10"/>
      <c r="G295" s="10"/>
      <c r="H295" s="10"/>
    </row>
    <row r="296" ht="15.75" customHeight="1">
      <c r="F296" s="10"/>
      <c r="G296" s="10"/>
      <c r="H296" s="10"/>
    </row>
    <row r="297" ht="15.75" customHeight="1">
      <c r="F297" s="10"/>
      <c r="G297" s="10"/>
      <c r="H297" s="10"/>
    </row>
    <row r="298" ht="15.75" customHeight="1">
      <c r="F298" s="10"/>
      <c r="G298" s="10"/>
      <c r="H298" s="10"/>
    </row>
    <row r="299" ht="15.75" customHeight="1">
      <c r="F299" s="10"/>
      <c r="G299" s="10"/>
      <c r="H299" s="10"/>
    </row>
    <row r="300" ht="15.75" customHeight="1">
      <c r="F300" s="10"/>
      <c r="G300" s="10"/>
      <c r="H300" s="10"/>
    </row>
    <row r="301" ht="15.75" customHeight="1">
      <c r="F301" s="10"/>
      <c r="G301" s="10"/>
      <c r="H301" s="10"/>
    </row>
    <row r="302" ht="15.75" customHeight="1">
      <c r="F302" s="10"/>
      <c r="G302" s="10"/>
      <c r="H302" s="10"/>
    </row>
    <row r="303" ht="15.75" customHeight="1">
      <c r="F303" s="10"/>
      <c r="G303" s="10"/>
      <c r="H303" s="10"/>
    </row>
    <row r="304" ht="15.75" customHeight="1">
      <c r="F304" s="10"/>
      <c r="G304" s="10"/>
      <c r="H304" s="10"/>
    </row>
    <row r="305" ht="15.75" customHeight="1">
      <c r="F305" s="10"/>
      <c r="G305" s="10"/>
      <c r="H305" s="10"/>
    </row>
    <row r="306" ht="15.75" customHeight="1">
      <c r="F306" s="10"/>
      <c r="G306" s="10"/>
      <c r="H306" s="10"/>
    </row>
    <row r="307" ht="15.75" customHeight="1">
      <c r="F307" s="10"/>
      <c r="G307" s="10"/>
      <c r="H307" s="10"/>
    </row>
    <row r="308" ht="15.75" customHeight="1">
      <c r="F308" s="10"/>
      <c r="G308" s="10"/>
      <c r="H308" s="10"/>
    </row>
    <row r="309" ht="15.75" customHeight="1">
      <c r="F309" s="10"/>
      <c r="G309" s="10"/>
      <c r="H309" s="10"/>
    </row>
    <row r="310" ht="15.75" customHeight="1">
      <c r="F310" s="10"/>
      <c r="G310" s="10"/>
      <c r="H310" s="10"/>
    </row>
    <row r="311" ht="15.75" customHeight="1">
      <c r="F311" s="10"/>
      <c r="G311" s="10"/>
      <c r="H311" s="10"/>
    </row>
    <row r="312" ht="15.75" customHeight="1">
      <c r="F312" s="10"/>
      <c r="G312" s="10"/>
      <c r="H312" s="10"/>
    </row>
    <row r="313" ht="15.75" customHeight="1">
      <c r="F313" s="10"/>
      <c r="G313" s="10"/>
      <c r="H313" s="10"/>
    </row>
    <row r="314" ht="15.75" customHeight="1">
      <c r="F314" s="10"/>
      <c r="G314" s="10"/>
      <c r="H314" s="10"/>
    </row>
    <row r="315" ht="15.75" customHeight="1">
      <c r="F315" s="10"/>
      <c r="G315" s="10"/>
      <c r="H315" s="10"/>
    </row>
    <row r="316" ht="15.75" customHeight="1">
      <c r="F316" s="10"/>
      <c r="G316" s="10"/>
      <c r="H316" s="10"/>
    </row>
    <row r="317" ht="15.75" customHeight="1">
      <c r="F317" s="10"/>
      <c r="G317" s="10"/>
      <c r="H317" s="10"/>
    </row>
    <row r="318" ht="15.75" customHeight="1">
      <c r="F318" s="10"/>
      <c r="G318" s="10"/>
      <c r="H318" s="10"/>
    </row>
    <row r="319" ht="15.75" customHeight="1">
      <c r="F319" s="10"/>
      <c r="G319" s="10"/>
      <c r="H319" s="10"/>
    </row>
    <row r="320" ht="15.75" customHeight="1">
      <c r="F320" s="10"/>
      <c r="G320" s="10"/>
      <c r="H320" s="10"/>
    </row>
    <row r="321" ht="15.75" customHeight="1">
      <c r="F321" s="10"/>
      <c r="G321" s="10"/>
      <c r="H321" s="10"/>
    </row>
    <row r="322" ht="15.75" customHeight="1">
      <c r="F322" s="10"/>
      <c r="G322" s="10"/>
      <c r="H322" s="10"/>
    </row>
    <row r="323" ht="15.75" customHeight="1">
      <c r="F323" s="10"/>
      <c r="G323" s="10"/>
      <c r="H323" s="10"/>
    </row>
    <row r="324" ht="15.75" customHeight="1">
      <c r="F324" s="10"/>
      <c r="G324" s="10"/>
      <c r="H324" s="10"/>
    </row>
    <row r="325" ht="15.75" customHeight="1">
      <c r="F325" s="10"/>
      <c r="G325" s="10"/>
      <c r="H325" s="10"/>
    </row>
    <row r="326" ht="15.75" customHeight="1">
      <c r="F326" s="10"/>
      <c r="G326" s="10"/>
      <c r="H326" s="10"/>
    </row>
    <row r="327" ht="15.75" customHeight="1">
      <c r="F327" s="10"/>
      <c r="G327" s="10"/>
      <c r="H327" s="10"/>
    </row>
    <row r="328" ht="15.75" customHeight="1">
      <c r="F328" s="10"/>
      <c r="G328" s="10"/>
      <c r="H328" s="10"/>
    </row>
    <row r="329" ht="15.75" customHeight="1">
      <c r="F329" s="10"/>
      <c r="G329" s="10"/>
      <c r="H329" s="10"/>
    </row>
    <row r="330" ht="15.75" customHeight="1">
      <c r="F330" s="10"/>
      <c r="G330" s="10"/>
      <c r="H330" s="10"/>
    </row>
    <row r="331" ht="15.75" customHeight="1">
      <c r="F331" s="10"/>
      <c r="G331" s="10"/>
      <c r="H331" s="10"/>
    </row>
    <row r="332" ht="15.75" customHeight="1">
      <c r="F332" s="10"/>
      <c r="G332" s="10"/>
      <c r="H332" s="10"/>
    </row>
    <row r="333" ht="15.75" customHeight="1">
      <c r="F333" s="10"/>
      <c r="G333" s="10"/>
      <c r="H333" s="10"/>
    </row>
    <row r="334" ht="15.75" customHeight="1">
      <c r="F334" s="10"/>
      <c r="G334" s="10"/>
      <c r="H334" s="10"/>
    </row>
    <row r="335" ht="15.75" customHeight="1">
      <c r="F335" s="10"/>
      <c r="G335" s="10"/>
      <c r="H335" s="10"/>
    </row>
    <row r="336" ht="15.75" customHeight="1">
      <c r="F336" s="10"/>
      <c r="G336" s="10"/>
      <c r="H336" s="10"/>
    </row>
    <row r="337" ht="15.75" customHeight="1">
      <c r="F337" s="10"/>
      <c r="G337" s="10"/>
      <c r="H337" s="10"/>
    </row>
    <row r="338" ht="15.75" customHeight="1">
      <c r="F338" s="10"/>
      <c r="G338" s="10"/>
      <c r="H338" s="10"/>
    </row>
    <row r="339" ht="15.75" customHeight="1">
      <c r="F339" s="10"/>
      <c r="G339" s="10"/>
      <c r="H339" s="10"/>
    </row>
    <row r="340" ht="15.75" customHeight="1">
      <c r="F340" s="10"/>
      <c r="G340" s="10"/>
      <c r="H340" s="10"/>
    </row>
    <row r="341" ht="15.75" customHeight="1">
      <c r="F341" s="10"/>
      <c r="G341" s="10"/>
      <c r="H341" s="10"/>
    </row>
    <row r="342" ht="15.75" customHeight="1">
      <c r="F342" s="10"/>
      <c r="G342" s="10"/>
      <c r="H342" s="10"/>
    </row>
    <row r="343" ht="15.75" customHeight="1">
      <c r="F343" s="10"/>
      <c r="G343" s="10"/>
      <c r="H343" s="10"/>
    </row>
    <row r="344" ht="15.75" customHeight="1">
      <c r="F344" s="10"/>
      <c r="G344" s="10"/>
      <c r="H344" s="10"/>
    </row>
    <row r="345" ht="15.75" customHeight="1">
      <c r="F345" s="10"/>
      <c r="G345" s="10"/>
      <c r="H345" s="10"/>
    </row>
    <row r="346" ht="15.75" customHeight="1">
      <c r="F346" s="10"/>
      <c r="G346" s="10"/>
      <c r="H346" s="10"/>
    </row>
    <row r="347" ht="15.75" customHeight="1">
      <c r="F347" s="10"/>
      <c r="G347" s="10"/>
      <c r="H347" s="10"/>
    </row>
    <row r="348" ht="15.75" customHeight="1">
      <c r="F348" s="10"/>
      <c r="G348" s="10"/>
      <c r="H348" s="10"/>
    </row>
    <row r="349" ht="15.75" customHeight="1">
      <c r="F349" s="10"/>
      <c r="G349" s="10"/>
      <c r="H349" s="10"/>
    </row>
    <row r="350" ht="15.75" customHeight="1">
      <c r="F350" s="10"/>
      <c r="G350" s="10"/>
      <c r="H350" s="10"/>
    </row>
    <row r="351" ht="15.75" customHeight="1">
      <c r="F351" s="10"/>
      <c r="G351" s="10"/>
      <c r="H351" s="10"/>
    </row>
    <row r="352" ht="15.75" customHeight="1">
      <c r="F352" s="10"/>
      <c r="G352" s="10"/>
      <c r="H352" s="10"/>
    </row>
    <row r="353" ht="15.75" customHeight="1">
      <c r="F353" s="10"/>
      <c r="G353" s="10"/>
      <c r="H353" s="10"/>
    </row>
    <row r="354" ht="15.75" customHeight="1">
      <c r="F354" s="10"/>
      <c r="G354" s="10"/>
      <c r="H354" s="10"/>
    </row>
    <row r="355" ht="15.75" customHeight="1">
      <c r="F355" s="10"/>
      <c r="G355" s="10"/>
      <c r="H355" s="10"/>
    </row>
    <row r="356" ht="15.75" customHeight="1">
      <c r="F356" s="10"/>
      <c r="G356" s="10"/>
      <c r="H356" s="10"/>
    </row>
    <row r="357" ht="15.75" customHeight="1">
      <c r="F357" s="10"/>
      <c r="G357" s="10"/>
      <c r="H357" s="10"/>
    </row>
    <row r="358" ht="15.75" customHeight="1">
      <c r="F358" s="10"/>
      <c r="G358" s="10"/>
      <c r="H358" s="10"/>
    </row>
    <row r="359" ht="15.75" customHeight="1">
      <c r="F359" s="10"/>
      <c r="G359" s="10"/>
      <c r="H359" s="10"/>
    </row>
    <row r="360" ht="15.75" customHeight="1">
      <c r="F360" s="10"/>
      <c r="G360" s="10"/>
      <c r="H360" s="10"/>
    </row>
    <row r="361" ht="15.75" customHeight="1">
      <c r="F361" s="10"/>
      <c r="G361" s="10"/>
      <c r="H361" s="10"/>
    </row>
    <row r="362" ht="15.75" customHeight="1">
      <c r="F362" s="10"/>
      <c r="G362" s="10"/>
      <c r="H362" s="10"/>
    </row>
    <row r="363" ht="15.75" customHeight="1">
      <c r="F363" s="10"/>
      <c r="G363" s="10"/>
      <c r="H363" s="10"/>
    </row>
    <row r="364" ht="15.75" customHeight="1">
      <c r="F364" s="10"/>
      <c r="G364" s="10"/>
      <c r="H364" s="10"/>
    </row>
    <row r="365" ht="15.75" customHeight="1">
      <c r="F365" s="10"/>
      <c r="G365" s="10"/>
      <c r="H365" s="10"/>
    </row>
    <row r="366" ht="15.75" customHeight="1">
      <c r="F366" s="10"/>
      <c r="G366" s="10"/>
      <c r="H366" s="10"/>
    </row>
    <row r="367" ht="15.75" customHeight="1">
      <c r="F367" s="10"/>
      <c r="G367" s="10"/>
      <c r="H367" s="10"/>
    </row>
    <row r="368" ht="15.75" customHeight="1">
      <c r="F368" s="10"/>
      <c r="G368" s="10"/>
      <c r="H368" s="10"/>
    </row>
    <row r="369" ht="15.75" customHeight="1">
      <c r="F369" s="10"/>
      <c r="G369" s="10"/>
      <c r="H369" s="10"/>
    </row>
    <row r="370" ht="15.75" customHeight="1">
      <c r="F370" s="10"/>
      <c r="G370" s="10"/>
      <c r="H370" s="10"/>
    </row>
    <row r="371" ht="15.75" customHeight="1">
      <c r="F371" s="10"/>
      <c r="G371" s="10"/>
      <c r="H371" s="10"/>
    </row>
    <row r="372" ht="15.75" customHeight="1">
      <c r="F372" s="10"/>
      <c r="G372" s="10"/>
      <c r="H372" s="10"/>
    </row>
    <row r="373" ht="15.75" customHeight="1">
      <c r="F373" s="10"/>
      <c r="G373" s="10"/>
      <c r="H373" s="10"/>
    </row>
    <row r="374" ht="15.75" customHeight="1">
      <c r="F374" s="10"/>
      <c r="G374" s="10"/>
      <c r="H374" s="10"/>
    </row>
    <row r="375" ht="15.75" customHeight="1">
      <c r="F375" s="10"/>
      <c r="G375" s="10"/>
      <c r="H375" s="10"/>
    </row>
    <row r="376" ht="15.75" customHeight="1">
      <c r="F376" s="10"/>
      <c r="G376" s="10"/>
      <c r="H376" s="10"/>
    </row>
    <row r="377" ht="15.75" customHeight="1">
      <c r="F377" s="10"/>
      <c r="G377" s="10"/>
      <c r="H377" s="10"/>
    </row>
    <row r="378" ht="15.75" customHeight="1">
      <c r="F378" s="10"/>
      <c r="G378" s="10"/>
      <c r="H378" s="10"/>
    </row>
    <row r="379" ht="15.75" customHeight="1">
      <c r="F379" s="10"/>
      <c r="G379" s="10"/>
      <c r="H379" s="10"/>
    </row>
    <row r="380" ht="15.75" customHeight="1">
      <c r="F380" s="10"/>
      <c r="G380" s="10"/>
      <c r="H380" s="10"/>
    </row>
    <row r="381" ht="15.75" customHeight="1">
      <c r="F381" s="10"/>
      <c r="G381" s="10"/>
      <c r="H381" s="10"/>
    </row>
    <row r="382" ht="15.75" customHeight="1">
      <c r="F382" s="10"/>
      <c r="G382" s="10"/>
      <c r="H382" s="10"/>
    </row>
    <row r="383" ht="15.75" customHeight="1">
      <c r="F383" s="10"/>
      <c r="G383" s="10"/>
      <c r="H383" s="10"/>
    </row>
    <row r="384" ht="15.75" customHeight="1">
      <c r="F384" s="10"/>
      <c r="G384" s="10"/>
      <c r="H384" s="10"/>
    </row>
    <row r="385" ht="15.75" customHeight="1">
      <c r="F385" s="10"/>
      <c r="G385" s="10"/>
      <c r="H385" s="10"/>
    </row>
    <row r="386" ht="15.75" customHeight="1">
      <c r="F386" s="10"/>
      <c r="G386" s="10"/>
      <c r="H386" s="10"/>
    </row>
    <row r="387" ht="15.75" customHeight="1">
      <c r="F387" s="10"/>
      <c r="G387" s="10"/>
      <c r="H387" s="10"/>
    </row>
    <row r="388" ht="15.75" customHeight="1">
      <c r="F388" s="10"/>
      <c r="G388" s="10"/>
      <c r="H388" s="10"/>
    </row>
    <row r="389" ht="15.75" customHeight="1">
      <c r="F389" s="10"/>
      <c r="G389" s="10"/>
      <c r="H389" s="10"/>
    </row>
    <row r="390" ht="15.75" customHeight="1">
      <c r="F390" s="10"/>
      <c r="G390" s="10"/>
      <c r="H390" s="10"/>
    </row>
    <row r="391" ht="15.75" customHeight="1">
      <c r="F391" s="10"/>
      <c r="G391" s="10"/>
      <c r="H391" s="10"/>
    </row>
    <row r="392" ht="15.75" customHeight="1">
      <c r="F392" s="10"/>
      <c r="G392" s="10"/>
      <c r="H392" s="10"/>
    </row>
    <row r="393" ht="15.75" customHeight="1">
      <c r="F393" s="10"/>
      <c r="G393" s="10"/>
      <c r="H393" s="10"/>
    </row>
    <row r="394" ht="15.75" customHeight="1">
      <c r="F394" s="10"/>
      <c r="G394" s="10"/>
      <c r="H394" s="10"/>
    </row>
    <row r="395" ht="15.75" customHeight="1">
      <c r="F395" s="10"/>
      <c r="G395" s="10"/>
      <c r="H395" s="10"/>
    </row>
    <row r="396" ht="15.75" customHeight="1">
      <c r="F396" s="10"/>
      <c r="G396" s="10"/>
      <c r="H396" s="10"/>
    </row>
    <row r="397" ht="15.75" customHeight="1">
      <c r="F397" s="10"/>
      <c r="G397" s="10"/>
      <c r="H397" s="10"/>
    </row>
    <row r="398" ht="15.75" customHeight="1">
      <c r="F398" s="10"/>
      <c r="G398" s="10"/>
      <c r="H398" s="10"/>
    </row>
    <row r="399" ht="15.75" customHeight="1">
      <c r="F399" s="10"/>
      <c r="G399" s="10"/>
      <c r="H399" s="10"/>
    </row>
    <row r="400" ht="15.75" customHeight="1">
      <c r="F400" s="10"/>
      <c r="G400" s="10"/>
      <c r="H400" s="10"/>
    </row>
    <row r="401" ht="15.75" customHeight="1">
      <c r="F401" s="10"/>
      <c r="G401" s="10"/>
      <c r="H401" s="10"/>
    </row>
    <row r="402" ht="15.75" customHeight="1">
      <c r="F402" s="10"/>
      <c r="G402" s="10"/>
      <c r="H402" s="10"/>
    </row>
    <row r="403" ht="15.75" customHeight="1">
      <c r="F403" s="10"/>
      <c r="G403" s="10"/>
      <c r="H403" s="10"/>
    </row>
    <row r="404" ht="15.75" customHeight="1">
      <c r="F404" s="10"/>
      <c r="G404" s="10"/>
      <c r="H404" s="10"/>
    </row>
    <row r="405" ht="15.75" customHeight="1">
      <c r="F405" s="10"/>
      <c r="G405" s="10"/>
      <c r="H405" s="10"/>
    </row>
    <row r="406" ht="15.75" customHeight="1">
      <c r="F406" s="10"/>
      <c r="G406" s="10"/>
      <c r="H406" s="10"/>
    </row>
    <row r="407" ht="15.75" customHeight="1">
      <c r="F407" s="10"/>
      <c r="G407" s="10"/>
      <c r="H407" s="10"/>
    </row>
    <row r="408" ht="15.75" customHeight="1">
      <c r="F408" s="10"/>
      <c r="G408" s="10"/>
      <c r="H408" s="10"/>
    </row>
    <row r="409" ht="15.75" customHeight="1">
      <c r="F409" s="10"/>
      <c r="G409" s="10"/>
      <c r="H409" s="10"/>
    </row>
    <row r="410" ht="15.75" customHeight="1">
      <c r="F410" s="10"/>
      <c r="G410" s="10"/>
      <c r="H410" s="10"/>
    </row>
    <row r="411" ht="15.75" customHeight="1">
      <c r="F411" s="10"/>
      <c r="G411" s="10"/>
      <c r="H411" s="10"/>
    </row>
    <row r="412" ht="15.75" customHeight="1">
      <c r="F412" s="10"/>
      <c r="G412" s="10"/>
      <c r="H412" s="10"/>
    </row>
    <row r="413" ht="15.75" customHeight="1">
      <c r="F413" s="10"/>
      <c r="G413" s="10"/>
      <c r="H413" s="10"/>
    </row>
    <row r="414" ht="15.75" customHeight="1">
      <c r="F414" s="10"/>
      <c r="G414" s="10"/>
      <c r="H414" s="10"/>
    </row>
    <row r="415" ht="15.75" customHeight="1">
      <c r="F415" s="10"/>
      <c r="G415" s="10"/>
      <c r="H415" s="10"/>
    </row>
    <row r="416" ht="15.75" customHeight="1">
      <c r="F416" s="10"/>
      <c r="G416" s="10"/>
      <c r="H416" s="10"/>
    </row>
    <row r="417" ht="15.75" customHeight="1">
      <c r="F417" s="10"/>
      <c r="G417" s="10"/>
      <c r="H417" s="10"/>
    </row>
    <row r="418" ht="15.75" customHeight="1">
      <c r="F418" s="10"/>
      <c r="G418" s="10"/>
      <c r="H418" s="10"/>
    </row>
    <row r="419" ht="15.75" customHeight="1">
      <c r="F419" s="10"/>
      <c r="G419" s="10"/>
      <c r="H419" s="10"/>
    </row>
    <row r="420" ht="15.75" customHeight="1">
      <c r="F420" s="10"/>
      <c r="G420" s="10"/>
      <c r="H420" s="10"/>
    </row>
    <row r="421" ht="15.75" customHeight="1">
      <c r="F421" s="10"/>
      <c r="G421" s="10"/>
      <c r="H421" s="10"/>
    </row>
    <row r="422" ht="15.75" customHeight="1">
      <c r="F422" s="10"/>
      <c r="G422" s="10"/>
      <c r="H422" s="10"/>
    </row>
    <row r="423" ht="15.75" customHeight="1">
      <c r="F423" s="10"/>
      <c r="G423" s="10"/>
      <c r="H423" s="10"/>
    </row>
    <row r="424" ht="15.75" customHeight="1">
      <c r="F424" s="10"/>
      <c r="G424" s="10"/>
      <c r="H424" s="10"/>
    </row>
    <row r="425" ht="15.75" customHeight="1">
      <c r="F425" s="10"/>
      <c r="G425" s="10"/>
      <c r="H425" s="10"/>
    </row>
    <row r="426" ht="15.75" customHeight="1">
      <c r="F426" s="10"/>
      <c r="G426" s="10"/>
      <c r="H426" s="10"/>
    </row>
    <row r="427" ht="15.75" customHeight="1">
      <c r="F427" s="10"/>
      <c r="G427" s="10"/>
      <c r="H427" s="10"/>
    </row>
    <row r="428" ht="15.75" customHeight="1">
      <c r="F428" s="10"/>
      <c r="G428" s="10"/>
      <c r="H428" s="10"/>
    </row>
    <row r="429" ht="15.75" customHeight="1">
      <c r="F429" s="10"/>
      <c r="G429" s="10"/>
      <c r="H429" s="10"/>
    </row>
    <row r="430" ht="15.75" customHeight="1">
      <c r="F430" s="10"/>
      <c r="G430" s="10"/>
      <c r="H430" s="10"/>
    </row>
    <row r="431" ht="15.75" customHeight="1">
      <c r="F431" s="10"/>
      <c r="G431" s="10"/>
      <c r="H431" s="10"/>
    </row>
    <row r="432" ht="15.75" customHeight="1">
      <c r="F432" s="10"/>
      <c r="G432" s="10"/>
      <c r="H432" s="10"/>
    </row>
    <row r="433" ht="15.75" customHeight="1">
      <c r="F433" s="10"/>
      <c r="G433" s="10"/>
      <c r="H433" s="10"/>
    </row>
    <row r="434" ht="15.75" customHeight="1">
      <c r="F434" s="10"/>
      <c r="G434" s="10"/>
      <c r="H434" s="10"/>
    </row>
    <row r="435" ht="15.75" customHeight="1">
      <c r="F435" s="10"/>
      <c r="G435" s="10"/>
      <c r="H435" s="10"/>
    </row>
    <row r="436" ht="15.75" customHeight="1">
      <c r="F436" s="10"/>
      <c r="G436" s="10"/>
      <c r="H436" s="10"/>
    </row>
    <row r="437" ht="15.75" customHeight="1">
      <c r="F437" s="10"/>
      <c r="G437" s="10"/>
      <c r="H437" s="10"/>
    </row>
    <row r="438" ht="15.75" customHeight="1">
      <c r="F438" s="10"/>
      <c r="G438" s="10"/>
      <c r="H438" s="10"/>
    </row>
    <row r="439" ht="15.75" customHeight="1">
      <c r="F439" s="10"/>
      <c r="G439" s="10"/>
      <c r="H439" s="10"/>
    </row>
    <row r="440" ht="15.75" customHeight="1">
      <c r="F440" s="10"/>
      <c r="G440" s="10"/>
      <c r="H440" s="10"/>
    </row>
    <row r="441" ht="15.75" customHeight="1">
      <c r="F441" s="10"/>
      <c r="G441" s="10"/>
      <c r="H441" s="10"/>
    </row>
    <row r="442" ht="15.75" customHeight="1">
      <c r="F442" s="10"/>
      <c r="G442" s="10"/>
      <c r="H442" s="10"/>
    </row>
    <row r="443" ht="15.75" customHeight="1">
      <c r="F443" s="10"/>
      <c r="G443" s="10"/>
      <c r="H443" s="10"/>
    </row>
    <row r="444" ht="15.75" customHeight="1">
      <c r="F444" s="10"/>
      <c r="G444" s="10"/>
      <c r="H444" s="10"/>
    </row>
    <row r="445" ht="15.75" customHeight="1">
      <c r="F445" s="10"/>
      <c r="G445" s="10"/>
      <c r="H445" s="10"/>
    </row>
    <row r="446" ht="15.75" customHeight="1">
      <c r="F446" s="10"/>
      <c r="G446" s="10"/>
      <c r="H446" s="10"/>
    </row>
    <row r="447" ht="15.75" customHeight="1">
      <c r="F447" s="10"/>
      <c r="G447" s="10"/>
      <c r="H447" s="10"/>
    </row>
    <row r="448" ht="15.75" customHeight="1">
      <c r="F448" s="10"/>
      <c r="G448" s="10"/>
      <c r="H448" s="10"/>
    </row>
    <row r="449" ht="15.75" customHeight="1">
      <c r="F449" s="10"/>
      <c r="G449" s="10"/>
      <c r="H449" s="10"/>
    </row>
    <row r="450" ht="15.75" customHeight="1">
      <c r="F450" s="10"/>
      <c r="G450" s="10"/>
      <c r="H450" s="10"/>
    </row>
    <row r="451" ht="15.75" customHeight="1">
      <c r="F451" s="10"/>
      <c r="G451" s="10"/>
      <c r="H451" s="10"/>
    </row>
    <row r="452" ht="15.75" customHeight="1">
      <c r="F452" s="10"/>
      <c r="G452" s="10"/>
      <c r="H452" s="10"/>
    </row>
    <row r="453" ht="15.75" customHeight="1">
      <c r="F453" s="10"/>
      <c r="G453" s="10"/>
      <c r="H453" s="10"/>
    </row>
    <row r="454" ht="15.75" customHeight="1">
      <c r="F454" s="10"/>
      <c r="G454" s="10"/>
      <c r="H454" s="10"/>
    </row>
    <row r="455" ht="15.75" customHeight="1">
      <c r="F455" s="10"/>
      <c r="G455" s="10"/>
      <c r="H455" s="10"/>
    </row>
    <row r="456" ht="15.75" customHeight="1">
      <c r="F456" s="10"/>
      <c r="G456" s="10"/>
      <c r="H456" s="10"/>
    </row>
    <row r="457" ht="15.75" customHeight="1">
      <c r="F457" s="10"/>
      <c r="G457" s="10"/>
      <c r="H457" s="10"/>
    </row>
    <row r="458" ht="15.75" customHeight="1">
      <c r="F458" s="10"/>
      <c r="G458" s="10"/>
      <c r="H458" s="10"/>
    </row>
    <row r="459" ht="15.75" customHeight="1">
      <c r="F459" s="10"/>
      <c r="G459" s="10"/>
      <c r="H459" s="10"/>
    </row>
    <row r="460" ht="15.75" customHeight="1">
      <c r="F460" s="10"/>
      <c r="G460" s="10"/>
      <c r="H460" s="10"/>
    </row>
    <row r="461" ht="15.75" customHeight="1">
      <c r="F461" s="10"/>
      <c r="G461" s="10"/>
      <c r="H461" s="10"/>
    </row>
    <row r="462" ht="15.75" customHeight="1">
      <c r="F462" s="10"/>
      <c r="G462" s="10"/>
      <c r="H462" s="10"/>
    </row>
    <row r="463" ht="15.75" customHeight="1">
      <c r="F463" s="10"/>
      <c r="G463" s="10"/>
      <c r="H463" s="10"/>
    </row>
    <row r="464" ht="15.75" customHeight="1">
      <c r="F464" s="10"/>
      <c r="G464" s="10"/>
      <c r="H464" s="10"/>
    </row>
    <row r="465" ht="15.75" customHeight="1">
      <c r="F465" s="10"/>
      <c r="G465" s="10"/>
      <c r="H465" s="10"/>
    </row>
    <row r="466" ht="15.75" customHeight="1">
      <c r="F466" s="10"/>
      <c r="G466" s="10"/>
      <c r="H466" s="10"/>
    </row>
    <row r="467" ht="15.75" customHeight="1">
      <c r="F467" s="10"/>
      <c r="G467" s="10"/>
      <c r="H467" s="10"/>
    </row>
    <row r="468" ht="15.75" customHeight="1">
      <c r="F468" s="10"/>
      <c r="G468" s="10"/>
      <c r="H468" s="10"/>
    </row>
    <row r="469" ht="15.75" customHeight="1">
      <c r="F469" s="10"/>
      <c r="G469" s="10"/>
      <c r="H469" s="10"/>
    </row>
    <row r="470" ht="15.75" customHeight="1">
      <c r="F470" s="10"/>
      <c r="G470" s="10"/>
      <c r="H470" s="10"/>
    </row>
    <row r="471" ht="15.75" customHeight="1">
      <c r="F471" s="10"/>
      <c r="G471" s="10"/>
      <c r="H471" s="10"/>
    </row>
    <row r="472" ht="15.75" customHeight="1">
      <c r="F472" s="10"/>
      <c r="G472" s="10"/>
      <c r="H472" s="10"/>
    </row>
    <row r="473" ht="15.75" customHeight="1">
      <c r="F473" s="10"/>
      <c r="G473" s="10"/>
      <c r="H473" s="10"/>
    </row>
    <row r="474" ht="15.75" customHeight="1">
      <c r="F474" s="10"/>
      <c r="G474" s="10"/>
      <c r="H474" s="10"/>
    </row>
    <row r="475" ht="15.75" customHeight="1">
      <c r="F475" s="10"/>
      <c r="G475" s="10"/>
      <c r="H475" s="10"/>
    </row>
    <row r="476" ht="15.75" customHeight="1">
      <c r="F476" s="10"/>
      <c r="G476" s="10"/>
      <c r="H476" s="10"/>
    </row>
    <row r="477" ht="15.75" customHeight="1">
      <c r="F477" s="10"/>
      <c r="G477" s="10"/>
      <c r="H477" s="10"/>
    </row>
    <row r="478" ht="15.75" customHeight="1">
      <c r="F478" s="10"/>
      <c r="G478" s="10"/>
      <c r="H478" s="10"/>
    </row>
    <row r="479" ht="15.75" customHeight="1">
      <c r="F479" s="10"/>
      <c r="G479" s="10"/>
      <c r="H479" s="10"/>
    </row>
    <row r="480" ht="15.75" customHeight="1">
      <c r="F480" s="10"/>
      <c r="G480" s="10"/>
      <c r="H480" s="10"/>
    </row>
    <row r="481" ht="15.75" customHeight="1">
      <c r="F481" s="10"/>
      <c r="G481" s="10"/>
      <c r="H481" s="10"/>
    </row>
    <row r="482" ht="15.75" customHeight="1">
      <c r="F482" s="10"/>
      <c r="G482" s="10"/>
      <c r="H482" s="10"/>
    </row>
    <row r="483" ht="15.75" customHeight="1">
      <c r="F483" s="10"/>
      <c r="G483" s="10"/>
      <c r="H483" s="10"/>
    </row>
    <row r="484" ht="15.75" customHeight="1">
      <c r="F484" s="10"/>
      <c r="G484" s="10"/>
      <c r="H484" s="10"/>
    </row>
    <row r="485" ht="15.75" customHeight="1">
      <c r="F485" s="10"/>
      <c r="G485" s="10"/>
      <c r="H485" s="10"/>
    </row>
    <row r="486" ht="15.75" customHeight="1">
      <c r="F486" s="10"/>
      <c r="G486" s="10"/>
      <c r="H486" s="10"/>
    </row>
    <row r="487" ht="15.75" customHeight="1">
      <c r="F487" s="10"/>
      <c r="G487" s="10"/>
      <c r="H487" s="10"/>
    </row>
    <row r="488" ht="15.75" customHeight="1">
      <c r="F488" s="10"/>
      <c r="G488" s="10"/>
      <c r="H488" s="10"/>
    </row>
    <row r="489" ht="15.75" customHeight="1">
      <c r="F489" s="10"/>
      <c r="G489" s="10"/>
      <c r="H489" s="10"/>
    </row>
    <row r="490" ht="15.75" customHeight="1">
      <c r="F490" s="10"/>
      <c r="G490" s="10"/>
      <c r="H490" s="10"/>
    </row>
    <row r="491" ht="15.75" customHeight="1">
      <c r="F491" s="10"/>
      <c r="G491" s="10"/>
      <c r="H491" s="10"/>
    </row>
    <row r="492" ht="15.75" customHeight="1">
      <c r="F492" s="10"/>
      <c r="G492" s="10"/>
      <c r="H492" s="10"/>
    </row>
    <row r="493" ht="15.75" customHeight="1">
      <c r="F493" s="10"/>
      <c r="G493" s="10"/>
      <c r="H493" s="10"/>
    </row>
    <row r="494" ht="15.75" customHeight="1">
      <c r="F494" s="10"/>
      <c r="G494" s="10"/>
      <c r="H494" s="10"/>
    </row>
    <row r="495" ht="15.75" customHeight="1">
      <c r="F495" s="10"/>
      <c r="G495" s="10"/>
      <c r="H495" s="10"/>
    </row>
    <row r="496" ht="15.75" customHeight="1">
      <c r="F496" s="10"/>
      <c r="G496" s="10"/>
      <c r="H496" s="10"/>
    </row>
    <row r="497" ht="15.75" customHeight="1">
      <c r="F497" s="10"/>
      <c r="G497" s="10"/>
      <c r="H497" s="10"/>
    </row>
    <row r="498" ht="15.75" customHeight="1">
      <c r="F498" s="10"/>
      <c r="G498" s="10"/>
      <c r="H498" s="10"/>
    </row>
    <row r="499" ht="15.75" customHeight="1">
      <c r="F499" s="10"/>
      <c r="G499" s="10"/>
      <c r="H499" s="10"/>
    </row>
    <row r="500" ht="15.75" customHeight="1">
      <c r="F500" s="10"/>
      <c r="G500" s="10"/>
      <c r="H500" s="10"/>
    </row>
    <row r="501" ht="15.75" customHeight="1">
      <c r="F501" s="10"/>
      <c r="G501" s="10"/>
      <c r="H501" s="10"/>
    </row>
    <row r="502" ht="15.75" customHeight="1">
      <c r="F502" s="10"/>
      <c r="G502" s="10"/>
      <c r="H502" s="10"/>
    </row>
    <row r="503" ht="15.75" customHeight="1">
      <c r="F503" s="10"/>
      <c r="G503" s="10"/>
      <c r="H503" s="10"/>
    </row>
    <row r="504" ht="15.75" customHeight="1">
      <c r="F504" s="10"/>
      <c r="G504" s="10"/>
      <c r="H504" s="10"/>
    </row>
    <row r="505" ht="15.75" customHeight="1">
      <c r="F505" s="10"/>
      <c r="G505" s="10"/>
      <c r="H505" s="10"/>
    </row>
    <row r="506" ht="15.75" customHeight="1">
      <c r="F506" s="10"/>
      <c r="G506" s="10"/>
      <c r="H506" s="10"/>
    </row>
    <row r="507" ht="15.75" customHeight="1">
      <c r="F507" s="10"/>
      <c r="G507" s="10"/>
      <c r="H507" s="10"/>
    </row>
    <row r="508" ht="15.75" customHeight="1">
      <c r="F508" s="10"/>
      <c r="G508" s="10"/>
      <c r="H508" s="10"/>
    </row>
    <row r="509" ht="15.75" customHeight="1">
      <c r="F509" s="10"/>
      <c r="G509" s="10"/>
      <c r="H509" s="10"/>
    </row>
    <row r="510" ht="15.75" customHeight="1">
      <c r="F510" s="10"/>
      <c r="G510" s="10"/>
      <c r="H510" s="10"/>
    </row>
    <row r="511" ht="15.75" customHeight="1">
      <c r="F511" s="10"/>
      <c r="G511" s="10"/>
      <c r="H511" s="10"/>
    </row>
    <row r="512" ht="15.75" customHeight="1">
      <c r="F512" s="10"/>
      <c r="G512" s="10"/>
      <c r="H512" s="10"/>
    </row>
    <row r="513" ht="15.75" customHeight="1">
      <c r="F513" s="10"/>
      <c r="G513" s="10"/>
      <c r="H513" s="10"/>
    </row>
    <row r="514" ht="15.75" customHeight="1">
      <c r="F514" s="10"/>
      <c r="G514" s="10"/>
      <c r="H514" s="10"/>
    </row>
    <row r="515" ht="15.75" customHeight="1">
      <c r="F515" s="10"/>
      <c r="G515" s="10"/>
      <c r="H515" s="10"/>
    </row>
    <row r="516" ht="15.75" customHeight="1">
      <c r="F516" s="10"/>
      <c r="G516" s="10"/>
      <c r="H516" s="10"/>
    </row>
    <row r="517" ht="15.75" customHeight="1">
      <c r="F517" s="10"/>
      <c r="G517" s="10"/>
      <c r="H517" s="10"/>
    </row>
    <row r="518" ht="15.75" customHeight="1">
      <c r="F518" s="10"/>
      <c r="G518" s="10"/>
      <c r="H518" s="10"/>
    </row>
    <row r="519" ht="15.75" customHeight="1">
      <c r="F519" s="10"/>
      <c r="G519" s="10"/>
      <c r="H519" s="10"/>
    </row>
    <row r="520" ht="15.75" customHeight="1">
      <c r="F520" s="10"/>
      <c r="G520" s="10"/>
      <c r="H520" s="10"/>
    </row>
    <row r="521" ht="15.75" customHeight="1">
      <c r="F521" s="10"/>
      <c r="G521" s="10"/>
      <c r="H521" s="10"/>
    </row>
    <row r="522" ht="15.75" customHeight="1">
      <c r="F522" s="10"/>
      <c r="G522" s="10"/>
      <c r="H522" s="10"/>
    </row>
    <row r="523" ht="15.75" customHeight="1">
      <c r="F523" s="10"/>
      <c r="G523" s="10"/>
      <c r="H523" s="10"/>
    </row>
    <row r="524" ht="15.75" customHeight="1">
      <c r="F524" s="10"/>
      <c r="G524" s="10"/>
      <c r="H524" s="10"/>
    </row>
    <row r="525" ht="15.75" customHeight="1">
      <c r="F525" s="10"/>
      <c r="G525" s="10"/>
      <c r="H525" s="10"/>
    </row>
    <row r="526" ht="15.75" customHeight="1">
      <c r="F526" s="10"/>
      <c r="G526" s="10"/>
      <c r="H526" s="10"/>
    </row>
    <row r="527" ht="15.75" customHeight="1">
      <c r="F527" s="10"/>
      <c r="G527" s="10"/>
      <c r="H527" s="10"/>
    </row>
    <row r="528" ht="15.75" customHeight="1">
      <c r="F528" s="10"/>
      <c r="G528" s="10"/>
      <c r="H528" s="10"/>
    </row>
    <row r="529" ht="15.75" customHeight="1">
      <c r="F529" s="10"/>
      <c r="G529" s="10"/>
      <c r="H529" s="10"/>
    </row>
    <row r="530" ht="15.75" customHeight="1">
      <c r="F530" s="10"/>
      <c r="G530" s="10"/>
      <c r="H530" s="10"/>
    </row>
    <row r="531" ht="15.75" customHeight="1">
      <c r="F531" s="10"/>
      <c r="G531" s="10"/>
      <c r="H531" s="10"/>
    </row>
    <row r="532" ht="15.75" customHeight="1">
      <c r="F532" s="10"/>
      <c r="G532" s="10"/>
      <c r="H532" s="10"/>
    </row>
    <row r="533" ht="15.75" customHeight="1">
      <c r="F533" s="10"/>
      <c r="G533" s="10"/>
      <c r="H533" s="10"/>
    </row>
    <row r="534" ht="15.75" customHeight="1">
      <c r="F534" s="10"/>
      <c r="G534" s="10"/>
      <c r="H534" s="10"/>
    </row>
    <row r="535" ht="15.75" customHeight="1">
      <c r="F535" s="10"/>
      <c r="G535" s="10"/>
      <c r="H535" s="10"/>
    </row>
    <row r="536" ht="15.75" customHeight="1">
      <c r="F536" s="10"/>
      <c r="G536" s="10"/>
      <c r="H536" s="10"/>
    </row>
    <row r="537" ht="15.75" customHeight="1">
      <c r="F537" s="10"/>
      <c r="G537" s="10"/>
      <c r="H537" s="10"/>
    </row>
    <row r="538" ht="15.75" customHeight="1">
      <c r="F538" s="10"/>
      <c r="G538" s="10"/>
      <c r="H538" s="10"/>
    </row>
    <row r="539" ht="15.75" customHeight="1">
      <c r="F539" s="10"/>
      <c r="G539" s="10"/>
      <c r="H539" s="10"/>
    </row>
    <row r="540" ht="15.75" customHeight="1">
      <c r="F540" s="10"/>
      <c r="G540" s="10"/>
      <c r="H540" s="10"/>
    </row>
    <row r="541" ht="15.75" customHeight="1">
      <c r="F541" s="10"/>
      <c r="G541" s="10"/>
      <c r="H541" s="10"/>
    </row>
    <row r="542" ht="15.75" customHeight="1">
      <c r="F542" s="10"/>
      <c r="G542" s="10"/>
      <c r="H542" s="10"/>
    </row>
    <row r="543" ht="15.75" customHeight="1">
      <c r="F543" s="10"/>
      <c r="G543" s="10"/>
      <c r="H543" s="10"/>
    </row>
    <row r="544" ht="15.75" customHeight="1">
      <c r="F544" s="10"/>
      <c r="G544" s="10"/>
      <c r="H544" s="10"/>
    </row>
    <row r="545" ht="15.75" customHeight="1">
      <c r="F545" s="10"/>
      <c r="G545" s="10"/>
      <c r="H545" s="10"/>
    </row>
    <row r="546" ht="15.75" customHeight="1">
      <c r="F546" s="10"/>
      <c r="G546" s="10"/>
      <c r="H546" s="10"/>
    </row>
    <row r="547" ht="15.75" customHeight="1">
      <c r="F547" s="10"/>
      <c r="G547" s="10"/>
      <c r="H547" s="10"/>
    </row>
    <row r="548" ht="15.75" customHeight="1">
      <c r="F548" s="10"/>
      <c r="G548" s="10"/>
      <c r="H548" s="10"/>
    </row>
    <row r="549" ht="15.75" customHeight="1">
      <c r="F549" s="10"/>
      <c r="G549" s="10"/>
      <c r="H549" s="10"/>
    </row>
    <row r="550" ht="15.75" customHeight="1">
      <c r="F550" s="10"/>
      <c r="G550" s="10"/>
      <c r="H550" s="10"/>
    </row>
    <row r="551" ht="15.75" customHeight="1">
      <c r="F551" s="10"/>
      <c r="G551" s="10"/>
      <c r="H551" s="10"/>
    </row>
    <row r="552" ht="15.75" customHeight="1">
      <c r="F552" s="10"/>
      <c r="G552" s="10"/>
      <c r="H552" s="10"/>
    </row>
    <row r="553" ht="15.75" customHeight="1">
      <c r="F553" s="10"/>
      <c r="G553" s="10"/>
      <c r="H553" s="10"/>
    </row>
    <row r="554" ht="15.75" customHeight="1">
      <c r="F554" s="10"/>
      <c r="G554" s="10"/>
      <c r="H554" s="10"/>
    </row>
    <row r="555" ht="15.75" customHeight="1">
      <c r="F555" s="10"/>
      <c r="G555" s="10"/>
      <c r="H555" s="10"/>
    </row>
    <row r="556" ht="15.75" customHeight="1">
      <c r="F556" s="10"/>
      <c r="G556" s="10"/>
      <c r="H556" s="10"/>
    </row>
    <row r="557" ht="15.75" customHeight="1">
      <c r="F557" s="10"/>
      <c r="G557" s="10"/>
      <c r="H557" s="10"/>
    </row>
    <row r="558" ht="15.75" customHeight="1">
      <c r="F558" s="10"/>
      <c r="G558" s="10"/>
      <c r="H558" s="10"/>
    </row>
    <row r="559" ht="15.75" customHeight="1">
      <c r="F559" s="10"/>
      <c r="G559" s="10"/>
      <c r="H559" s="10"/>
    </row>
    <row r="560" ht="15.75" customHeight="1">
      <c r="F560" s="10"/>
      <c r="G560" s="10"/>
      <c r="H560" s="10"/>
    </row>
    <row r="561" ht="15.75" customHeight="1">
      <c r="F561" s="10"/>
      <c r="G561" s="10"/>
      <c r="H561" s="10"/>
    </row>
    <row r="562" ht="15.75" customHeight="1">
      <c r="F562" s="10"/>
      <c r="G562" s="10"/>
      <c r="H562" s="10"/>
    </row>
    <row r="563" ht="15.75" customHeight="1">
      <c r="F563" s="10"/>
      <c r="G563" s="10"/>
      <c r="H563" s="10"/>
    </row>
    <row r="564" ht="15.75" customHeight="1">
      <c r="F564" s="10"/>
      <c r="G564" s="10"/>
      <c r="H564" s="10"/>
    </row>
    <row r="565" ht="15.75" customHeight="1">
      <c r="F565" s="10"/>
      <c r="G565" s="10"/>
      <c r="H565" s="10"/>
    </row>
    <row r="566" ht="15.75" customHeight="1">
      <c r="F566" s="10"/>
      <c r="G566" s="10"/>
      <c r="H566" s="10"/>
    </row>
    <row r="567" ht="15.75" customHeight="1">
      <c r="F567" s="10"/>
      <c r="G567" s="10"/>
      <c r="H567" s="10"/>
    </row>
    <row r="568" ht="15.75" customHeight="1">
      <c r="F568" s="10"/>
      <c r="G568" s="10"/>
      <c r="H568" s="10"/>
    </row>
    <row r="569" ht="15.75" customHeight="1">
      <c r="F569" s="10"/>
      <c r="G569" s="10"/>
      <c r="H569" s="10"/>
    </row>
    <row r="570" ht="15.75" customHeight="1">
      <c r="F570" s="10"/>
      <c r="G570" s="10"/>
      <c r="H570" s="10"/>
    </row>
    <row r="571" ht="15.75" customHeight="1">
      <c r="F571" s="10"/>
      <c r="G571" s="10"/>
      <c r="H571" s="10"/>
    </row>
    <row r="572" ht="15.75" customHeight="1">
      <c r="F572" s="10"/>
      <c r="G572" s="10"/>
      <c r="H572" s="10"/>
    </row>
    <row r="573" ht="15.75" customHeight="1">
      <c r="F573" s="10"/>
      <c r="G573" s="10"/>
      <c r="H573" s="10"/>
    </row>
    <row r="574" ht="15.75" customHeight="1">
      <c r="F574" s="10"/>
      <c r="G574" s="10"/>
      <c r="H574" s="10"/>
    </row>
    <row r="575" ht="15.75" customHeight="1">
      <c r="F575" s="10"/>
      <c r="G575" s="10"/>
      <c r="H575" s="10"/>
    </row>
    <row r="576" ht="15.75" customHeight="1">
      <c r="F576" s="10"/>
      <c r="G576" s="10"/>
      <c r="H576" s="10"/>
    </row>
    <row r="577" ht="15.75" customHeight="1">
      <c r="F577" s="10"/>
      <c r="G577" s="10"/>
      <c r="H577" s="10"/>
    </row>
    <row r="578" ht="15.75" customHeight="1">
      <c r="F578" s="10"/>
      <c r="G578" s="10"/>
      <c r="H578" s="10"/>
    </row>
    <row r="579" ht="15.75" customHeight="1">
      <c r="F579" s="10"/>
      <c r="G579" s="10"/>
      <c r="H579" s="10"/>
    </row>
    <row r="580" ht="15.75" customHeight="1">
      <c r="F580" s="10"/>
      <c r="G580" s="10"/>
      <c r="H580" s="10"/>
    </row>
    <row r="581" ht="15.75" customHeight="1">
      <c r="F581" s="10"/>
      <c r="G581" s="10"/>
      <c r="H581" s="10"/>
    </row>
    <row r="582" ht="15.75" customHeight="1">
      <c r="F582" s="10"/>
      <c r="G582" s="10"/>
      <c r="H582" s="10"/>
    </row>
    <row r="583" ht="15.75" customHeight="1">
      <c r="F583" s="10"/>
      <c r="G583" s="10"/>
      <c r="H583" s="10"/>
    </row>
    <row r="584" ht="15.75" customHeight="1">
      <c r="F584" s="10"/>
      <c r="G584" s="10"/>
      <c r="H584" s="10"/>
    </row>
    <row r="585" ht="15.75" customHeight="1">
      <c r="F585" s="10"/>
      <c r="G585" s="10"/>
      <c r="H585" s="10"/>
    </row>
    <row r="586" ht="15.75" customHeight="1">
      <c r="F586" s="10"/>
      <c r="G586" s="10"/>
      <c r="H586" s="10"/>
    </row>
    <row r="587" ht="15.75" customHeight="1">
      <c r="F587" s="10"/>
      <c r="G587" s="10"/>
      <c r="H587" s="10"/>
    </row>
    <row r="588" ht="15.75" customHeight="1">
      <c r="F588" s="10"/>
      <c r="G588" s="10"/>
      <c r="H588" s="10"/>
    </row>
    <row r="589" ht="15.75" customHeight="1">
      <c r="F589" s="10"/>
      <c r="G589" s="10"/>
      <c r="H589" s="10"/>
    </row>
    <row r="590" ht="15.75" customHeight="1">
      <c r="F590" s="10"/>
      <c r="G590" s="10"/>
      <c r="H590" s="10"/>
    </row>
    <row r="591" ht="15.75" customHeight="1">
      <c r="F591" s="10"/>
      <c r="G591" s="10"/>
      <c r="H591" s="10"/>
    </row>
    <row r="592" ht="15.75" customHeight="1">
      <c r="F592" s="10"/>
      <c r="G592" s="10"/>
      <c r="H592" s="10"/>
    </row>
    <row r="593" ht="15.75" customHeight="1">
      <c r="F593" s="10"/>
      <c r="G593" s="10"/>
      <c r="H593" s="10"/>
    </row>
    <row r="594" ht="15.75" customHeight="1">
      <c r="F594" s="10"/>
      <c r="G594" s="10"/>
      <c r="H594" s="10"/>
    </row>
    <row r="595" ht="15.75" customHeight="1">
      <c r="F595" s="10"/>
      <c r="G595" s="10"/>
      <c r="H595" s="10"/>
    </row>
    <row r="596" ht="15.75" customHeight="1">
      <c r="F596" s="10"/>
      <c r="G596" s="10"/>
      <c r="H596" s="10"/>
    </row>
    <row r="597" ht="15.75" customHeight="1">
      <c r="F597" s="10"/>
      <c r="G597" s="10"/>
      <c r="H597" s="10"/>
    </row>
    <row r="598" ht="15.75" customHeight="1">
      <c r="F598" s="10"/>
      <c r="G598" s="10"/>
      <c r="H598" s="10"/>
    </row>
    <row r="599" ht="15.75" customHeight="1">
      <c r="F599" s="10"/>
      <c r="G599" s="10"/>
      <c r="H599" s="10"/>
    </row>
    <row r="600" ht="15.75" customHeight="1">
      <c r="F600" s="10"/>
      <c r="G600" s="10"/>
      <c r="H600" s="10"/>
    </row>
    <row r="601" ht="15.75" customHeight="1">
      <c r="F601" s="10"/>
      <c r="G601" s="10"/>
      <c r="H601" s="10"/>
    </row>
    <row r="602" ht="15.75" customHeight="1">
      <c r="F602" s="10"/>
      <c r="G602" s="10"/>
      <c r="H602" s="10"/>
    </row>
    <row r="603" ht="15.75" customHeight="1">
      <c r="F603" s="10"/>
      <c r="G603" s="10"/>
      <c r="H603" s="10"/>
    </row>
    <row r="604" ht="15.75" customHeight="1">
      <c r="F604" s="10"/>
      <c r="G604" s="10"/>
      <c r="H604" s="10"/>
    </row>
    <row r="605" ht="15.75" customHeight="1">
      <c r="F605" s="10"/>
      <c r="G605" s="10"/>
      <c r="H605" s="10"/>
    </row>
    <row r="606" ht="15.75" customHeight="1">
      <c r="F606" s="10"/>
      <c r="G606" s="10"/>
      <c r="H606" s="10"/>
    </row>
    <row r="607" ht="15.75" customHeight="1">
      <c r="F607" s="10"/>
      <c r="G607" s="10"/>
      <c r="H607" s="10"/>
    </row>
    <row r="608" ht="15.75" customHeight="1">
      <c r="F608" s="10"/>
      <c r="G608" s="10"/>
      <c r="H608" s="10"/>
    </row>
    <row r="609" ht="15.75" customHeight="1">
      <c r="F609" s="10"/>
      <c r="G609" s="10"/>
      <c r="H609" s="10"/>
    </row>
    <row r="610" ht="15.75" customHeight="1">
      <c r="F610" s="10"/>
      <c r="G610" s="10"/>
      <c r="H610" s="10"/>
    </row>
    <row r="611" ht="15.75" customHeight="1">
      <c r="F611" s="10"/>
      <c r="G611" s="10"/>
      <c r="H611" s="10"/>
    </row>
    <row r="612" ht="15.75" customHeight="1">
      <c r="F612" s="10"/>
      <c r="G612" s="10"/>
      <c r="H612" s="10"/>
    </row>
    <row r="613" ht="15.75" customHeight="1">
      <c r="F613" s="10"/>
      <c r="G613" s="10"/>
      <c r="H613" s="10"/>
    </row>
    <row r="614" ht="15.75" customHeight="1">
      <c r="F614" s="10"/>
      <c r="G614" s="10"/>
      <c r="H614" s="10"/>
    </row>
    <row r="615" ht="15.75" customHeight="1">
      <c r="F615" s="10"/>
      <c r="G615" s="10"/>
      <c r="H615" s="10"/>
    </row>
    <row r="616" ht="15.75" customHeight="1">
      <c r="F616" s="10"/>
      <c r="G616" s="10"/>
      <c r="H616" s="10"/>
    </row>
    <row r="617" ht="15.75" customHeight="1">
      <c r="F617" s="10"/>
      <c r="G617" s="10"/>
      <c r="H617" s="10"/>
    </row>
    <row r="618" ht="15.75" customHeight="1">
      <c r="F618" s="10"/>
      <c r="G618" s="10"/>
      <c r="H618" s="10"/>
    </row>
    <row r="619" ht="15.75" customHeight="1">
      <c r="F619" s="10"/>
      <c r="G619" s="10"/>
      <c r="H619" s="10"/>
    </row>
    <row r="620" ht="15.75" customHeight="1">
      <c r="F620" s="10"/>
      <c r="G620" s="10"/>
      <c r="H620" s="10"/>
    </row>
    <row r="621" ht="15.75" customHeight="1">
      <c r="F621" s="10"/>
      <c r="G621" s="10"/>
      <c r="H621" s="10"/>
    </row>
    <row r="622" ht="15.75" customHeight="1">
      <c r="F622" s="10"/>
      <c r="G622" s="10"/>
      <c r="H622" s="10"/>
    </row>
    <row r="623" ht="15.75" customHeight="1">
      <c r="F623" s="10"/>
      <c r="G623" s="10"/>
      <c r="H623" s="10"/>
    </row>
    <row r="624" ht="15.75" customHeight="1">
      <c r="F624" s="10"/>
      <c r="G624" s="10"/>
      <c r="H624" s="10"/>
    </row>
    <row r="625" ht="15.75" customHeight="1">
      <c r="F625" s="10"/>
      <c r="G625" s="10"/>
      <c r="H625" s="10"/>
    </row>
    <row r="626" ht="15.75" customHeight="1">
      <c r="F626" s="10"/>
      <c r="G626" s="10"/>
      <c r="H626" s="10"/>
    </row>
    <row r="627" ht="15.75" customHeight="1">
      <c r="F627" s="10"/>
      <c r="G627" s="10"/>
      <c r="H627" s="10"/>
    </row>
    <row r="628" ht="15.75" customHeight="1">
      <c r="F628" s="10"/>
      <c r="G628" s="10"/>
      <c r="H628" s="10"/>
    </row>
    <row r="629" ht="15.75" customHeight="1">
      <c r="F629" s="10"/>
      <c r="G629" s="10"/>
      <c r="H629" s="10"/>
    </row>
    <row r="630" ht="15.75" customHeight="1">
      <c r="F630" s="10"/>
      <c r="G630" s="10"/>
      <c r="H630" s="10"/>
    </row>
    <row r="631" ht="15.75" customHeight="1">
      <c r="F631" s="10"/>
      <c r="G631" s="10"/>
      <c r="H631" s="10"/>
    </row>
    <row r="632" ht="15.75" customHeight="1">
      <c r="F632" s="10"/>
      <c r="G632" s="10"/>
      <c r="H632" s="10"/>
    </row>
    <row r="633" ht="15.75" customHeight="1">
      <c r="F633" s="10"/>
      <c r="G633" s="10"/>
      <c r="H633" s="10"/>
    </row>
    <row r="634" ht="15.75" customHeight="1">
      <c r="F634" s="10"/>
      <c r="G634" s="10"/>
      <c r="H634" s="10"/>
    </row>
    <row r="635" ht="15.75" customHeight="1">
      <c r="F635" s="10"/>
      <c r="G635" s="10"/>
      <c r="H635" s="10"/>
    </row>
    <row r="636" ht="15.75" customHeight="1">
      <c r="F636" s="10"/>
      <c r="G636" s="10"/>
      <c r="H636" s="10"/>
    </row>
    <row r="637" ht="15.75" customHeight="1">
      <c r="F637" s="10"/>
      <c r="G637" s="10"/>
      <c r="H637" s="10"/>
    </row>
    <row r="638" ht="15.75" customHeight="1">
      <c r="F638" s="10"/>
      <c r="G638" s="10"/>
      <c r="H638" s="10"/>
    </row>
    <row r="639" ht="15.75" customHeight="1">
      <c r="F639" s="10"/>
      <c r="G639" s="10"/>
      <c r="H639" s="10"/>
    </row>
    <row r="640" ht="15.75" customHeight="1">
      <c r="F640" s="10"/>
      <c r="G640" s="10"/>
      <c r="H640" s="10"/>
    </row>
    <row r="641" ht="15.75" customHeight="1">
      <c r="F641" s="10"/>
      <c r="G641" s="10"/>
      <c r="H641" s="10"/>
    </row>
    <row r="642" ht="15.75" customHeight="1">
      <c r="F642" s="10"/>
      <c r="G642" s="10"/>
      <c r="H642" s="10"/>
    </row>
    <row r="643" ht="15.75" customHeight="1">
      <c r="F643" s="10"/>
      <c r="G643" s="10"/>
      <c r="H643" s="10"/>
    </row>
    <row r="644" ht="15.75" customHeight="1">
      <c r="F644" s="10"/>
      <c r="G644" s="10"/>
      <c r="H644" s="10"/>
    </row>
    <row r="645" ht="15.75" customHeight="1">
      <c r="F645" s="10"/>
      <c r="G645" s="10"/>
      <c r="H645" s="10"/>
    </row>
    <row r="646" ht="15.75" customHeight="1">
      <c r="F646" s="10"/>
      <c r="G646" s="10"/>
      <c r="H646" s="10"/>
    </row>
    <row r="647" ht="15.75" customHeight="1">
      <c r="F647" s="10"/>
      <c r="G647" s="10"/>
      <c r="H647" s="10"/>
    </row>
    <row r="648" ht="15.75" customHeight="1">
      <c r="F648" s="10"/>
      <c r="G648" s="10"/>
      <c r="H648" s="10"/>
    </row>
    <row r="649" ht="15.75" customHeight="1">
      <c r="F649" s="10"/>
      <c r="G649" s="10"/>
      <c r="H649" s="10"/>
    </row>
    <row r="650" ht="15.75" customHeight="1">
      <c r="F650" s="10"/>
      <c r="G650" s="10"/>
      <c r="H650" s="10"/>
    </row>
    <row r="651" ht="15.75" customHeight="1">
      <c r="F651" s="10"/>
      <c r="G651" s="10"/>
      <c r="H651" s="10"/>
    </row>
    <row r="652" ht="15.75" customHeight="1">
      <c r="F652" s="10"/>
      <c r="G652" s="10"/>
      <c r="H652" s="10"/>
    </row>
    <row r="653" ht="15.75" customHeight="1">
      <c r="F653" s="10"/>
      <c r="G653" s="10"/>
      <c r="H653" s="10"/>
    </row>
    <row r="654" ht="15.75" customHeight="1">
      <c r="F654" s="10"/>
      <c r="G654" s="10"/>
      <c r="H654" s="10"/>
    </row>
    <row r="655" ht="15.75" customHeight="1">
      <c r="F655" s="10"/>
      <c r="G655" s="10"/>
      <c r="H655" s="10"/>
    </row>
    <row r="656" ht="15.75" customHeight="1">
      <c r="F656" s="10"/>
      <c r="G656" s="10"/>
      <c r="H656" s="10"/>
    </row>
    <row r="657" ht="15.75" customHeight="1">
      <c r="F657" s="10"/>
      <c r="G657" s="10"/>
      <c r="H657" s="10"/>
    </row>
    <row r="658" ht="15.75" customHeight="1">
      <c r="F658" s="10"/>
      <c r="G658" s="10"/>
      <c r="H658" s="10"/>
    </row>
    <row r="659" ht="15.75" customHeight="1">
      <c r="F659" s="10"/>
      <c r="G659" s="10"/>
      <c r="H659" s="10"/>
    </row>
    <row r="660" ht="15.75" customHeight="1">
      <c r="F660" s="10"/>
      <c r="G660" s="10"/>
      <c r="H660" s="10"/>
    </row>
    <row r="661" ht="15.75" customHeight="1">
      <c r="F661" s="10"/>
      <c r="G661" s="10"/>
      <c r="H661" s="10"/>
    </row>
    <row r="662" ht="15.75" customHeight="1">
      <c r="F662" s="10"/>
      <c r="G662" s="10"/>
      <c r="H662" s="10"/>
    </row>
    <row r="663" ht="15.75" customHeight="1">
      <c r="F663" s="10"/>
      <c r="G663" s="10"/>
      <c r="H663" s="10"/>
    </row>
    <row r="664" ht="15.75" customHeight="1">
      <c r="F664" s="10"/>
      <c r="G664" s="10"/>
      <c r="H664" s="10"/>
    </row>
    <row r="665" ht="15.75" customHeight="1">
      <c r="F665" s="10"/>
      <c r="G665" s="10"/>
      <c r="H665" s="10"/>
    </row>
    <row r="666" ht="15.75" customHeight="1">
      <c r="F666" s="10"/>
      <c r="G666" s="10"/>
      <c r="H666" s="10"/>
    </row>
    <row r="667" ht="15.75" customHeight="1">
      <c r="F667" s="10"/>
      <c r="G667" s="10"/>
      <c r="H667" s="10"/>
    </row>
    <row r="668" ht="15.75" customHeight="1">
      <c r="F668" s="10"/>
      <c r="G668" s="10"/>
      <c r="H668" s="10"/>
    </row>
    <row r="669" ht="15.75" customHeight="1">
      <c r="F669" s="10"/>
      <c r="G669" s="10"/>
      <c r="H669" s="10"/>
    </row>
    <row r="670" ht="15.75" customHeight="1">
      <c r="F670" s="10"/>
      <c r="G670" s="10"/>
      <c r="H670" s="10"/>
    </row>
    <row r="671" ht="15.75" customHeight="1">
      <c r="F671" s="10"/>
      <c r="G671" s="10"/>
      <c r="H671" s="10"/>
    </row>
    <row r="672" ht="15.75" customHeight="1">
      <c r="F672" s="10"/>
      <c r="G672" s="10"/>
      <c r="H672" s="10"/>
    </row>
    <row r="673" ht="15.75" customHeight="1">
      <c r="F673" s="10"/>
      <c r="G673" s="10"/>
      <c r="H673" s="10"/>
    </row>
    <row r="674" ht="15.75" customHeight="1">
      <c r="F674" s="10"/>
      <c r="G674" s="10"/>
      <c r="H674" s="10"/>
    </row>
    <row r="675" ht="15.75" customHeight="1">
      <c r="F675" s="10"/>
      <c r="G675" s="10"/>
      <c r="H675" s="10"/>
    </row>
    <row r="676" ht="15.75" customHeight="1">
      <c r="F676" s="10"/>
      <c r="G676" s="10"/>
      <c r="H676" s="10"/>
    </row>
    <row r="677" ht="15.75" customHeight="1">
      <c r="F677" s="10"/>
      <c r="G677" s="10"/>
      <c r="H677" s="10"/>
    </row>
    <row r="678" ht="15.75" customHeight="1">
      <c r="F678" s="10"/>
      <c r="G678" s="10"/>
      <c r="H678" s="10"/>
    </row>
    <row r="679" ht="15.75" customHeight="1">
      <c r="F679" s="10"/>
      <c r="G679" s="10"/>
      <c r="H679" s="10"/>
    </row>
    <row r="680" ht="15.75" customHeight="1">
      <c r="F680" s="10"/>
      <c r="G680" s="10"/>
      <c r="H680" s="10"/>
    </row>
    <row r="681" ht="15.75" customHeight="1">
      <c r="F681" s="10"/>
      <c r="G681" s="10"/>
      <c r="H681" s="10"/>
    </row>
    <row r="682" ht="15.75" customHeight="1">
      <c r="F682" s="10"/>
      <c r="G682" s="10"/>
      <c r="H682" s="10"/>
    </row>
    <row r="683" ht="15.75" customHeight="1">
      <c r="F683" s="10"/>
      <c r="G683" s="10"/>
      <c r="H683" s="10"/>
    </row>
    <row r="684" ht="15.75" customHeight="1">
      <c r="F684" s="10"/>
      <c r="G684" s="10"/>
      <c r="H684" s="10"/>
    </row>
    <row r="685" ht="15.75" customHeight="1">
      <c r="F685" s="10"/>
      <c r="G685" s="10"/>
      <c r="H685" s="10"/>
    </row>
    <row r="686" ht="15.75" customHeight="1">
      <c r="F686" s="10"/>
      <c r="G686" s="10"/>
      <c r="H686" s="10"/>
    </row>
    <row r="687" ht="15.75" customHeight="1">
      <c r="F687" s="10"/>
      <c r="G687" s="10"/>
      <c r="H687" s="10"/>
    </row>
    <row r="688" ht="15.75" customHeight="1">
      <c r="F688" s="10"/>
      <c r="G688" s="10"/>
      <c r="H688" s="10"/>
    </row>
    <row r="689" ht="15.75" customHeight="1">
      <c r="F689" s="10"/>
      <c r="G689" s="10"/>
      <c r="H689" s="10"/>
    </row>
    <row r="690" ht="15.75" customHeight="1">
      <c r="F690" s="10"/>
      <c r="G690" s="10"/>
      <c r="H690" s="10"/>
    </row>
    <row r="691" ht="15.75" customHeight="1">
      <c r="F691" s="10"/>
      <c r="G691" s="10"/>
      <c r="H691" s="10"/>
    </row>
    <row r="692" ht="15.75" customHeight="1">
      <c r="F692" s="10"/>
      <c r="G692" s="10"/>
      <c r="H692" s="10"/>
    </row>
    <row r="693" ht="15.75" customHeight="1">
      <c r="F693" s="10"/>
      <c r="G693" s="10"/>
      <c r="H693" s="10"/>
    </row>
    <row r="694" ht="15.75" customHeight="1">
      <c r="F694" s="10"/>
      <c r="G694" s="10"/>
      <c r="H694" s="10"/>
    </row>
    <row r="695" ht="15.75" customHeight="1">
      <c r="F695" s="10"/>
      <c r="G695" s="10"/>
      <c r="H695" s="10"/>
    </row>
    <row r="696" ht="15.75" customHeight="1">
      <c r="F696" s="10"/>
      <c r="G696" s="10"/>
      <c r="H696" s="10"/>
    </row>
    <row r="697" ht="15.75" customHeight="1">
      <c r="F697" s="10"/>
      <c r="G697" s="10"/>
      <c r="H697" s="10"/>
    </row>
    <row r="698" ht="15.75" customHeight="1">
      <c r="F698" s="10"/>
      <c r="G698" s="10"/>
      <c r="H698" s="10"/>
    </row>
    <row r="699" ht="15.75" customHeight="1">
      <c r="F699" s="10"/>
      <c r="G699" s="10"/>
      <c r="H699" s="10"/>
    </row>
    <row r="700" ht="15.75" customHeight="1">
      <c r="F700" s="10"/>
      <c r="G700" s="10"/>
      <c r="H700" s="10"/>
    </row>
    <row r="701" ht="15.75" customHeight="1">
      <c r="F701" s="10"/>
      <c r="G701" s="10"/>
      <c r="H701" s="10"/>
    </row>
    <row r="702" ht="15.75" customHeight="1">
      <c r="F702" s="10"/>
      <c r="G702" s="10"/>
      <c r="H702" s="10"/>
    </row>
    <row r="703" ht="15.75" customHeight="1">
      <c r="F703" s="10"/>
      <c r="G703" s="10"/>
      <c r="H703" s="10"/>
    </row>
    <row r="704" ht="15.75" customHeight="1">
      <c r="F704" s="10"/>
      <c r="G704" s="10"/>
      <c r="H704" s="10"/>
    </row>
    <row r="705" ht="15.75" customHeight="1">
      <c r="F705" s="10"/>
      <c r="G705" s="10"/>
      <c r="H705" s="10"/>
    </row>
    <row r="706" ht="15.75" customHeight="1">
      <c r="F706" s="10"/>
      <c r="G706" s="10"/>
      <c r="H706" s="10"/>
    </row>
    <row r="707" ht="15.75" customHeight="1">
      <c r="F707" s="10"/>
      <c r="G707" s="10"/>
      <c r="H707" s="10"/>
    </row>
    <row r="708" ht="15.75" customHeight="1">
      <c r="F708" s="10"/>
      <c r="G708" s="10"/>
      <c r="H708" s="10"/>
    </row>
    <row r="709" ht="15.75" customHeight="1">
      <c r="F709" s="10"/>
      <c r="G709" s="10"/>
      <c r="H709" s="10"/>
    </row>
    <row r="710" ht="15.75" customHeight="1">
      <c r="F710" s="10"/>
      <c r="G710" s="10"/>
      <c r="H710" s="10"/>
    </row>
    <row r="711" ht="15.75" customHeight="1">
      <c r="F711" s="10"/>
      <c r="G711" s="10"/>
      <c r="H711" s="10"/>
    </row>
    <row r="712" ht="15.75" customHeight="1">
      <c r="F712" s="10"/>
      <c r="G712" s="10"/>
      <c r="H712" s="10"/>
    </row>
    <row r="713" ht="15.75" customHeight="1">
      <c r="F713" s="10"/>
      <c r="G713" s="10"/>
      <c r="H713" s="10"/>
    </row>
    <row r="714" ht="15.75" customHeight="1">
      <c r="F714" s="10"/>
      <c r="G714" s="10"/>
      <c r="H714" s="10"/>
    </row>
    <row r="715" ht="15.75" customHeight="1">
      <c r="F715" s="10"/>
      <c r="G715" s="10"/>
      <c r="H715" s="10"/>
    </row>
    <row r="716" ht="15.75" customHeight="1">
      <c r="F716" s="10"/>
      <c r="G716" s="10"/>
      <c r="H716" s="10"/>
    </row>
    <row r="717" ht="15.75" customHeight="1">
      <c r="F717" s="10"/>
      <c r="G717" s="10"/>
      <c r="H717" s="10"/>
    </row>
    <row r="718" ht="15.75" customHeight="1">
      <c r="F718" s="10"/>
      <c r="G718" s="10"/>
      <c r="H718" s="10"/>
    </row>
    <row r="719" ht="15.75" customHeight="1">
      <c r="F719" s="10"/>
      <c r="G719" s="10"/>
      <c r="H719" s="10"/>
    </row>
    <row r="720" ht="15.75" customHeight="1">
      <c r="F720" s="10"/>
      <c r="G720" s="10"/>
      <c r="H720" s="10"/>
    </row>
    <row r="721" ht="15.75" customHeight="1">
      <c r="F721" s="10"/>
      <c r="G721" s="10"/>
      <c r="H721" s="10"/>
    </row>
    <row r="722" ht="15.75" customHeight="1">
      <c r="F722" s="10"/>
      <c r="G722" s="10"/>
      <c r="H722" s="10"/>
    </row>
    <row r="723" ht="15.75" customHeight="1">
      <c r="F723" s="10"/>
      <c r="G723" s="10"/>
      <c r="H723" s="10"/>
    </row>
    <row r="724" ht="15.75" customHeight="1">
      <c r="F724" s="10"/>
      <c r="G724" s="10"/>
      <c r="H724" s="10"/>
    </row>
    <row r="725" ht="15.75" customHeight="1">
      <c r="F725" s="10"/>
      <c r="G725" s="10"/>
      <c r="H725" s="10"/>
    </row>
    <row r="726" ht="15.75" customHeight="1">
      <c r="F726" s="10"/>
      <c r="G726" s="10"/>
      <c r="H726" s="10"/>
    </row>
    <row r="727" ht="15.75" customHeight="1">
      <c r="F727" s="10"/>
      <c r="G727" s="10"/>
      <c r="H727" s="10"/>
    </row>
    <row r="728" ht="15.75" customHeight="1">
      <c r="F728" s="10"/>
      <c r="G728" s="10"/>
      <c r="H728" s="10"/>
    </row>
    <row r="729" ht="15.75" customHeight="1">
      <c r="F729" s="10"/>
      <c r="G729" s="10"/>
      <c r="H729" s="10"/>
    </row>
    <row r="730" ht="15.75" customHeight="1">
      <c r="F730" s="10"/>
      <c r="G730" s="10"/>
      <c r="H730" s="10"/>
    </row>
    <row r="731" ht="15.75" customHeight="1">
      <c r="F731" s="10"/>
      <c r="G731" s="10"/>
      <c r="H731" s="10"/>
    </row>
    <row r="732" ht="15.75" customHeight="1">
      <c r="F732" s="10"/>
      <c r="G732" s="10"/>
      <c r="H732" s="10"/>
    </row>
    <row r="733" ht="15.75" customHeight="1">
      <c r="F733" s="10"/>
      <c r="G733" s="10"/>
      <c r="H733" s="10"/>
    </row>
    <row r="734" ht="15.75" customHeight="1">
      <c r="F734" s="10"/>
      <c r="G734" s="10"/>
      <c r="H734" s="10"/>
    </row>
    <row r="735" ht="15.75" customHeight="1">
      <c r="F735" s="10"/>
      <c r="G735" s="10"/>
      <c r="H735" s="10"/>
    </row>
    <row r="736" ht="15.75" customHeight="1">
      <c r="F736" s="10"/>
      <c r="G736" s="10"/>
      <c r="H736" s="10"/>
    </row>
    <row r="737" ht="15.75" customHeight="1">
      <c r="F737" s="10"/>
      <c r="G737" s="10"/>
      <c r="H737" s="10"/>
    </row>
    <row r="738" ht="15.75" customHeight="1">
      <c r="F738" s="10"/>
      <c r="G738" s="10"/>
      <c r="H738" s="10"/>
    </row>
    <row r="739" ht="15.75" customHeight="1">
      <c r="F739" s="10"/>
      <c r="G739" s="10"/>
      <c r="H739" s="10"/>
    </row>
    <row r="740" ht="15.75" customHeight="1">
      <c r="F740" s="10"/>
      <c r="G740" s="10"/>
      <c r="H740" s="10"/>
    </row>
    <row r="741" ht="15.75" customHeight="1">
      <c r="F741" s="10"/>
      <c r="G741" s="10"/>
      <c r="H741" s="10"/>
    </row>
    <row r="742" ht="15.75" customHeight="1">
      <c r="F742" s="10"/>
      <c r="G742" s="10"/>
      <c r="H742" s="10"/>
    </row>
    <row r="743" ht="15.75" customHeight="1">
      <c r="F743" s="10"/>
      <c r="G743" s="10"/>
      <c r="H743" s="10"/>
    </row>
    <row r="744" ht="15.75" customHeight="1">
      <c r="F744" s="10"/>
      <c r="G744" s="10"/>
      <c r="H744" s="10"/>
    </row>
    <row r="745" ht="15.75" customHeight="1">
      <c r="F745" s="10"/>
      <c r="G745" s="10"/>
      <c r="H745" s="10"/>
    </row>
    <row r="746" ht="15.75" customHeight="1">
      <c r="F746" s="10"/>
      <c r="G746" s="10"/>
      <c r="H746" s="10"/>
    </row>
    <row r="747" ht="15.75" customHeight="1">
      <c r="F747" s="10"/>
      <c r="G747" s="10"/>
      <c r="H747" s="10"/>
    </row>
    <row r="748" ht="15.75" customHeight="1">
      <c r="F748" s="10"/>
      <c r="G748" s="10"/>
      <c r="H748" s="10"/>
    </row>
    <row r="749" ht="15.75" customHeight="1">
      <c r="F749" s="10"/>
      <c r="G749" s="10"/>
      <c r="H749" s="10"/>
    </row>
    <row r="750" ht="15.75" customHeight="1">
      <c r="F750" s="10"/>
      <c r="G750" s="10"/>
      <c r="H750" s="10"/>
    </row>
    <row r="751" ht="15.75" customHeight="1">
      <c r="F751" s="10"/>
      <c r="G751" s="10"/>
      <c r="H751" s="10"/>
    </row>
    <row r="752" ht="15.75" customHeight="1">
      <c r="F752" s="10"/>
      <c r="G752" s="10"/>
      <c r="H752" s="10"/>
    </row>
    <row r="753" ht="15.75" customHeight="1">
      <c r="F753" s="10"/>
      <c r="G753" s="10"/>
      <c r="H753" s="10"/>
    </row>
    <row r="754" ht="15.75" customHeight="1">
      <c r="F754" s="10"/>
      <c r="G754" s="10"/>
      <c r="H754" s="10"/>
    </row>
    <row r="755" ht="15.75" customHeight="1">
      <c r="F755" s="10"/>
      <c r="G755" s="10"/>
      <c r="H755" s="10"/>
    </row>
    <row r="756" ht="15.75" customHeight="1">
      <c r="F756" s="10"/>
      <c r="G756" s="10"/>
      <c r="H756" s="10"/>
    </row>
    <row r="757" ht="15.75" customHeight="1">
      <c r="F757" s="10"/>
      <c r="G757" s="10"/>
      <c r="H757" s="10"/>
    </row>
    <row r="758" ht="15.75" customHeight="1">
      <c r="F758" s="10"/>
      <c r="G758" s="10"/>
      <c r="H758" s="10"/>
    </row>
    <row r="759" ht="15.75" customHeight="1">
      <c r="F759" s="10"/>
      <c r="G759" s="10"/>
      <c r="H759" s="10"/>
    </row>
    <row r="760" ht="15.75" customHeight="1">
      <c r="F760" s="10"/>
      <c r="G760" s="10"/>
      <c r="H760" s="10"/>
    </row>
    <row r="761" ht="15.75" customHeight="1">
      <c r="F761" s="10"/>
      <c r="G761" s="10"/>
      <c r="H761" s="10"/>
    </row>
    <row r="762" ht="15.75" customHeight="1">
      <c r="F762" s="10"/>
      <c r="G762" s="10"/>
      <c r="H762" s="10"/>
    </row>
    <row r="763" ht="15.75" customHeight="1">
      <c r="F763" s="10"/>
      <c r="G763" s="10"/>
      <c r="H763" s="10"/>
    </row>
    <row r="764" ht="15.75" customHeight="1">
      <c r="F764" s="10"/>
      <c r="G764" s="10"/>
      <c r="H764" s="10"/>
    </row>
    <row r="765" ht="15.75" customHeight="1">
      <c r="F765" s="10"/>
      <c r="G765" s="10"/>
      <c r="H765" s="10"/>
    </row>
    <row r="766" ht="15.75" customHeight="1">
      <c r="F766" s="10"/>
      <c r="G766" s="10"/>
      <c r="H766" s="10"/>
    </row>
    <row r="767" ht="15.75" customHeight="1">
      <c r="F767" s="10"/>
      <c r="G767" s="10"/>
      <c r="H767" s="10"/>
    </row>
    <row r="768" ht="15.75" customHeight="1">
      <c r="F768" s="10"/>
      <c r="G768" s="10"/>
      <c r="H768" s="10"/>
    </row>
    <row r="769" ht="15.75" customHeight="1">
      <c r="F769" s="10"/>
      <c r="G769" s="10"/>
      <c r="H769" s="10"/>
    </row>
    <row r="770" ht="15.75" customHeight="1">
      <c r="F770" s="10"/>
      <c r="G770" s="10"/>
      <c r="H770" s="10"/>
    </row>
    <row r="771" ht="15.75" customHeight="1">
      <c r="F771" s="10"/>
      <c r="G771" s="10"/>
      <c r="H771" s="10"/>
    </row>
    <row r="772" ht="15.75" customHeight="1">
      <c r="F772" s="10"/>
      <c r="G772" s="10"/>
      <c r="H772" s="10"/>
    </row>
    <row r="773" ht="15.75" customHeight="1">
      <c r="F773" s="10"/>
      <c r="G773" s="10"/>
      <c r="H773" s="10"/>
    </row>
    <row r="774" ht="15.75" customHeight="1">
      <c r="F774" s="10"/>
      <c r="G774" s="10"/>
      <c r="H774" s="10"/>
    </row>
    <row r="775" ht="15.75" customHeight="1">
      <c r="F775" s="10"/>
      <c r="G775" s="10"/>
      <c r="H775" s="10"/>
    </row>
    <row r="776" ht="15.75" customHeight="1">
      <c r="F776" s="10"/>
      <c r="G776" s="10"/>
      <c r="H776" s="10"/>
    </row>
    <row r="777" ht="15.75" customHeight="1">
      <c r="F777" s="10"/>
      <c r="G777" s="10"/>
      <c r="H777" s="10"/>
    </row>
    <row r="778" ht="15.75" customHeight="1">
      <c r="F778" s="10"/>
      <c r="G778" s="10"/>
      <c r="H778" s="10"/>
    </row>
    <row r="779" ht="15.75" customHeight="1">
      <c r="F779" s="10"/>
      <c r="G779" s="10"/>
      <c r="H779" s="10"/>
    </row>
    <row r="780" ht="15.75" customHeight="1">
      <c r="F780" s="10"/>
      <c r="G780" s="10"/>
      <c r="H780" s="10"/>
    </row>
    <row r="781" ht="15.75" customHeight="1">
      <c r="F781" s="10"/>
      <c r="G781" s="10"/>
      <c r="H781" s="10"/>
    </row>
    <row r="782" ht="15.75" customHeight="1">
      <c r="F782" s="10"/>
      <c r="G782" s="10"/>
      <c r="H782" s="10"/>
    </row>
    <row r="783" ht="15.75" customHeight="1">
      <c r="F783" s="10"/>
      <c r="G783" s="10"/>
      <c r="H783" s="10"/>
    </row>
    <row r="784" ht="15.75" customHeight="1">
      <c r="F784" s="10"/>
      <c r="G784" s="10"/>
      <c r="H784" s="10"/>
    </row>
    <row r="785" ht="15.75" customHeight="1">
      <c r="F785" s="10"/>
      <c r="G785" s="10"/>
      <c r="H785" s="10"/>
    </row>
    <row r="786" ht="15.75" customHeight="1">
      <c r="F786" s="10"/>
      <c r="G786" s="10"/>
      <c r="H786" s="10"/>
    </row>
    <row r="787" ht="15.75" customHeight="1">
      <c r="F787" s="10"/>
      <c r="G787" s="10"/>
      <c r="H787" s="10"/>
    </row>
    <row r="788" ht="15.75" customHeight="1">
      <c r="F788" s="10"/>
      <c r="G788" s="10"/>
      <c r="H788" s="10"/>
    </row>
    <row r="789" ht="15.75" customHeight="1">
      <c r="F789" s="10"/>
      <c r="G789" s="10"/>
      <c r="H789" s="10"/>
    </row>
    <row r="790" ht="15.75" customHeight="1">
      <c r="F790" s="10"/>
      <c r="G790" s="10"/>
      <c r="H790" s="10"/>
    </row>
    <row r="791" ht="15.75" customHeight="1">
      <c r="F791" s="10"/>
      <c r="G791" s="10"/>
      <c r="H791" s="10"/>
    </row>
    <row r="792" ht="15.75" customHeight="1">
      <c r="F792" s="10"/>
      <c r="G792" s="10"/>
      <c r="H792" s="10"/>
    </row>
    <row r="793" ht="15.75" customHeight="1">
      <c r="F793" s="10"/>
      <c r="G793" s="10"/>
      <c r="H793" s="10"/>
    </row>
    <row r="794" ht="15.75" customHeight="1">
      <c r="F794" s="10"/>
      <c r="G794" s="10"/>
      <c r="H794" s="10"/>
    </row>
    <row r="795" ht="15.75" customHeight="1">
      <c r="F795" s="10"/>
      <c r="G795" s="10"/>
      <c r="H795" s="10"/>
    </row>
    <row r="796" ht="15.75" customHeight="1">
      <c r="F796" s="10"/>
      <c r="G796" s="10"/>
      <c r="H796" s="10"/>
    </row>
    <row r="797" ht="15.75" customHeight="1">
      <c r="F797" s="10"/>
      <c r="G797" s="10"/>
      <c r="H797" s="10"/>
    </row>
    <row r="798" ht="15.75" customHeight="1">
      <c r="F798" s="10"/>
      <c r="G798" s="10"/>
      <c r="H798" s="10"/>
    </row>
    <row r="799" ht="15.75" customHeight="1">
      <c r="F799" s="10"/>
      <c r="G799" s="10"/>
      <c r="H799" s="10"/>
    </row>
    <row r="800" ht="15.75" customHeight="1">
      <c r="F800" s="10"/>
      <c r="G800" s="10"/>
      <c r="H800" s="10"/>
    </row>
    <row r="801" ht="15.75" customHeight="1">
      <c r="F801" s="10"/>
      <c r="G801" s="10"/>
      <c r="H801" s="10"/>
    </row>
    <row r="802" ht="15.75" customHeight="1">
      <c r="F802" s="10"/>
      <c r="G802" s="10"/>
      <c r="H802" s="10"/>
    </row>
    <row r="803" ht="15.75" customHeight="1">
      <c r="F803" s="10"/>
      <c r="G803" s="10"/>
      <c r="H803" s="10"/>
    </row>
    <row r="804" ht="15.75" customHeight="1">
      <c r="F804" s="10"/>
      <c r="G804" s="10"/>
      <c r="H804" s="10"/>
    </row>
    <row r="805" ht="15.75" customHeight="1">
      <c r="F805" s="10"/>
      <c r="G805" s="10"/>
      <c r="H805" s="10"/>
    </row>
    <row r="806" ht="15.75" customHeight="1">
      <c r="F806" s="10"/>
      <c r="G806" s="10"/>
      <c r="H806" s="10"/>
    </row>
    <row r="807" ht="15.75" customHeight="1">
      <c r="F807" s="10"/>
      <c r="G807" s="10"/>
      <c r="H807" s="10"/>
    </row>
    <row r="808" ht="15.75" customHeight="1">
      <c r="F808" s="10"/>
      <c r="G808" s="10"/>
      <c r="H808" s="10"/>
    </row>
    <row r="809" ht="15.75" customHeight="1">
      <c r="F809" s="10"/>
      <c r="G809" s="10"/>
      <c r="H809" s="10"/>
    </row>
    <row r="810" ht="15.75" customHeight="1">
      <c r="F810" s="10"/>
      <c r="G810" s="10"/>
      <c r="H810" s="10"/>
    </row>
    <row r="811" ht="15.75" customHeight="1">
      <c r="F811" s="10"/>
      <c r="G811" s="10"/>
      <c r="H811" s="10"/>
    </row>
    <row r="812" ht="15.75" customHeight="1">
      <c r="F812" s="10"/>
      <c r="G812" s="10"/>
      <c r="H812" s="10"/>
    </row>
    <row r="813" ht="15.75" customHeight="1">
      <c r="F813" s="10"/>
      <c r="G813" s="10"/>
      <c r="H813" s="10"/>
    </row>
    <row r="814" ht="15.75" customHeight="1">
      <c r="F814" s="10"/>
      <c r="G814" s="10"/>
      <c r="H814" s="10"/>
    </row>
    <row r="815" ht="15.75" customHeight="1">
      <c r="F815" s="10"/>
      <c r="G815" s="10"/>
      <c r="H815" s="10"/>
    </row>
    <row r="816" ht="15.75" customHeight="1">
      <c r="F816" s="10"/>
      <c r="G816" s="10"/>
      <c r="H816" s="10"/>
    </row>
    <row r="817" ht="15.75" customHeight="1">
      <c r="F817" s="10"/>
      <c r="G817" s="10"/>
      <c r="H817" s="10"/>
    </row>
    <row r="818" ht="15.75" customHeight="1">
      <c r="F818" s="10"/>
      <c r="G818" s="10"/>
      <c r="H818" s="10"/>
    </row>
    <row r="819" ht="15.75" customHeight="1">
      <c r="F819" s="10"/>
      <c r="G819" s="10"/>
      <c r="H819" s="10"/>
    </row>
    <row r="820" ht="15.75" customHeight="1">
      <c r="F820" s="10"/>
      <c r="G820" s="10"/>
      <c r="H820" s="10"/>
    </row>
    <row r="821" ht="15.75" customHeight="1">
      <c r="F821" s="10"/>
      <c r="G821" s="10"/>
      <c r="H821" s="10"/>
    </row>
    <row r="822" ht="15.75" customHeight="1">
      <c r="F822" s="10"/>
      <c r="G822" s="10"/>
      <c r="H822" s="10"/>
    </row>
    <row r="823" ht="15.75" customHeight="1">
      <c r="F823" s="10"/>
      <c r="G823" s="10"/>
      <c r="H823" s="10"/>
    </row>
    <row r="824" ht="15.75" customHeight="1">
      <c r="F824" s="10"/>
      <c r="G824" s="10"/>
      <c r="H824" s="10"/>
    </row>
    <row r="825" ht="15.75" customHeight="1">
      <c r="F825" s="10"/>
      <c r="G825" s="10"/>
      <c r="H825" s="10"/>
    </row>
    <row r="826" ht="15.75" customHeight="1">
      <c r="F826" s="10"/>
      <c r="G826" s="10"/>
      <c r="H826" s="10"/>
    </row>
    <row r="827" ht="15.75" customHeight="1">
      <c r="F827" s="10"/>
      <c r="G827" s="10"/>
      <c r="H827" s="10"/>
    </row>
    <row r="828" ht="15.75" customHeight="1">
      <c r="F828" s="10"/>
      <c r="G828" s="10"/>
      <c r="H828" s="10"/>
    </row>
    <row r="829" ht="15.75" customHeight="1">
      <c r="F829" s="10"/>
      <c r="G829" s="10"/>
      <c r="H829" s="10"/>
    </row>
    <row r="830" ht="15.75" customHeight="1">
      <c r="F830" s="10"/>
      <c r="G830" s="10"/>
      <c r="H830" s="10"/>
    </row>
    <row r="831" ht="15.75" customHeight="1">
      <c r="F831" s="10"/>
      <c r="G831" s="10"/>
      <c r="H831" s="10"/>
    </row>
    <row r="832" ht="15.75" customHeight="1">
      <c r="F832" s="10"/>
      <c r="G832" s="10"/>
      <c r="H832" s="10"/>
    </row>
    <row r="833" ht="15.75" customHeight="1">
      <c r="F833" s="10"/>
      <c r="G833" s="10"/>
      <c r="H833" s="10"/>
    </row>
    <row r="834" ht="15.75" customHeight="1">
      <c r="F834" s="10"/>
      <c r="G834" s="10"/>
      <c r="H834" s="10"/>
    </row>
    <row r="835" ht="15.75" customHeight="1">
      <c r="F835" s="10"/>
      <c r="G835" s="10"/>
      <c r="H835" s="10"/>
    </row>
    <row r="836" ht="15.75" customHeight="1">
      <c r="F836" s="10"/>
      <c r="G836" s="10"/>
      <c r="H836" s="10"/>
    </row>
    <row r="837" ht="15.75" customHeight="1">
      <c r="F837" s="10"/>
      <c r="G837" s="10"/>
      <c r="H837" s="10"/>
    </row>
    <row r="838" ht="15.75" customHeight="1">
      <c r="F838" s="10"/>
      <c r="G838" s="10"/>
      <c r="H838" s="10"/>
    </row>
    <row r="839" ht="15.75" customHeight="1">
      <c r="F839" s="10"/>
      <c r="G839" s="10"/>
      <c r="H839" s="10"/>
    </row>
    <row r="840" ht="15.75" customHeight="1">
      <c r="F840" s="10"/>
      <c r="G840" s="10"/>
      <c r="H840" s="10"/>
    </row>
    <row r="841" ht="15.75" customHeight="1">
      <c r="F841" s="10"/>
      <c r="G841" s="10"/>
      <c r="H841" s="10"/>
    </row>
    <row r="842" ht="15.75" customHeight="1">
      <c r="F842" s="10"/>
      <c r="G842" s="10"/>
      <c r="H842" s="10"/>
    </row>
    <row r="843" ht="15.75" customHeight="1">
      <c r="F843" s="10"/>
      <c r="G843" s="10"/>
      <c r="H843" s="10"/>
    </row>
    <row r="844" ht="15.75" customHeight="1">
      <c r="F844" s="10"/>
      <c r="G844" s="10"/>
      <c r="H844" s="10"/>
    </row>
    <row r="845" ht="15.75" customHeight="1">
      <c r="F845" s="10"/>
      <c r="G845" s="10"/>
      <c r="H845" s="10"/>
    </row>
    <row r="846" ht="15.75" customHeight="1">
      <c r="F846" s="10"/>
      <c r="G846" s="10"/>
      <c r="H846" s="10"/>
    </row>
    <row r="847" ht="15.75" customHeight="1">
      <c r="F847" s="10"/>
      <c r="G847" s="10"/>
      <c r="H847" s="10"/>
    </row>
    <row r="848" ht="15.75" customHeight="1">
      <c r="F848" s="10"/>
      <c r="G848" s="10"/>
      <c r="H848" s="10"/>
    </row>
    <row r="849" ht="15.75" customHeight="1">
      <c r="F849" s="10"/>
      <c r="G849" s="10"/>
      <c r="H849" s="10"/>
    </row>
    <row r="850" ht="15.75" customHeight="1">
      <c r="F850" s="10"/>
      <c r="G850" s="10"/>
      <c r="H850" s="10"/>
    </row>
    <row r="851" ht="15.75" customHeight="1">
      <c r="F851" s="10"/>
      <c r="G851" s="10"/>
      <c r="H851" s="10"/>
    </row>
    <row r="852" ht="15.75" customHeight="1">
      <c r="F852" s="10"/>
      <c r="G852" s="10"/>
      <c r="H852" s="10"/>
    </row>
    <row r="853" ht="15.75" customHeight="1">
      <c r="F853" s="10"/>
      <c r="G853" s="10"/>
      <c r="H853" s="10"/>
    </row>
    <row r="854" ht="15.75" customHeight="1">
      <c r="F854" s="10"/>
      <c r="G854" s="10"/>
      <c r="H854" s="10"/>
    </row>
    <row r="855" ht="15.75" customHeight="1">
      <c r="F855" s="10"/>
      <c r="G855" s="10"/>
      <c r="H855" s="10"/>
    </row>
    <row r="856" ht="15.75" customHeight="1">
      <c r="F856" s="10"/>
      <c r="G856" s="10"/>
      <c r="H856" s="10"/>
    </row>
    <row r="857" ht="15.75" customHeight="1">
      <c r="F857" s="10"/>
      <c r="G857" s="10"/>
      <c r="H857" s="10"/>
    </row>
    <row r="858" ht="15.75" customHeight="1">
      <c r="F858" s="10"/>
      <c r="G858" s="10"/>
      <c r="H858" s="10"/>
    </row>
    <row r="859" ht="15.75" customHeight="1">
      <c r="F859" s="10"/>
      <c r="G859" s="10"/>
      <c r="H859" s="10"/>
    </row>
    <row r="860" ht="15.75" customHeight="1">
      <c r="F860" s="10"/>
      <c r="G860" s="10"/>
      <c r="H860" s="10"/>
    </row>
    <row r="861" ht="15.75" customHeight="1">
      <c r="F861" s="10"/>
      <c r="G861" s="10"/>
      <c r="H861" s="10"/>
    </row>
    <row r="862" ht="15.75" customHeight="1">
      <c r="F862" s="10"/>
      <c r="G862" s="10"/>
      <c r="H862" s="10"/>
    </row>
    <row r="863" ht="15.75" customHeight="1">
      <c r="F863" s="10"/>
      <c r="G863" s="10"/>
      <c r="H863" s="10"/>
    </row>
    <row r="864" ht="15.75" customHeight="1">
      <c r="F864" s="10"/>
      <c r="G864" s="10"/>
      <c r="H864" s="10"/>
    </row>
    <row r="865" ht="15.75" customHeight="1">
      <c r="F865" s="10"/>
      <c r="G865" s="10"/>
      <c r="H865" s="10"/>
    </row>
    <row r="866" ht="15.75" customHeight="1">
      <c r="F866" s="10"/>
      <c r="G866" s="10"/>
      <c r="H866" s="10"/>
    </row>
    <row r="867" ht="15.75" customHeight="1">
      <c r="F867" s="10"/>
      <c r="G867" s="10"/>
      <c r="H867" s="10"/>
    </row>
    <row r="868" ht="15.75" customHeight="1">
      <c r="F868" s="10"/>
      <c r="G868" s="10"/>
      <c r="H868" s="10"/>
    </row>
    <row r="869" ht="15.75" customHeight="1">
      <c r="F869" s="10"/>
      <c r="G869" s="10"/>
      <c r="H869" s="10"/>
    </row>
    <row r="870" ht="15.75" customHeight="1">
      <c r="F870" s="10"/>
      <c r="G870" s="10"/>
      <c r="H870" s="10"/>
    </row>
    <row r="871" ht="15.75" customHeight="1">
      <c r="F871" s="10"/>
      <c r="G871" s="10"/>
      <c r="H871" s="10"/>
    </row>
    <row r="872" ht="15.75" customHeight="1">
      <c r="F872" s="10"/>
      <c r="G872" s="10"/>
      <c r="H872" s="10"/>
    </row>
    <row r="873" ht="15.75" customHeight="1">
      <c r="F873" s="10"/>
      <c r="G873" s="10"/>
      <c r="H873" s="10"/>
    </row>
    <row r="874" ht="15.75" customHeight="1">
      <c r="F874" s="10"/>
      <c r="G874" s="10"/>
      <c r="H874" s="10"/>
    </row>
    <row r="875" ht="15.75" customHeight="1">
      <c r="F875" s="10"/>
      <c r="G875" s="10"/>
      <c r="H875" s="10"/>
    </row>
    <row r="876" ht="15.75" customHeight="1">
      <c r="F876" s="10"/>
      <c r="G876" s="10"/>
      <c r="H876" s="10"/>
    </row>
    <row r="877" ht="15.75" customHeight="1">
      <c r="F877" s="10"/>
      <c r="G877" s="10"/>
      <c r="H877" s="10"/>
    </row>
    <row r="878" ht="15.75" customHeight="1">
      <c r="F878" s="10"/>
      <c r="G878" s="10"/>
      <c r="H878" s="10"/>
    </row>
    <row r="879" ht="15.75" customHeight="1">
      <c r="F879" s="10"/>
      <c r="G879" s="10"/>
      <c r="H879" s="10"/>
    </row>
    <row r="880" ht="15.75" customHeight="1">
      <c r="F880" s="10"/>
      <c r="G880" s="10"/>
      <c r="H880" s="10"/>
    </row>
    <row r="881" ht="15.75" customHeight="1">
      <c r="F881" s="10"/>
      <c r="G881" s="10"/>
      <c r="H881" s="10"/>
    </row>
    <row r="882" ht="15.75" customHeight="1">
      <c r="F882" s="10"/>
      <c r="G882" s="10"/>
      <c r="H882" s="10"/>
    </row>
    <row r="883" ht="15.75" customHeight="1">
      <c r="F883" s="10"/>
      <c r="G883" s="10"/>
      <c r="H883" s="10"/>
    </row>
    <row r="884" ht="15.75" customHeight="1">
      <c r="F884" s="10"/>
      <c r="G884" s="10"/>
      <c r="H884" s="10"/>
    </row>
    <row r="885" ht="15.75" customHeight="1">
      <c r="F885" s="10"/>
      <c r="G885" s="10"/>
      <c r="H885" s="10"/>
    </row>
    <row r="886" ht="15.75" customHeight="1">
      <c r="F886" s="10"/>
      <c r="G886" s="10"/>
      <c r="H886" s="10"/>
    </row>
    <row r="887" ht="15.75" customHeight="1">
      <c r="F887" s="10"/>
      <c r="G887" s="10"/>
      <c r="H887" s="10"/>
    </row>
    <row r="888" ht="15.75" customHeight="1">
      <c r="F888" s="10"/>
      <c r="G888" s="10"/>
      <c r="H888" s="10"/>
    </row>
    <row r="889" ht="15.75" customHeight="1">
      <c r="F889" s="10"/>
      <c r="G889" s="10"/>
      <c r="H889" s="10"/>
    </row>
    <row r="890" ht="15.75" customHeight="1">
      <c r="F890" s="10"/>
      <c r="G890" s="10"/>
      <c r="H890" s="10"/>
    </row>
    <row r="891" ht="15.75" customHeight="1">
      <c r="F891" s="10"/>
      <c r="G891" s="10"/>
      <c r="H891" s="10"/>
    </row>
    <row r="892" ht="15.75" customHeight="1">
      <c r="F892" s="10"/>
      <c r="G892" s="10"/>
      <c r="H892" s="10"/>
    </row>
    <row r="893" ht="15.75" customHeight="1">
      <c r="F893" s="10"/>
      <c r="G893" s="10"/>
      <c r="H893" s="10"/>
    </row>
    <row r="894" ht="15.75" customHeight="1">
      <c r="F894" s="10"/>
      <c r="G894" s="10"/>
      <c r="H894" s="10"/>
    </row>
    <row r="895" ht="15.75" customHeight="1">
      <c r="F895" s="10"/>
      <c r="G895" s="10"/>
      <c r="H895" s="10"/>
    </row>
    <row r="896" ht="15.75" customHeight="1">
      <c r="F896" s="10"/>
      <c r="G896" s="10"/>
      <c r="H896" s="10"/>
    </row>
    <row r="897" ht="15.75" customHeight="1">
      <c r="F897" s="10"/>
      <c r="G897" s="10"/>
      <c r="H897" s="10"/>
    </row>
    <row r="898" ht="15.75" customHeight="1">
      <c r="F898" s="10"/>
      <c r="G898" s="10"/>
      <c r="H898" s="10"/>
    </row>
    <row r="899" ht="15.75" customHeight="1">
      <c r="F899" s="10"/>
      <c r="G899" s="10"/>
      <c r="H899" s="10"/>
    </row>
    <row r="900" ht="15.75" customHeight="1">
      <c r="F900" s="10"/>
      <c r="G900" s="10"/>
      <c r="H900" s="10"/>
    </row>
    <row r="901" ht="15.75" customHeight="1">
      <c r="F901" s="10"/>
      <c r="G901" s="10"/>
      <c r="H901" s="10"/>
    </row>
    <row r="902" ht="15.75" customHeight="1">
      <c r="F902" s="10"/>
      <c r="G902" s="10"/>
      <c r="H902" s="10"/>
    </row>
    <row r="903" ht="15.75" customHeight="1">
      <c r="F903" s="10"/>
      <c r="G903" s="10"/>
      <c r="H903" s="10"/>
    </row>
    <row r="904" ht="15.75" customHeight="1">
      <c r="F904" s="10"/>
      <c r="G904" s="10"/>
      <c r="H904" s="10"/>
    </row>
    <row r="905" ht="15.75" customHeight="1">
      <c r="F905" s="10"/>
      <c r="G905" s="10"/>
      <c r="H905" s="10"/>
    </row>
    <row r="906" ht="15.75" customHeight="1">
      <c r="F906" s="10"/>
      <c r="G906" s="10"/>
      <c r="H906" s="10"/>
    </row>
    <row r="907" ht="15.75" customHeight="1">
      <c r="F907" s="10"/>
      <c r="G907" s="10"/>
      <c r="H907" s="10"/>
    </row>
    <row r="908" ht="15.75" customHeight="1">
      <c r="F908" s="10"/>
      <c r="G908" s="10"/>
      <c r="H908" s="10"/>
    </row>
    <row r="909" ht="15.75" customHeight="1">
      <c r="F909" s="10"/>
      <c r="G909" s="10"/>
      <c r="H909" s="10"/>
    </row>
    <row r="910" ht="15.75" customHeight="1">
      <c r="F910" s="10"/>
      <c r="G910" s="10"/>
      <c r="H910" s="10"/>
    </row>
    <row r="911" ht="15.75" customHeight="1">
      <c r="F911" s="10"/>
      <c r="G911" s="10"/>
      <c r="H911" s="10"/>
    </row>
    <row r="912" ht="15.75" customHeight="1">
      <c r="F912" s="10"/>
      <c r="G912" s="10"/>
      <c r="H912" s="10"/>
    </row>
    <row r="913" ht="15.75" customHeight="1">
      <c r="F913" s="10"/>
      <c r="G913" s="10"/>
      <c r="H913" s="10"/>
    </row>
    <row r="914" ht="15.75" customHeight="1">
      <c r="F914" s="10"/>
      <c r="G914" s="10"/>
      <c r="H914" s="10"/>
    </row>
    <row r="915" ht="15.75" customHeight="1">
      <c r="F915" s="10"/>
      <c r="G915" s="10"/>
      <c r="H915" s="10"/>
    </row>
    <row r="916" ht="15.75" customHeight="1">
      <c r="F916" s="10"/>
      <c r="G916" s="10"/>
      <c r="H916" s="10"/>
    </row>
    <row r="917" ht="15.75" customHeight="1">
      <c r="F917" s="10"/>
      <c r="G917" s="10"/>
      <c r="H917" s="10"/>
    </row>
    <row r="918" ht="15.75" customHeight="1">
      <c r="F918" s="10"/>
      <c r="G918" s="10"/>
      <c r="H918" s="10"/>
    </row>
    <row r="919" ht="15.75" customHeight="1">
      <c r="F919" s="10"/>
      <c r="G919" s="10"/>
      <c r="H919" s="10"/>
    </row>
    <row r="920" ht="15.75" customHeight="1">
      <c r="F920" s="10"/>
      <c r="G920" s="10"/>
      <c r="H920" s="10"/>
    </row>
    <row r="921" ht="15.75" customHeight="1">
      <c r="F921" s="10"/>
      <c r="G921" s="10"/>
      <c r="H921" s="10"/>
    </row>
    <row r="922" ht="15.75" customHeight="1">
      <c r="F922" s="10"/>
      <c r="G922" s="10"/>
      <c r="H922" s="10"/>
    </row>
    <row r="923" ht="15.75" customHeight="1">
      <c r="F923" s="10"/>
      <c r="G923" s="10"/>
      <c r="H923" s="10"/>
    </row>
    <row r="924" ht="15.75" customHeight="1">
      <c r="F924" s="10"/>
      <c r="G924" s="10"/>
      <c r="H924" s="10"/>
    </row>
    <row r="925" ht="15.75" customHeight="1">
      <c r="F925" s="10"/>
      <c r="G925" s="10"/>
      <c r="H925" s="10"/>
    </row>
    <row r="926" ht="15.75" customHeight="1">
      <c r="F926" s="10"/>
      <c r="G926" s="10"/>
      <c r="H926" s="10"/>
    </row>
    <row r="927" ht="15.75" customHeight="1">
      <c r="F927" s="10"/>
      <c r="G927" s="10"/>
      <c r="H927" s="10"/>
    </row>
    <row r="928" ht="15.75" customHeight="1">
      <c r="F928" s="10"/>
      <c r="G928" s="10"/>
      <c r="H928" s="10"/>
    </row>
    <row r="929" ht="15.75" customHeight="1">
      <c r="F929" s="10"/>
      <c r="G929" s="10"/>
      <c r="H929" s="10"/>
    </row>
    <row r="930" ht="15.75" customHeight="1">
      <c r="F930" s="10"/>
      <c r="G930" s="10"/>
      <c r="H930" s="10"/>
    </row>
    <row r="931" ht="15.75" customHeight="1">
      <c r="F931" s="10"/>
      <c r="G931" s="10"/>
      <c r="H931" s="10"/>
    </row>
    <row r="932" ht="15.75" customHeight="1">
      <c r="F932" s="10"/>
      <c r="G932" s="10"/>
      <c r="H932" s="10"/>
    </row>
    <row r="933" ht="15.75" customHeight="1">
      <c r="F933" s="10"/>
      <c r="G933" s="10"/>
      <c r="H933" s="10"/>
    </row>
    <row r="934" ht="15.75" customHeight="1">
      <c r="F934" s="10"/>
      <c r="G934" s="10"/>
      <c r="H934" s="10"/>
    </row>
    <row r="935" ht="15.75" customHeight="1">
      <c r="F935" s="10"/>
      <c r="G935" s="10"/>
      <c r="H935" s="10"/>
    </row>
    <row r="936" ht="15.75" customHeight="1">
      <c r="F936" s="10"/>
      <c r="G936" s="10"/>
      <c r="H936" s="10"/>
    </row>
    <row r="937" ht="15.75" customHeight="1">
      <c r="F937" s="10"/>
      <c r="G937" s="10"/>
      <c r="H937" s="10"/>
    </row>
    <row r="938" ht="15.75" customHeight="1">
      <c r="F938" s="10"/>
      <c r="G938" s="10"/>
      <c r="H938" s="10"/>
    </row>
    <row r="939" ht="15.75" customHeight="1">
      <c r="F939" s="10"/>
      <c r="G939" s="10"/>
      <c r="H939" s="10"/>
    </row>
    <row r="940" ht="15.75" customHeight="1">
      <c r="F940" s="10"/>
      <c r="G940" s="10"/>
      <c r="H940" s="10"/>
    </row>
    <row r="941" ht="15.75" customHeight="1">
      <c r="F941" s="10"/>
      <c r="G941" s="10"/>
      <c r="H941" s="10"/>
    </row>
    <row r="942" ht="15.75" customHeight="1">
      <c r="F942" s="10"/>
      <c r="G942" s="10"/>
      <c r="H942" s="10"/>
    </row>
    <row r="943" ht="15.75" customHeight="1">
      <c r="F943" s="10"/>
      <c r="G943" s="10"/>
      <c r="H943" s="10"/>
    </row>
    <row r="944" ht="15.75" customHeight="1">
      <c r="F944" s="10"/>
      <c r="G944" s="10"/>
      <c r="H944" s="10"/>
    </row>
    <row r="945" ht="15.75" customHeight="1">
      <c r="F945" s="10"/>
      <c r="G945" s="10"/>
      <c r="H945" s="10"/>
    </row>
    <row r="946" ht="15.75" customHeight="1">
      <c r="F946" s="10"/>
      <c r="G946" s="10"/>
      <c r="H946" s="10"/>
    </row>
    <row r="947" ht="15.75" customHeight="1">
      <c r="F947" s="10"/>
      <c r="G947" s="10"/>
      <c r="H947" s="10"/>
    </row>
    <row r="948" ht="15.75" customHeight="1">
      <c r="F948" s="10"/>
      <c r="G948" s="10"/>
      <c r="H948" s="10"/>
    </row>
    <row r="949" ht="15.75" customHeight="1">
      <c r="F949" s="10"/>
      <c r="G949" s="10"/>
      <c r="H949" s="10"/>
    </row>
    <row r="950" ht="15.75" customHeight="1">
      <c r="F950" s="10"/>
      <c r="G950" s="10"/>
      <c r="H950" s="10"/>
    </row>
    <row r="951" ht="15.75" customHeight="1">
      <c r="F951" s="10"/>
      <c r="G951" s="10"/>
      <c r="H951" s="10"/>
    </row>
    <row r="952" ht="15.75" customHeight="1">
      <c r="F952" s="10"/>
      <c r="G952" s="10"/>
      <c r="H952" s="10"/>
    </row>
    <row r="953" ht="15.75" customHeight="1">
      <c r="F953" s="10"/>
      <c r="G953" s="10"/>
      <c r="H953" s="10"/>
    </row>
    <row r="954" ht="15.75" customHeight="1">
      <c r="F954" s="10"/>
      <c r="G954" s="10"/>
      <c r="H954" s="10"/>
    </row>
    <row r="955" ht="15.75" customHeight="1">
      <c r="F955" s="10"/>
      <c r="G955" s="10"/>
      <c r="H955" s="10"/>
    </row>
    <row r="956" ht="15.75" customHeight="1">
      <c r="F956" s="10"/>
      <c r="G956" s="10"/>
      <c r="H956" s="10"/>
    </row>
    <row r="957" ht="15.75" customHeight="1">
      <c r="F957" s="10"/>
      <c r="G957" s="10"/>
      <c r="H957" s="10"/>
    </row>
    <row r="958" ht="15.75" customHeight="1">
      <c r="F958" s="10"/>
      <c r="G958" s="10"/>
      <c r="H958" s="10"/>
    </row>
    <row r="959" ht="15.75" customHeight="1">
      <c r="F959" s="10"/>
      <c r="G959" s="10"/>
      <c r="H959" s="10"/>
    </row>
    <row r="960" ht="15.75" customHeight="1">
      <c r="F960" s="10"/>
      <c r="G960" s="10"/>
      <c r="H960" s="10"/>
    </row>
    <row r="961" ht="15.75" customHeight="1">
      <c r="F961" s="10"/>
      <c r="G961" s="10"/>
      <c r="H961" s="10"/>
    </row>
    <row r="962" ht="15.75" customHeight="1">
      <c r="F962" s="10"/>
      <c r="G962" s="10"/>
      <c r="H962" s="10"/>
    </row>
    <row r="963" ht="15.75" customHeight="1">
      <c r="F963" s="10"/>
      <c r="G963" s="10"/>
      <c r="H963" s="10"/>
    </row>
    <row r="964" ht="15.75" customHeight="1">
      <c r="F964" s="10"/>
      <c r="G964" s="10"/>
      <c r="H964" s="10"/>
    </row>
    <row r="965" ht="15.75" customHeight="1">
      <c r="F965" s="10"/>
      <c r="G965" s="10"/>
      <c r="H965" s="10"/>
    </row>
    <row r="966" ht="15.75" customHeight="1">
      <c r="F966" s="10"/>
      <c r="G966" s="10"/>
      <c r="H966" s="10"/>
    </row>
    <row r="967" ht="15.75" customHeight="1">
      <c r="F967" s="10"/>
      <c r="G967" s="10"/>
      <c r="H967" s="10"/>
    </row>
    <row r="968" ht="15.75" customHeight="1">
      <c r="F968" s="10"/>
      <c r="G968" s="10"/>
      <c r="H968" s="10"/>
    </row>
    <row r="969" ht="15.75" customHeight="1">
      <c r="F969" s="10"/>
      <c r="G969" s="10"/>
      <c r="H969" s="10"/>
    </row>
    <row r="970" ht="15.75" customHeight="1">
      <c r="F970" s="10"/>
      <c r="G970" s="10"/>
      <c r="H970" s="10"/>
    </row>
    <row r="971" ht="15.75" customHeight="1">
      <c r="F971" s="10"/>
      <c r="G971" s="10"/>
      <c r="H971" s="10"/>
    </row>
    <row r="972" ht="15.75" customHeight="1">
      <c r="F972" s="10"/>
      <c r="G972" s="10"/>
      <c r="H972" s="10"/>
    </row>
    <row r="973" ht="15.75" customHeight="1">
      <c r="F973" s="10"/>
      <c r="G973" s="10"/>
      <c r="H973" s="10"/>
    </row>
    <row r="974" ht="15.75" customHeight="1">
      <c r="F974" s="10"/>
      <c r="G974" s="10"/>
      <c r="H974" s="10"/>
    </row>
    <row r="975" ht="15.75" customHeight="1">
      <c r="F975" s="10"/>
      <c r="G975" s="10"/>
      <c r="H975" s="10"/>
    </row>
    <row r="976" ht="15.75" customHeight="1">
      <c r="F976" s="10"/>
      <c r="G976" s="10"/>
      <c r="H976" s="10"/>
    </row>
    <row r="977" ht="15.75" customHeight="1">
      <c r="F977" s="10"/>
      <c r="G977" s="10"/>
      <c r="H977" s="10"/>
    </row>
    <row r="978" ht="15.75" customHeight="1">
      <c r="F978" s="10"/>
      <c r="G978" s="10"/>
      <c r="H978" s="10"/>
    </row>
    <row r="979" ht="15.75" customHeight="1">
      <c r="F979" s="10"/>
      <c r="G979" s="10"/>
      <c r="H979" s="10"/>
    </row>
    <row r="980" ht="15.75" customHeight="1">
      <c r="F980" s="10"/>
      <c r="G980" s="10"/>
      <c r="H980" s="10"/>
    </row>
    <row r="981" ht="15.75" customHeight="1">
      <c r="F981" s="10"/>
      <c r="G981" s="10"/>
      <c r="H981" s="10"/>
    </row>
    <row r="982" ht="15.75" customHeight="1">
      <c r="F982" s="10"/>
      <c r="G982" s="10"/>
      <c r="H982" s="10"/>
    </row>
    <row r="983" ht="15.75" customHeight="1">
      <c r="F983" s="10"/>
      <c r="G983" s="10"/>
      <c r="H983" s="10"/>
    </row>
    <row r="984" ht="15.75" customHeight="1">
      <c r="F984" s="10"/>
      <c r="G984" s="10"/>
      <c r="H984" s="10"/>
    </row>
    <row r="985" ht="15.75" customHeight="1">
      <c r="F985" s="10"/>
      <c r="G985" s="10"/>
      <c r="H985" s="10"/>
    </row>
    <row r="986" ht="15.75" customHeight="1">
      <c r="F986" s="10"/>
      <c r="G986" s="10"/>
      <c r="H986" s="10"/>
    </row>
    <row r="987" ht="15.75" customHeight="1">
      <c r="F987" s="10"/>
      <c r="G987" s="10"/>
      <c r="H987" s="10"/>
    </row>
    <row r="988" ht="15.75" customHeight="1">
      <c r="F988" s="10"/>
      <c r="G988" s="10"/>
      <c r="H988" s="10"/>
    </row>
    <row r="989" ht="15.75" customHeight="1">
      <c r="F989" s="10"/>
      <c r="G989" s="10"/>
      <c r="H989" s="10"/>
    </row>
    <row r="990" ht="15.75" customHeight="1">
      <c r="F990" s="10"/>
      <c r="G990" s="10"/>
      <c r="H990" s="10"/>
    </row>
    <row r="991" ht="15.75" customHeight="1">
      <c r="F991" s="10"/>
      <c r="G991" s="10"/>
      <c r="H991" s="10"/>
    </row>
    <row r="992" ht="15.75" customHeight="1">
      <c r="F992" s="10"/>
      <c r="G992" s="10"/>
      <c r="H992" s="10"/>
    </row>
    <row r="993" ht="15.75" customHeight="1">
      <c r="F993" s="10"/>
      <c r="G993" s="10"/>
      <c r="H993" s="10"/>
    </row>
    <row r="994" ht="15.75" customHeight="1">
      <c r="F994" s="10"/>
      <c r="G994" s="10"/>
      <c r="H994" s="10"/>
    </row>
    <row r="995" ht="15.75" customHeight="1">
      <c r="F995" s="10"/>
      <c r="G995" s="10"/>
      <c r="H995" s="10"/>
    </row>
    <row r="996" ht="15.75" customHeight="1">
      <c r="F996" s="10"/>
      <c r="G996" s="10"/>
      <c r="H996" s="10"/>
    </row>
    <row r="997" ht="15.75" customHeight="1">
      <c r="F997" s="10"/>
      <c r="G997" s="10"/>
      <c r="H997" s="10"/>
    </row>
    <row r="998" ht="15.75" customHeight="1">
      <c r="F998" s="10"/>
      <c r="G998" s="10"/>
      <c r="H998" s="10"/>
    </row>
    <row r="999" ht="15.75" customHeight="1">
      <c r="F999" s="10"/>
      <c r="G999" s="10"/>
      <c r="H999" s="10"/>
    </row>
    <row r="1000" ht="15.75" customHeight="1">
      <c r="F1000" s="10"/>
      <c r="G1000" s="10"/>
      <c r="H1000" s="10"/>
    </row>
  </sheetData>
  <customSheetViews>
    <customSheetView guid="{7FB1E0F8-6E8B-407E-95DF-8FAAE293DEAA}" filter="1" showAutoFilter="1">
      <autoFilter ref="$A$1:$J$7"/>
      <extLst>
        <ext uri="GoogleSheetsCustomDataVersion1">
          <go:sheetsCustomData xmlns:go="http://customooxmlschemas.google.com/" filterViewId="141041315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86"/>
    <col customWidth="1" min="3" max="3" width="11.14"/>
    <col customWidth="1" min="4" max="4" width="11.86"/>
    <col customWidth="1" min="5" max="5" width="15.43"/>
    <col customWidth="1" min="6" max="6" width="12.43"/>
    <col customWidth="1" min="7" max="7" width="13.86"/>
    <col customWidth="1" min="8" max="8" width="10.86"/>
    <col customWidth="1" min="9" max="9" width="11.71"/>
    <col customWidth="1" min="10" max="10" width="18.71"/>
    <col customWidth="1" min="11" max="11" width="15.0"/>
    <col customWidth="1" min="12" max="26" width="8.71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4" t="s">
        <v>15</v>
      </c>
    </row>
    <row r="2">
      <c r="A2" s="5" t="s">
        <v>19</v>
      </c>
      <c r="B2" s="5" t="s">
        <v>23</v>
      </c>
      <c r="C2" s="5" t="s">
        <v>26</v>
      </c>
      <c r="D2" s="5" t="s">
        <v>29</v>
      </c>
      <c r="E2" s="5" t="s">
        <v>32</v>
      </c>
      <c r="F2" s="5" t="s">
        <v>34</v>
      </c>
      <c r="G2" s="5" t="s">
        <v>37</v>
      </c>
      <c r="H2" s="5">
        <v>2.17</v>
      </c>
      <c r="I2" s="5">
        <v>14.0</v>
      </c>
      <c r="J2" s="5" t="str">
        <f t="shared" ref="J2:J1201" si="1">IF(I2&lt;=7,"Last Minute",IF(I2&lt;=15,"Short Notice",IF(I2&lt;=30,"Moderate",IF(I2&gt;=31,"Advance"))))</f>
        <v>Short Notice</v>
      </c>
      <c r="K2" s="9">
        <v>5956.0</v>
      </c>
    </row>
    <row r="3">
      <c r="A3" s="5" t="s">
        <v>46</v>
      </c>
      <c r="B3" s="5" t="s">
        <v>48</v>
      </c>
      <c r="C3" s="5" t="s">
        <v>26</v>
      </c>
      <c r="D3" s="5" t="s">
        <v>20</v>
      </c>
      <c r="E3" s="5" t="s">
        <v>52</v>
      </c>
      <c r="F3" s="5" t="s">
        <v>53</v>
      </c>
      <c r="G3" s="5" t="s">
        <v>37</v>
      </c>
      <c r="H3" s="5">
        <v>2.08</v>
      </c>
      <c r="I3" s="5">
        <v>15.0</v>
      </c>
      <c r="J3" s="5" t="str">
        <f t="shared" si="1"/>
        <v>Short Notice</v>
      </c>
      <c r="K3" s="9">
        <v>28872.0</v>
      </c>
    </row>
    <row r="4">
      <c r="A4" s="5" t="s">
        <v>56</v>
      </c>
      <c r="B4" s="5" t="s">
        <v>57</v>
      </c>
      <c r="C4" s="5" t="s">
        <v>26</v>
      </c>
      <c r="D4" s="5" t="s">
        <v>58</v>
      </c>
      <c r="E4" s="5" t="s">
        <v>59</v>
      </c>
      <c r="F4" s="5" t="s">
        <v>34</v>
      </c>
      <c r="G4" s="5" t="s">
        <v>37</v>
      </c>
      <c r="H4" s="5">
        <v>2.25</v>
      </c>
      <c r="I4" s="5">
        <v>30.0</v>
      </c>
      <c r="J4" s="5" t="str">
        <f t="shared" si="1"/>
        <v>Moderate</v>
      </c>
      <c r="K4" s="9">
        <v>2410.0</v>
      </c>
    </row>
    <row r="5">
      <c r="A5" s="5" t="s">
        <v>62</v>
      </c>
      <c r="B5" s="5" t="s">
        <v>63</v>
      </c>
      <c r="C5" s="5" t="s">
        <v>26</v>
      </c>
      <c r="D5" s="5" t="s">
        <v>58</v>
      </c>
      <c r="E5" s="5" t="s">
        <v>59</v>
      </c>
      <c r="F5" s="5" t="s">
        <v>34</v>
      </c>
      <c r="G5" s="5" t="s">
        <v>66</v>
      </c>
      <c r="H5" s="5">
        <v>8.0</v>
      </c>
      <c r="I5" s="5">
        <v>38.0</v>
      </c>
      <c r="J5" s="5" t="str">
        <f t="shared" si="1"/>
        <v>Advance</v>
      </c>
      <c r="K5" s="9">
        <v>7907.0</v>
      </c>
    </row>
    <row r="6">
      <c r="A6" s="5" t="s">
        <v>74</v>
      </c>
      <c r="B6" s="5" t="s">
        <v>75</v>
      </c>
      <c r="C6" s="5" t="s">
        <v>26</v>
      </c>
      <c r="D6" s="5" t="s">
        <v>20</v>
      </c>
      <c r="E6" s="5" t="s">
        <v>52</v>
      </c>
      <c r="F6" s="5" t="s">
        <v>53</v>
      </c>
      <c r="G6" s="5" t="s">
        <v>66</v>
      </c>
      <c r="H6" s="5">
        <v>26.42</v>
      </c>
      <c r="I6" s="5">
        <v>19.0</v>
      </c>
      <c r="J6" s="5" t="str">
        <f t="shared" si="1"/>
        <v>Moderate</v>
      </c>
      <c r="K6" s="9">
        <v>41281.0</v>
      </c>
    </row>
    <row r="7">
      <c r="A7" s="5" t="s">
        <v>80</v>
      </c>
      <c r="B7" s="5" t="s">
        <v>81</v>
      </c>
      <c r="C7" s="5" t="s">
        <v>26</v>
      </c>
      <c r="D7" s="5" t="s">
        <v>20</v>
      </c>
      <c r="E7" s="5" t="s">
        <v>52</v>
      </c>
      <c r="F7" s="5" t="s">
        <v>53</v>
      </c>
      <c r="G7" s="5" t="s">
        <v>66</v>
      </c>
      <c r="H7" s="5">
        <v>13.83</v>
      </c>
      <c r="J7" s="5" t="str">
        <f t="shared" si="1"/>
        <v>Last Minute</v>
      </c>
      <c r="K7" s="9">
        <v>70793.0</v>
      </c>
    </row>
    <row r="8">
      <c r="A8" s="5" t="s">
        <v>85</v>
      </c>
      <c r="B8" s="5" t="s">
        <v>86</v>
      </c>
      <c r="C8" s="5" t="s">
        <v>26</v>
      </c>
      <c r="D8" s="5" t="s">
        <v>20</v>
      </c>
      <c r="E8" s="5" t="s">
        <v>52</v>
      </c>
      <c r="F8" s="5" t="s">
        <v>34</v>
      </c>
      <c r="G8" s="5" t="s">
        <v>66</v>
      </c>
      <c r="H8" s="5">
        <v>24.42</v>
      </c>
      <c r="I8" s="5">
        <v>2.0</v>
      </c>
      <c r="J8" s="5" t="str">
        <f t="shared" si="1"/>
        <v>Last Minute</v>
      </c>
      <c r="K8" s="9">
        <v>17348.0</v>
      </c>
    </row>
    <row r="9">
      <c r="A9" s="5" t="s">
        <v>89</v>
      </c>
      <c r="B9" s="5" t="s">
        <v>91</v>
      </c>
      <c r="C9" s="5" t="s">
        <v>26</v>
      </c>
      <c r="D9" s="5" t="s">
        <v>20</v>
      </c>
      <c r="E9" s="5" t="s">
        <v>52</v>
      </c>
      <c r="F9" s="5" t="s">
        <v>34</v>
      </c>
      <c r="G9" s="5" t="s">
        <v>66</v>
      </c>
      <c r="H9" s="5">
        <v>26.0</v>
      </c>
      <c r="I9" s="5">
        <v>2.0</v>
      </c>
      <c r="J9" s="5" t="str">
        <f t="shared" si="1"/>
        <v>Last Minute</v>
      </c>
      <c r="K9" s="9">
        <v>15353.0</v>
      </c>
    </row>
    <row r="10">
      <c r="A10" s="5" t="s">
        <v>95</v>
      </c>
      <c r="B10" s="5" t="s">
        <v>55</v>
      </c>
      <c r="C10" s="5" t="s">
        <v>26</v>
      </c>
      <c r="D10" s="5" t="s">
        <v>43</v>
      </c>
      <c r="E10" s="5" t="s">
        <v>68</v>
      </c>
      <c r="F10" s="5" t="s">
        <v>34</v>
      </c>
      <c r="G10" s="5" t="s">
        <v>66</v>
      </c>
      <c r="H10" s="5">
        <v>4.17</v>
      </c>
      <c r="I10" s="5">
        <v>38.0</v>
      </c>
      <c r="J10" s="5" t="str">
        <f t="shared" si="1"/>
        <v>Advance</v>
      </c>
      <c r="K10" s="9">
        <v>3054.0</v>
      </c>
    </row>
    <row r="11">
      <c r="A11" s="5" t="s">
        <v>100</v>
      </c>
      <c r="B11" s="5" t="s">
        <v>42</v>
      </c>
      <c r="C11" s="5" t="s">
        <v>26</v>
      </c>
      <c r="D11" s="5" t="s">
        <v>43</v>
      </c>
      <c r="E11" s="5" t="s">
        <v>68</v>
      </c>
      <c r="F11" s="5" t="s">
        <v>34</v>
      </c>
      <c r="G11" s="5" t="s">
        <v>66</v>
      </c>
      <c r="H11" s="5">
        <v>5.08</v>
      </c>
      <c r="I11" s="5">
        <v>39.0</v>
      </c>
      <c r="J11" s="5" t="str">
        <f t="shared" si="1"/>
        <v>Advance</v>
      </c>
      <c r="K11" s="9">
        <v>3631.0</v>
      </c>
    </row>
    <row r="12">
      <c r="A12" s="5" t="s">
        <v>102</v>
      </c>
      <c r="B12" s="5" t="s">
        <v>76</v>
      </c>
      <c r="C12" s="5" t="s">
        <v>26</v>
      </c>
      <c r="D12" s="5" t="s">
        <v>45</v>
      </c>
      <c r="E12" s="5" t="s">
        <v>49</v>
      </c>
      <c r="F12" s="5" t="s">
        <v>34</v>
      </c>
      <c r="G12" s="5" t="s">
        <v>66</v>
      </c>
      <c r="H12" s="5">
        <v>29.33</v>
      </c>
      <c r="J12" s="5" t="str">
        <f t="shared" si="1"/>
        <v>Last Minute</v>
      </c>
      <c r="K12" s="9">
        <v>16245.0</v>
      </c>
    </row>
    <row r="13">
      <c r="A13" s="5" t="s">
        <v>106</v>
      </c>
      <c r="B13" s="5" t="s">
        <v>87</v>
      </c>
      <c r="C13" s="5" t="s">
        <v>26</v>
      </c>
      <c r="D13" s="5" t="s">
        <v>20</v>
      </c>
      <c r="E13" s="5" t="s">
        <v>52</v>
      </c>
      <c r="F13" s="5" t="s">
        <v>34</v>
      </c>
      <c r="G13" s="5" t="s">
        <v>66</v>
      </c>
      <c r="H13" s="5">
        <v>4.42</v>
      </c>
      <c r="I13" s="5">
        <v>46.0</v>
      </c>
      <c r="J13" s="5" t="str">
        <f t="shared" si="1"/>
        <v>Advance</v>
      </c>
      <c r="K13" s="9">
        <v>4381.0</v>
      </c>
    </row>
    <row r="14">
      <c r="A14" s="5" t="s">
        <v>112</v>
      </c>
      <c r="B14" s="5" t="s">
        <v>96</v>
      </c>
      <c r="C14" s="5" t="s">
        <v>26</v>
      </c>
      <c r="D14" s="5" t="s">
        <v>20</v>
      </c>
      <c r="E14" s="5" t="s">
        <v>52</v>
      </c>
      <c r="F14" s="5" t="s">
        <v>34</v>
      </c>
      <c r="G14" s="5" t="s">
        <v>66</v>
      </c>
      <c r="H14" s="5">
        <v>17.0</v>
      </c>
      <c r="I14" s="5">
        <v>22.0</v>
      </c>
      <c r="J14" s="5" t="str">
        <f t="shared" si="1"/>
        <v>Moderate</v>
      </c>
      <c r="K14" s="9">
        <v>7575.0</v>
      </c>
    </row>
    <row r="15">
      <c r="A15" s="5" t="s">
        <v>117</v>
      </c>
      <c r="B15" s="5" t="s">
        <v>118</v>
      </c>
      <c r="C15" s="5" t="s">
        <v>26</v>
      </c>
      <c r="D15" s="5" t="s">
        <v>45</v>
      </c>
      <c r="E15" s="5" t="s">
        <v>49</v>
      </c>
      <c r="F15" s="5" t="s">
        <v>34</v>
      </c>
      <c r="G15" s="5" t="s">
        <v>66</v>
      </c>
      <c r="H15" s="5">
        <v>27.17</v>
      </c>
      <c r="I15" s="5">
        <v>1.0</v>
      </c>
      <c r="J15" s="5" t="str">
        <f t="shared" si="1"/>
        <v>Last Minute</v>
      </c>
      <c r="K15" s="9">
        <v>16455.0</v>
      </c>
    </row>
    <row r="16">
      <c r="A16" s="5" t="s">
        <v>121</v>
      </c>
      <c r="B16" s="5" t="s">
        <v>119</v>
      </c>
      <c r="C16" s="5" t="s">
        <v>26</v>
      </c>
      <c r="D16" s="5" t="s">
        <v>20</v>
      </c>
      <c r="E16" s="5" t="s">
        <v>52</v>
      </c>
      <c r="F16" s="5" t="s">
        <v>34</v>
      </c>
      <c r="G16" s="5" t="s">
        <v>66</v>
      </c>
      <c r="H16" s="5">
        <v>16.0</v>
      </c>
      <c r="I16" s="5">
        <v>27.0</v>
      </c>
      <c r="J16" s="5" t="str">
        <f t="shared" si="1"/>
        <v>Moderate</v>
      </c>
      <c r="K16" s="9">
        <v>7575.0</v>
      </c>
    </row>
    <row r="17">
      <c r="A17" s="5" t="s">
        <v>125</v>
      </c>
      <c r="B17" s="5" t="s">
        <v>115</v>
      </c>
      <c r="C17" s="5" t="s">
        <v>26</v>
      </c>
      <c r="D17" s="5" t="s">
        <v>45</v>
      </c>
      <c r="E17" s="5" t="s">
        <v>49</v>
      </c>
      <c r="F17" s="5" t="s">
        <v>34</v>
      </c>
      <c r="G17" s="5" t="s">
        <v>66</v>
      </c>
      <c r="H17" s="5">
        <v>3.5</v>
      </c>
      <c r="I17" s="5">
        <v>37.0</v>
      </c>
      <c r="J17" s="5" t="str">
        <f t="shared" si="1"/>
        <v>Advance</v>
      </c>
      <c r="K17" s="9">
        <v>2476.0</v>
      </c>
    </row>
    <row r="18">
      <c r="A18" s="5" t="s">
        <v>126</v>
      </c>
      <c r="B18" s="5" t="s">
        <v>50</v>
      </c>
      <c r="C18" s="5" t="s">
        <v>26</v>
      </c>
      <c r="D18" s="5" t="s">
        <v>45</v>
      </c>
      <c r="E18" s="5" t="s">
        <v>49</v>
      </c>
      <c r="F18" s="5" t="s">
        <v>34</v>
      </c>
      <c r="G18" s="5" t="s">
        <v>66</v>
      </c>
      <c r="H18" s="5">
        <v>6.67</v>
      </c>
      <c r="I18" s="5">
        <v>36.0</v>
      </c>
      <c r="J18" s="5" t="str">
        <f t="shared" si="1"/>
        <v>Advance</v>
      </c>
      <c r="K18" s="9">
        <v>3831.0</v>
      </c>
    </row>
    <row r="19">
      <c r="A19" s="5" t="s">
        <v>127</v>
      </c>
      <c r="B19" s="5" t="s">
        <v>128</v>
      </c>
      <c r="C19" s="5" t="s">
        <v>26</v>
      </c>
      <c r="D19" s="5" t="s">
        <v>20</v>
      </c>
      <c r="E19" s="5" t="s">
        <v>52</v>
      </c>
      <c r="F19" s="5" t="s">
        <v>53</v>
      </c>
      <c r="G19" s="5" t="s">
        <v>66</v>
      </c>
      <c r="H19" s="5">
        <v>8.25</v>
      </c>
      <c r="J19" s="5" t="str">
        <f t="shared" si="1"/>
        <v>Last Minute</v>
      </c>
      <c r="K19" s="9">
        <v>41281.0</v>
      </c>
    </row>
    <row r="20">
      <c r="A20" s="5" t="s">
        <v>129</v>
      </c>
      <c r="B20" s="5" t="s">
        <v>130</v>
      </c>
      <c r="C20" s="5" t="s">
        <v>26</v>
      </c>
      <c r="D20" s="5" t="s">
        <v>45</v>
      </c>
      <c r="E20" s="5" t="s">
        <v>49</v>
      </c>
      <c r="F20" s="5" t="s">
        <v>53</v>
      </c>
      <c r="G20" s="5" t="s">
        <v>66</v>
      </c>
      <c r="H20" s="5">
        <v>21.42</v>
      </c>
      <c r="I20" s="5">
        <v>15.0</v>
      </c>
      <c r="J20" s="5" t="str">
        <f t="shared" si="1"/>
        <v>Short Notice</v>
      </c>
      <c r="K20" s="9">
        <v>47217.0</v>
      </c>
    </row>
    <row r="21" ht="15.75" customHeight="1">
      <c r="A21" s="5" t="s">
        <v>133</v>
      </c>
      <c r="B21" s="5" t="s">
        <v>113</v>
      </c>
      <c r="C21" s="5" t="s">
        <v>26</v>
      </c>
      <c r="D21" s="5" t="s">
        <v>58</v>
      </c>
      <c r="E21" s="5" t="s">
        <v>59</v>
      </c>
      <c r="F21" s="5" t="s">
        <v>34</v>
      </c>
      <c r="G21" s="5" t="s">
        <v>66</v>
      </c>
      <c r="H21" s="5">
        <v>7.75</v>
      </c>
      <c r="I21" s="5">
        <v>2.0</v>
      </c>
      <c r="J21" s="5" t="str">
        <f t="shared" si="1"/>
        <v>Last Minute</v>
      </c>
      <c r="K21" s="9">
        <v>13321.0</v>
      </c>
    </row>
    <row r="22" ht="15.75" customHeight="1">
      <c r="A22" s="5" t="s">
        <v>138</v>
      </c>
      <c r="B22" s="5" t="s">
        <v>82</v>
      </c>
      <c r="C22" s="5" t="s">
        <v>26</v>
      </c>
      <c r="D22" s="5" t="s">
        <v>45</v>
      </c>
      <c r="E22" s="5" t="s">
        <v>49</v>
      </c>
      <c r="F22" s="5" t="s">
        <v>53</v>
      </c>
      <c r="G22" s="5" t="s">
        <v>66</v>
      </c>
      <c r="H22" s="5">
        <v>23.83</v>
      </c>
      <c r="I22" s="5">
        <v>30.0</v>
      </c>
      <c r="J22" s="5" t="str">
        <f t="shared" si="1"/>
        <v>Moderate</v>
      </c>
      <c r="K22" s="9">
        <v>53164.0</v>
      </c>
    </row>
    <row r="23" ht="15.75" customHeight="1">
      <c r="A23" s="5" t="s">
        <v>142</v>
      </c>
      <c r="B23" s="5" t="s">
        <v>143</v>
      </c>
      <c r="C23" s="5" t="s">
        <v>26</v>
      </c>
      <c r="D23" s="5" t="s">
        <v>45</v>
      </c>
      <c r="E23" s="5" t="s">
        <v>49</v>
      </c>
      <c r="F23" s="5" t="s">
        <v>53</v>
      </c>
      <c r="G23" s="5" t="s">
        <v>66</v>
      </c>
      <c r="H23" s="5">
        <v>20.58</v>
      </c>
      <c r="I23" s="5">
        <v>9.0</v>
      </c>
      <c r="J23" s="5" t="str">
        <f t="shared" si="1"/>
        <v>Short Notice</v>
      </c>
      <c r="K23" s="9">
        <v>32646.0</v>
      </c>
    </row>
    <row r="24" ht="15.75" customHeight="1">
      <c r="A24" s="5" t="s">
        <v>145</v>
      </c>
      <c r="B24" s="5" t="s">
        <v>90</v>
      </c>
      <c r="C24" s="5" t="s">
        <v>26</v>
      </c>
      <c r="D24" s="5" t="s">
        <v>20</v>
      </c>
      <c r="E24" s="5" t="s">
        <v>52</v>
      </c>
      <c r="F24" s="5" t="s">
        <v>34</v>
      </c>
      <c r="G24" s="5" t="s">
        <v>66</v>
      </c>
      <c r="H24" s="5">
        <v>16.33</v>
      </c>
      <c r="I24" s="5">
        <v>45.0</v>
      </c>
      <c r="J24" s="5" t="str">
        <f t="shared" si="1"/>
        <v>Advance</v>
      </c>
      <c r="K24" s="9">
        <v>5857.0</v>
      </c>
    </row>
    <row r="25" ht="15.75" customHeight="1">
      <c r="A25" s="5" t="s">
        <v>149</v>
      </c>
      <c r="B25" s="5" t="s">
        <v>64</v>
      </c>
      <c r="C25" s="5" t="s">
        <v>26</v>
      </c>
      <c r="D25" s="5" t="s">
        <v>20</v>
      </c>
      <c r="E25" s="5" t="s">
        <v>52</v>
      </c>
      <c r="F25" s="5" t="s">
        <v>34</v>
      </c>
      <c r="G25" s="5" t="s">
        <v>66</v>
      </c>
      <c r="H25" s="5">
        <v>13.08</v>
      </c>
      <c r="I25" s="5">
        <v>44.0</v>
      </c>
      <c r="J25" s="5" t="str">
        <f t="shared" si="1"/>
        <v>Advance</v>
      </c>
      <c r="K25" s="9">
        <v>5355.0</v>
      </c>
    </row>
    <row r="26" ht="15.75" customHeight="1">
      <c r="A26" s="5" t="s">
        <v>151</v>
      </c>
      <c r="B26" s="5" t="s">
        <v>123</v>
      </c>
      <c r="C26" s="5" t="s">
        <v>26</v>
      </c>
      <c r="D26" s="5" t="s">
        <v>45</v>
      </c>
      <c r="E26" s="5" t="s">
        <v>49</v>
      </c>
      <c r="F26" s="5" t="s">
        <v>34</v>
      </c>
      <c r="G26" s="5" t="s">
        <v>66</v>
      </c>
      <c r="H26" s="5">
        <v>11.0</v>
      </c>
      <c r="I26" s="5">
        <v>4.0</v>
      </c>
      <c r="J26" s="5" t="str">
        <f t="shared" si="1"/>
        <v>Last Minute</v>
      </c>
      <c r="K26" s="9">
        <v>15825.0</v>
      </c>
    </row>
    <row r="27" ht="15.75" customHeight="1">
      <c r="A27" s="5" t="s">
        <v>155</v>
      </c>
      <c r="B27" s="5" t="s">
        <v>156</v>
      </c>
      <c r="C27" s="5" t="s">
        <v>26</v>
      </c>
      <c r="D27" s="5" t="s">
        <v>20</v>
      </c>
      <c r="E27" s="5" t="s">
        <v>52</v>
      </c>
      <c r="F27" s="5" t="s">
        <v>53</v>
      </c>
      <c r="G27" s="5" t="s">
        <v>66</v>
      </c>
      <c r="H27" s="5">
        <v>6.5</v>
      </c>
      <c r="I27" s="5">
        <v>5.0</v>
      </c>
      <c r="J27" s="5" t="str">
        <f t="shared" si="1"/>
        <v>Last Minute</v>
      </c>
      <c r="K27" s="9">
        <v>7336.0</v>
      </c>
    </row>
    <row r="28" ht="15.75" customHeight="1">
      <c r="A28" s="5" t="s">
        <v>158</v>
      </c>
      <c r="B28" s="5" t="s">
        <v>93</v>
      </c>
      <c r="C28" s="5" t="s">
        <v>26</v>
      </c>
      <c r="D28" s="5" t="s">
        <v>45</v>
      </c>
      <c r="E28" s="5" t="s">
        <v>49</v>
      </c>
      <c r="F28" s="5" t="s">
        <v>53</v>
      </c>
      <c r="G28" s="6">
        <v>1.0</v>
      </c>
      <c r="H28" s="5">
        <v>8.58</v>
      </c>
      <c r="J28" s="5" t="str">
        <f t="shared" si="1"/>
        <v>Last Minute</v>
      </c>
      <c r="K28" s="9">
        <v>49896.0</v>
      </c>
    </row>
    <row r="29" ht="15.75" customHeight="1">
      <c r="A29" s="5" t="s">
        <v>160</v>
      </c>
      <c r="B29" s="5" t="s">
        <v>60</v>
      </c>
      <c r="C29" s="5" t="s">
        <v>26</v>
      </c>
      <c r="D29" s="5" t="s">
        <v>43</v>
      </c>
      <c r="E29" s="5" t="s">
        <v>68</v>
      </c>
      <c r="F29" s="5" t="s">
        <v>34</v>
      </c>
      <c r="G29" s="6" t="s">
        <v>37</v>
      </c>
      <c r="H29" s="5">
        <v>2.17</v>
      </c>
      <c r="I29" s="5">
        <v>39.0</v>
      </c>
      <c r="J29" s="5" t="str">
        <f t="shared" si="1"/>
        <v>Advance</v>
      </c>
      <c r="K29" s="9">
        <v>2410.0</v>
      </c>
    </row>
    <row r="30" ht="15.75" customHeight="1">
      <c r="A30" s="5" t="s">
        <v>165</v>
      </c>
      <c r="B30" s="5" t="s">
        <v>103</v>
      </c>
      <c r="C30" s="5" t="s">
        <v>26</v>
      </c>
      <c r="D30" s="5" t="s">
        <v>43</v>
      </c>
      <c r="E30" s="5" t="s">
        <v>68</v>
      </c>
      <c r="F30" s="5" t="s">
        <v>34</v>
      </c>
      <c r="G30" s="6" t="s">
        <v>66</v>
      </c>
      <c r="H30" s="5">
        <v>4.92</v>
      </c>
      <c r="J30" s="5" t="str">
        <f t="shared" si="1"/>
        <v>Last Minute</v>
      </c>
      <c r="K30" s="9">
        <v>3911.0</v>
      </c>
    </row>
    <row r="31" ht="15.75" customHeight="1">
      <c r="A31" s="5" t="s">
        <v>168</v>
      </c>
      <c r="B31" s="5" t="s">
        <v>78</v>
      </c>
      <c r="C31" s="5" t="s">
        <v>26</v>
      </c>
      <c r="D31" s="5" t="s">
        <v>58</v>
      </c>
      <c r="E31" s="5" t="s">
        <v>59</v>
      </c>
      <c r="F31" s="5" t="s">
        <v>34</v>
      </c>
      <c r="G31" s="6" t="s">
        <v>66</v>
      </c>
      <c r="H31" s="5">
        <v>9.33</v>
      </c>
      <c r="I31" s="5">
        <v>36.0</v>
      </c>
      <c r="J31" s="5" t="str">
        <f t="shared" si="1"/>
        <v>Advance</v>
      </c>
      <c r="K31" s="9">
        <v>3330.0</v>
      </c>
    </row>
    <row r="32" ht="15.75" customHeight="1">
      <c r="A32" s="5" t="s">
        <v>171</v>
      </c>
      <c r="B32" s="5" t="s">
        <v>135</v>
      </c>
      <c r="C32" s="5" t="s">
        <v>26</v>
      </c>
      <c r="D32" s="5" t="s">
        <v>43</v>
      </c>
      <c r="E32" s="5" t="s">
        <v>68</v>
      </c>
      <c r="F32" s="5" t="s">
        <v>34</v>
      </c>
      <c r="G32" s="6" t="s">
        <v>37</v>
      </c>
      <c r="H32" s="5">
        <v>2.17</v>
      </c>
      <c r="I32" s="5">
        <v>27.0</v>
      </c>
      <c r="J32" s="5" t="str">
        <f t="shared" si="1"/>
        <v>Moderate</v>
      </c>
      <c r="K32" s="9">
        <v>2410.0</v>
      </c>
    </row>
    <row r="33" ht="15.75" customHeight="1">
      <c r="A33" s="5" t="s">
        <v>176</v>
      </c>
      <c r="B33" s="5" t="s">
        <v>146</v>
      </c>
      <c r="C33" s="5" t="s">
        <v>26</v>
      </c>
      <c r="D33" s="5" t="s">
        <v>43</v>
      </c>
      <c r="E33" s="5" t="s">
        <v>68</v>
      </c>
      <c r="F33" s="5" t="s">
        <v>34</v>
      </c>
      <c r="G33" s="6" t="s">
        <v>66</v>
      </c>
      <c r="H33" s="5">
        <v>10.0</v>
      </c>
      <c r="I33" s="5">
        <v>44.0</v>
      </c>
      <c r="J33" s="5" t="str">
        <f t="shared" si="1"/>
        <v>Advance</v>
      </c>
      <c r="K33" s="9">
        <v>4373.0</v>
      </c>
    </row>
    <row r="34" ht="15.75" customHeight="1">
      <c r="A34" s="5" t="s">
        <v>183</v>
      </c>
      <c r="B34" s="5" t="s">
        <v>70</v>
      </c>
      <c r="C34" s="5" t="s">
        <v>26</v>
      </c>
      <c r="D34" s="5" t="s">
        <v>58</v>
      </c>
      <c r="E34" s="5" t="s">
        <v>59</v>
      </c>
      <c r="F34" s="5" t="s">
        <v>34</v>
      </c>
      <c r="G34" s="6" t="s">
        <v>66</v>
      </c>
      <c r="H34" s="5">
        <v>12.75</v>
      </c>
      <c r="I34" s="5">
        <v>44.0</v>
      </c>
      <c r="J34" s="5" t="str">
        <f t="shared" si="1"/>
        <v>Advance</v>
      </c>
      <c r="K34" s="9">
        <v>6146.0</v>
      </c>
    </row>
    <row r="35" ht="15.75" customHeight="1">
      <c r="A35" s="5" t="s">
        <v>186</v>
      </c>
      <c r="B35" s="5" t="s">
        <v>153</v>
      </c>
      <c r="C35" s="5" t="s">
        <v>26</v>
      </c>
      <c r="D35" s="5" t="s">
        <v>43</v>
      </c>
      <c r="E35" s="5" t="s">
        <v>68</v>
      </c>
      <c r="F35" s="5" t="s">
        <v>34</v>
      </c>
      <c r="G35" s="6" t="s">
        <v>37</v>
      </c>
      <c r="H35" s="5">
        <v>2.17</v>
      </c>
      <c r="I35" s="5">
        <v>46.0</v>
      </c>
      <c r="J35" s="5" t="str">
        <f t="shared" si="1"/>
        <v>Advance</v>
      </c>
      <c r="K35" s="9">
        <v>2410.0</v>
      </c>
    </row>
    <row r="36" ht="15.75" customHeight="1">
      <c r="A36" s="5" t="s">
        <v>190</v>
      </c>
      <c r="B36" s="5" t="s">
        <v>105</v>
      </c>
      <c r="C36" s="5" t="s">
        <v>26</v>
      </c>
      <c r="D36" s="5" t="s">
        <v>58</v>
      </c>
      <c r="E36" s="5" t="s">
        <v>59</v>
      </c>
      <c r="F36" s="5" t="s">
        <v>34</v>
      </c>
      <c r="G36" s="6" t="s">
        <v>37</v>
      </c>
      <c r="H36" s="5">
        <v>2.25</v>
      </c>
      <c r="I36" s="5">
        <v>46.0</v>
      </c>
      <c r="J36" s="5" t="str">
        <f t="shared" si="1"/>
        <v>Advance</v>
      </c>
      <c r="K36" s="9">
        <v>2410.0</v>
      </c>
    </row>
    <row r="37" ht="15.75" customHeight="1">
      <c r="A37" s="5" t="s">
        <v>194</v>
      </c>
      <c r="B37" s="5" t="s">
        <v>67</v>
      </c>
      <c r="C37" s="5" t="s">
        <v>26</v>
      </c>
      <c r="D37" s="5" t="s">
        <v>58</v>
      </c>
      <c r="E37" s="5" t="s">
        <v>59</v>
      </c>
      <c r="F37" s="5" t="s">
        <v>34</v>
      </c>
      <c r="G37" s="6" t="s">
        <v>66</v>
      </c>
      <c r="H37" s="5">
        <v>5.92</v>
      </c>
      <c r="I37" s="5">
        <v>46.0</v>
      </c>
      <c r="J37" s="5" t="str">
        <f t="shared" si="1"/>
        <v>Advance</v>
      </c>
      <c r="K37" s="9">
        <v>3330.0</v>
      </c>
    </row>
    <row r="38" ht="15.75" customHeight="1">
      <c r="A38" s="5" t="s">
        <v>198</v>
      </c>
      <c r="B38" s="5" t="s">
        <v>110</v>
      </c>
      <c r="C38" s="5" t="s">
        <v>26</v>
      </c>
      <c r="D38" s="5" t="s">
        <v>43</v>
      </c>
      <c r="E38" s="5" t="s">
        <v>68</v>
      </c>
      <c r="F38" s="5" t="s">
        <v>34</v>
      </c>
      <c r="G38" s="6" t="s">
        <v>66</v>
      </c>
      <c r="H38" s="5">
        <v>7.5</v>
      </c>
      <c r="J38" s="5" t="str">
        <f t="shared" si="1"/>
        <v>Last Minute</v>
      </c>
      <c r="K38" s="9">
        <v>2381.0</v>
      </c>
    </row>
    <row r="39" ht="15.75" customHeight="1">
      <c r="A39" s="5" t="s">
        <v>206</v>
      </c>
      <c r="B39" s="5" t="s">
        <v>139</v>
      </c>
      <c r="C39" s="5" t="s">
        <v>26</v>
      </c>
      <c r="D39" s="5" t="s">
        <v>43</v>
      </c>
      <c r="E39" s="5" t="s">
        <v>68</v>
      </c>
      <c r="F39" s="5" t="s">
        <v>34</v>
      </c>
      <c r="G39" s="6" t="s">
        <v>37</v>
      </c>
      <c r="H39" s="5">
        <v>2.08</v>
      </c>
      <c r="I39" s="5">
        <v>46.0</v>
      </c>
      <c r="J39" s="5" t="str">
        <f t="shared" si="1"/>
        <v>Advance</v>
      </c>
      <c r="K39" s="9">
        <v>3159.0</v>
      </c>
    </row>
    <row r="40" ht="15.75" customHeight="1">
      <c r="A40" s="5" t="s">
        <v>209</v>
      </c>
      <c r="B40" s="5" t="s">
        <v>98</v>
      </c>
      <c r="C40" s="5" t="s">
        <v>26</v>
      </c>
      <c r="D40" s="5" t="s">
        <v>58</v>
      </c>
      <c r="E40" s="5" t="s">
        <v>59</v>
      </c>
      <c r="F40" s="5" t="s">
        <v>34</v>
      </c>
      <c r="G40" s="6" t="s">
        <v>66</v>
      </c>
      <c r="H40" s="5">
        <v>4.92</v>
      </c>
      <c r="I40" s="5">
        <v>47.0</v>
      </c>
      <c r="J40" s="5" t="str">
        <f t="shared" si="1"/>
        <v>Advance</v>
      </c>
      <c r="K40" s="9">
        <v>4399.0</v>
      </c>
    </row>
    <row r="41" ht="15.75" customHeight="1">
      <c r="A41" s="5" t="s">
        <v>212</v>
      </c>
      <c r="B41" s="5" t="s">
        <v>213</v>
      </c>
      <c r="C41" s="5" t="s">
        <v>108</v>
      </c>
      <c r="D41" s="5" t="s">
        <v>20</v>
      </c>
      <c r="E41" s="5" t="s">
        <v>52</v>
      </c>
      <c r="F41" s="5" t="s">
        <v>53</v>
      </c>
      <c r="G41" s="6" t="s">
        <v>37</v>
      </c>
      <c r="H41" s="5">
        <v>2.75</v>
      </c>
      <c r="I41" s="5">
        <v>33.0</v>
      </c>
      <c r="J41" s="5" t="str">
        <f t="shared" si="1"/>
        <v>Advance</v>
      </c>
      <c r="K41" s="9">
        <v>32859.0</v>
      </c>
    </row>
    <row r="42" ht="15.75" customHeight="1">
      <c r="A42" s="5" t="s">
        <v>216</v>
      </c>
      <c r="B42" s="5" t="s">
        <v>217</v>
      </c>
      <c r="C42" s="5" t="s">
        <v>108</v>
      </c>
      <c r="D42" s="5" t="s">
        <v>43</v>
      </c>
      <c r="E42" s="5" t="s">
        <v>68</v>
      </c>
      <c r="F42" s="5" t="s">
        <v>34</v>
      </c>
      <c r="G42" s="6" t="s">
        <v>37</v>
      </c>
      <c r="H42" s="5">
        <v>2.92</v>
      </c>
      <c r="I42" s="5">
        <v>14.0</v>
      </c>
      <c r="J42" s="5" t="str">
        <f t="shared" si="1"/>
        <v>Short Notice</v>
      </c>
      <c r="K42" s="9">
        <v>7425.0</v>
      </c>
    </row>
    <row r="43" ht="15.75" customHeight="1">
      <c r="A43" s="5" t="s">
        <v>221</v>
      </c>
      <c r="B43" s="5" t="s">
        <v>222</v>
      </c>
      <c r="C43" s="5" t="s">
        <v>108</v>
      </c>
      <c r="D43" s="5" t="s">
        <v>20</v>
      </c>
      <c r="E43" s="5" t="s">
        <v>52</v>
      </c>
      <c r="F43" s="5" t="s">
        <v>34</v>
      </c>
      <c r="G43" s="6" t="s">
        <v>66</v>
      </c>
      <c r="H43" s="5">
        <v>23.08</v>
      </c>
      <c r="I43" s="5">
        <v>1.0</v>
      </c>
      <c r="J43" s="5" t="str">
        <f t="shared" si="1"/>
        <v>Last Minute</v>
      </c>
      <c r="K43" s="9">
        <v>10785.0</v>
      </c>
    </row>
    <row r="44" ht="15.75" customHeight="1">
      <c r="A44" s="5" t="s">
        <v>224</v>
      </c>
      <c r="B44" s="5" t="s">
        <v>225</v>
      </c>
      <c r="C44" s="5" t="s">
        <v>108</v>
      </c>
      <c r="D44" s="5" t="s">
        <v>58</v>
      </c>
      <c r="E44" s="5" t="s">
        <v>59</v>
      </c>
      <c r="F44" s="5" t="s">
        <v>34</v>
      </c>
      <c r="G44" s="6" t="s">
        <v>66</v>
      </c>
      <c r="H44" s="5">
        <v>10.08</v>
      </c>
      <c r="I44" s="5">
        <v>1.0</v>
      </c>
      <c r="J44" s="5" t="str">
        <f t="shared" si="1"/>
        <v>Last Minute</v>
      </c>
      <c r="K44" s="9">
        <v>14199.0</v>
      </c>
    </row>
    <row r="45" ht="15.75" customHeight="1">
      <c r="A45" s="5" t="s">
        <v>228</v>
      </c>
      <c r="B45" s="5" t="s">
        <v>229</v>
      </c>
      <c r="C45" s="5" t="s">
        <v>108</v>
      </c>
      <c r="D45" s="5" t="s">
        <v>58</v>
      </c>
      <c r="E45" s="5" t="s">
        <v>59</v>
      </c>
      <c r="F45" s="5" t="s">
        <v>34</v>
      </c>
      <c r="G45" s="6">
        <v>1.0</v>
      </c>
      <c r="H45" s="5">
        <v>6.92</v>
      </c>
      <c r="I45" s="5">
        <v>1.0</v>
      </c>
      <c r="J45" s="5" t="str">
        <f t="shared" si="1"/>
        <v>Last Minute</v>
      </c>
      <c r="K45" s="9">
        <v>16035.0</v>
      </c>
    </row>
    <row r="46" ht="15.75" customHeight="1">
      <c r="A46" s="5" t="s">
        <v>233</v>
      </c>
      <c r="B46" s="5" t="s">
        <v>235</v>
      </c>
      <c r="C46" s="5" t="s">
        <v>108</v>
      </c>
      <c r="D46" s="5" t="s">
        <v>29</v>
      </c>
      <c r="E46" s="5" t="s">
        <v>32</v>
      </c>
      <c r="F46" s="5" t="s">
        <v>34</v>
      </c>
      <c r="G46" s="6">
        <v>1.0</v>
      </c>
      <c r="H46" s="5">
        <v>11.58</v>
      </c>
      <c r="I46" s="5">
        <v>22.0</v>
      </c>
      <c r="J46" s="5" t="str">
        <f t="shared" si="1"/>
        <v>Moderate</v>
      </c>
      <c r="K46" s="9">
        <v>7336.0</v>
      </c>
    </row>
    <row r="47" ht="15.75" customHeight="1">
      <c r="A47" s="5" t="s">
        <v>238</v>
      </c>
      <c r="B47" s="5" t="s">
        <v>239</v>
      </c>
      <c r="C47" s="5" t="s">
        <v>108</v>
      </c>
      <c r="D47" s="5" t="s">
        <v>20</v>
      </c>
      <c r="E47" s="5" t="s">
        <v>52</v>
      </c>
      <c r="F47" s="5" t="s">
        <v>34</v>
      </c>
      <c r="G47" s="6" t="s">
        <v>180</v>
      </c>
      <c r="H47" s="5">
        <v>26.33</v>
      </c>
      <c r="I47" s="5">
        <v>1.0</v>
      </c>
      <c r="J47" s="5" t="str">
        <f t="shared" si="1"/>
        <v>Last Minute</v>
      </c>
      <c r="K47" s="9">
        <v>18909.0</v>
      </c>
    </row>
    <row r="48" ht="15.75" customHeight="1">
      <c r="A48" s="5" t="s">
        <v>244</v>
      </c>
      <c r="B48" s="5" t="s">
        <v>245</v>
      </c>
      <c r="C48" s="5" t="s">
        <v>108</v>
      </c>
      <c r="D48" s="5" t="s">
        <v>43</v>
      </c>
      <c r="E48" s="5" t="s">
        <v>68</v>
      </c>
      <c r="F48" s="5" t="s">
        <v>34</v>
      </c>
      <c r="G48" s="6" t="s">
        <v>66</v>
      </c>
      <c r="H48" s="5">
        <v>5.83</v>
      </c>
      <c r="I48" s="5">
        <v>1.0</v>
      </c>
      <c r="J48" s="5" t="str">
        <f t="shared" si="1"/>
        <v>Last Minute</v>
      </c>
      <c r="K48" s="9">
        <v>17400.0</v>
      </c>
    </row>
    <row r="49" ht="15.75" customHeight="1">
      <c r="A49" s="5" t="s">
        <v>247</v>
      </c>
      <c r="B49" s="5" t="s">
        <v>248</v>
      </c>
      <c r="C49" s="5" t="s">
        <v>108</v>
      </c>
      <c r="D49" s="5" t="s">
        <v>45</v>
      </c>
      <c r="E49" s="5" t="s">
        <v>49</v>
      </c>
      <c r="F49" s="5" t="s">
        <v>34</v>
      </c>
      <c r="G49" s="6" t="s">
        <v>66</v>
      </c>
      <c r="H49" s="5">
        <v>17.92</v>
      </c>
      <c r="I49" s="5">
        <v>14.0</v>
      </c>
      <c r="J49" s="5" t="str">
        <f t="shared" si="1"/>
        <v>Short Notice</v>
      </c>
      <c r="K49" s="9">
        <v>10828.0</v>
      </c>
    </row>
    <row r="50" ht="15.75" customHeight="1">
      <c r="A50" s="5" t="s">
        <v>255</v>
      </c>
      <c r="B50" s="5" t="s">
        <v>256</v>
      </c>
      <c r="C50" s="5" t="s">
        <v>108</v>
      </c>
      <c r="D50" s="5" t="s">
        <v>58</v>
      </c>
      <c r="E50" s="5" t="s">
        <v>59</v>
      </c>
      <c r="F50" s="5" t="s">
        <v>34</v>
      </c>
      <c r="G50" s="6" t="s">
        <v>37</v>
      </c>
      <c r="H50" s="5">
        <v>2.75</v>
      </c>
      <c r="J50" s="5" t="str">
        <f t="shared" si="1"/>
        <v>Last Minute</v>
      </c>
      <c r="K50" s="9">
        <v>4501.0</v>
      </c>
    </row>
    <row r="51" ht="15.75" customHeight="1">
      <c r="A51" s="5" t="s">
        <v>259</v>
      </c>
      <c r="B51" s="5" t="s">
        <v>261</v>
      </c>
      <c r="C51" s="5" t="s">
        <v>108</v>
      </c>
      <c r="D51" s="5" t="s">
        <v>43</v>
      </c>
      <c r="E51" s="5" t="s">
        <v>68</v>
      </c>
      <c r="F51" s="5" t="s">
        <v>34</v>
      </c>
      <c r="G51" s="6" t="s">
        <v>37</v>
      </c>
      <c r="H51" s="5">
        <v>2.67</v>
      </c>
      <c r="I51" s="5">
        <v>39.0</v>
      </c>
      <c r="J51" s="5" t="str">
        <f t="shared" si="1"/>
        <v>Advance</v>
      </c>
      <c r="K51" s="9">
        <v>6953.0</v>
      </c>
    </row>
    <row r="52" ht="15.75" customHeight="1">
      <c r="A52" s="5" t="s">
        <v>263</v>
      </c>
      <c r="B52" s="5" t="s">
        <v>265</v>
      </c>
      <c r="C52" s="5" t="s">
        <v>108</v>
      </c>
      <c r="D52" s="5" t="s">
        <v>72</v>
      </c>
      <c r="E52" s="5" t="s">
        <v>266</v>
      </c>
      <c r="F52" s="5" t="s">
        <v>34</v>
      </c>
      <c r="G52" s="6">
        <v>1.0</v>
      </c>
      <c r="H52" s="5">
        <v>23.08</v>
      </c>
      <c r="I52" s="5">
        <v>42.0</v>
      </c>
      <c r="J52" s="5" t="str">
        <f t="shared" si="1"/>
        <v>Advance</v>
      </c>
      <c r="K52" s="9">
        <v>3569.0</v>
      </c>
    </row>
    <row r="53" ht="15.75" customHeight="1">
      <c r="A53" s="5" t="s">
        <v>268</v>
      </c>
      <c r="B53" s="5" t="s">
        <v>269</v>
      </c>
      <c r="C53" s="5" t="s">
        <v>108</v>
      </c>
      <c r="D53" s="5" t="s">
        <v>43</v>
      </c>
      <c r="E53" s="5" t="s">
        <v>68</v>
      </c>
      <c r="F53" s="5" t="s">
        <v>34</v>
      </c>
      <c r="G53" s="6">
        <v>1.0</v>
      </c>
      <c r="H53" s="5">
        <v>12.0</v>
      </c>
      <c r="I53" s="5">
        <v>2.0</v>
      </c>
      <c r="J53" s="5" t="str">
        <f t="shared" si="1"/>
        <v>Last Minute</v>
      </c>
      <c r="K53" s="9">
        <v>7336.0</v>
      </c>
    </row>
    <row r="54" ht="15.75" customHeight="1">
      <c r="A54" s="5" t="s">
        <v>272</v>
      </c>
      <c r="B54" s="5" t="s">
        <v>274</v>
      </c>
      <c r="C54" s="5" t="s">
        <v>108</v>
      </c>
      <c r="D54" s="5" t="s">
        <v>20</v>
      </c>
      <c r="E54" s="5" t="s">
        <v>52</v>
      </c>
      <c r="F54" s="5" t="s">
        <v>34</v>
      </c>
      <c r="G54" s="6" t="s">
        <v>66</v>
      </c>
      <c r="H54" s="5">
        <v>11.42</v>
      </c>
      <c r="I54" s="5">
        <v>46.0</v>
      </c>
      <c r="J54" s="5" t="str">
        <f t="shared" si="1"/>
        <v>Advance</v>
      </c>
      <c r="K54" s="9">
        <v>4152.0</v>
      </c>
    </row>
    <row r="55" ht="15.75" customHeight="1">
      <c r="A55" s="5" t="s">
        <v>279</v>
      </c>
      <c r="B55" s="5" t="s">
        <v>281</v>
      </c>
      <c r="C55" s="5" t="s">
        <v>108</v>
      </c>
      <c r="D55" s="5" t="s">
        <v>58</v>
      </c>
      <c r="E55" s="5" t="s">
        <v>59</v>
      </c>
      <c r="F55" s="5" t="s">
        <v>34</v>
      </c>
      <c r="G55" s="6" t="s">
        <v>66</v>
      </c>
      <c r="H55" s="5">
        <v>6.5</v>
      </c>
      <c r="I55" s="5">
        <v>3.0</v>
      </c>
      <c r="J55" s="5" t="str">
        <f t="shared" si="1"/>
        <v>Last Minute</v>
      </c>
      <c r="K55" s="9">
        <v>7424.0</v>
      </c>
    </row>
    <row r="56" ht="15.75" customHeight="1">
      <c r="A56" s="5" t="s">
        <v>284</v>
      </c>
      <c r="B56" s="5" t="s">
        <v>285</v>
      </c>
      <c r="C56" s="5" t="s">
        <v>108</v>
      </c>
      <c r="D56" s="5" t="s">
        <v>29</v>
      </c>
      <c r="E56" s="5" t="s">
        <v>32</v>
      </c>
      <c r="F56" s="5" t="s">
        <v>34</v>
      </c>
      <c r="G56" s="6" t="s">
        <v>180</v>
      </c>
      <c r="H56" s="5">
        <v>11.5</v>
      </c>
      <c r="I56" s="5">
        <v>43.0</v>
      </c>
      <c r="J56" s="5" t="str">
        <f t="shared" si="1"/>
        <v>Advance</v>
      </c>
      <c r="K56" s="9">
        <v>6008.0</v>
      </c>
    </row>
    <row r="57" ht="15.75" customHeight="1">
      <c r="A57" s="5" t="s">
        <v>289</v>
      </c>
      <c r="B57" s="5" t="s">
        <v>292</v>
      </c>
      <c r="C57" s="5" t="s">
        <v>108</v>
      </c>
      <c r="D57" s="5" t="s">
        <v>20</v>
      </c>
      <c r="E57" s="5" t="s">
        <v>52</v>
      </c>
      <c r="F57" s="5" t="s">
        <v>53</v>
      </c>
      <c r="G57" s="6" t="s">
        <v>66</v>
      </c>
      <c r="H57" s="5">
        <v>16.33</v>
      </c>
      <c r="J57" s="5" t="str">
        <f t="shared" si="1"/>
        <v>Last Minute</v>
      </c>
      <c r="K57" s="9">
        <v>54777.0</v>
      </c>
    </row>
    <row r="58" ht="15.75" customHeight="1">
      <c r="A58" s="5" t="s">
        <v>299</v>
      </c>
      <c r="B58" s="5" t="s">
        <v>300</v>
      </c>
      <c r="C58" s="5" t="s">
        <v>108</v>
      </c>
      <c r="D58" s="5" t="s">
        <v>20</v>
      </c>
      <c r="E58" s="5" t="s">
        <v>52</v>
      </c>
      <c r="F58" s="5" t="s">
        <v>34</v>
      </c>
      <c r="G58" s="6" t="s">
        <v>66</v>
      </c>
      <c r="H58" s="5">
        <v>24.58</v>
      </c>
      <c r="I58" s="5">
        <v>4.0</v>
      </c>
      <c r="J58" s="5" t="str">
        <f t="shared" si="1"/>
        <v>Last Minute</v>
      </c>
      <c r="K58" s="9">
        <v>12222.0</v>
      </c>
    </row>
    <row r="59" ht="15.75" customHeight="1">
      <c r="A59" s="5" t="s">
        <v>301</v>
      </c>
      <c r="B59" s="5" t="s">
        <v>302</v>
      </c>
      <c r="C59" s="5" t="s">
        <v>108</v>
      </c>
      <c r="D59" s="5" t="s">
        <v>45</v>
      </c>
      <c r="E59" s="5" t="s">
        <v>49</v>
      </c>
      <c r="F59" s="5" t="s">
        <v>34</v>
      </c>
      <c r="G59" s="6" t="s">
        <v>66</v>
      </c>
      <c r="H59" s="5">
        <v>25.83</v>
      </c>
      <c r="I59" s="5">
        <v>4.0</v>
      </c>
      <c r="J59" s="5" t="str">
        <f t="shared" si="1"/>
        <v>Last Minute</v>
      </c>
      <c r="K59" s="9">
        <v>12150.0</v>
      </c>
    </row>
    <row r="60" ht="15.75" customHeight="1">
      <c r="A60" s="5" t="s">
        <v>307</v>
      </c>
      <c r="B60" s="5" t="s">
        <v>308</v>
      </c>
      <c r="C60" s="5" t="s">
        <v>108</v>
      </c>
      <c r="D60" s="5" t="s">
        <v>29</v>
      </c>
      <c r="E60" s="5" t="s">
        <v>32</v>
      </c>
      <c r="F60" s="5" t="s">
        <v>34</v>
      </c>
      <c r="G60" s="6" t="s">
        <v>37</v>
      </c>
      <c r="H60" s="5">
        <v>2.83</v>
      </c>
      <c r="J60" s="5" t="str">
        <f t="shared" si="1"/>
        <v>Last Minute</v>
      </c>
      <c r="K60" s="9">
        <v>4499.0</v>
      </c>
    </row>
    <row r="61" ht="15.75" customHeight="1">
      <c r="A61" s="5" t="s">
        <v>312</v>
      </c>
      <c r="B61" s="5" t="s">
        <v>313</v>
      </c>
      <c r="C61" s="5" t="s">
        <v>108</v>
      </c>
      <c r="D61" s="5" t="s">
        <v>20</v>
      </c>
      <c r="E61" s="5" t="s">
        <v>52</v>
      </c>
      <c r="F61" s="5" t="s">
        <v>34</v>
      </c>
      <c r="G61" s="6" t="s">
        <v>66</v>
      </c>
      <c r="H61" s="5">
        <v>12.0</v>
      </c>
      <c r="I61" s="5">
        <v>24.0</v>
      </c>
      <c r="J61" s="5" t="str">
        <f t="shared" si="1"/>
        <v>Moderate</v>
      </c>
      <c r="K61" s="9">
        <v>3662.0</v>
      </c>
    </row>
    <row r="62" ht="15.75" customHeight="1">
      <c r="A62" s="5" t="s">
        <v>315</v>
      </c>
      <c r="B62" s="5" t="s">
        <v>316</v>
      </c>
      <c r="C62" s="5" t="s">
        <v>108</v>
      </c>
      <c r="D62" s="5" t="s">
        <v>20</v>
      </c>
      <c r="E62" s="5" t="s">
        <v>52</v>
      </c>
      <c r="F62" s="5" t="s">
        <v>53</v>
      </c>
      <c r="G62" s="6" t="s">
        <v>66</v>
      </c>
      <c r="H62" s="5">
        <v>6.08</v>
      </c>
      <c r="I62" s="5">
        <v>37.0</v>
      </c>
      <c r="J62" s="5" t="str">
        <f t="shared" si="1"/>
        <v>Advance</v>
      </c>
      <c r="K62" s="9">
        <v>50297.0</v>
      </c>
    </row>
    <row r="63" ht="15.75" customHeight="1">
      <c r="A63" s="5" t="s">
        <v>319</v>
      </c>
      <c r="B63" s="5" t="s">
        <v>320</v>
      </c>
      <c r="C63" s="5" t="s">
        <v>108</v>
      </c>
      <c r="D63" s="5" t="s">
        <v>20</v>
      </c>
      <c r="E63" s="5" t="s">
        <v>52</v>
      </c>
      <c r="F63" s="5" t="s">
        <v>34</v>
      </c>
      <c r="G63" s="6" t="s">
        <v>66</v>
      </c>
      <c r="H63" s="5">
        <v>8.92</v>
      </c>
      <c r="I63" s="5">
        <v>49.0</v>
      </c>
      <c r="J63" s="5" t="str">
        <f t="shared" si="1"/>
        <v>Advance</v>
      </c>
      <c r="K63" s="9">
        <v>4496.0</v>
      </c>
    </row>
    <row r="64" ht="15.75" customHeight="1">
      <c r="A64" s="5" t="s">
        <v>324</v>
      </c>
      <c r="B64" s="5" t="s">
        <v>326</v>
      </c>
      <c r="C64" s="5" t="s">
        <v>108</v>
      </c>
      <c r="D64" s="5" t="s">
        <v>20</v>
      </c>
      <c r="E64" s="5" t="s">
        <v>52</v>
      </c>
      <c r="F64" s="5" t="s">
        <v>34</v>
      </c>
      <c r="G64" s="6" t="s">
        <v>66</v>
      </c>
      <c r="H64" s="5">
        <v>12.5</v>
      </c>
      <c r="I64" s="5">
        <v>42.0</v>
      </c>
      <c r="J64" s="5" t="str">
        <f t="shared" si="1"/>
        <v>Advance</v>
      </c>
      <c r="K64" s="9">
        <v>4496.0</v>
      </c>
    </row>
    <row r="65" ht="15.75" customHeight="1">
      <c r="A65" s="5" t="s">
        <v>329</v>
      </c>
      <c r="B65" s="5" t="s">
        <v>331</v>
      </c>
      <c r="C65" s="5" t="s">
        <v>108</v>
      </c>
      <c r="D65" s="5" t="s">
        <v>29</v>
      </c>
      <c r="E65" s="5" t="s">
        <v>32</v>
      </c>
      <c r="F65" s="5" t="s">
        <v>34</v>
      </c>
      <c r="G65" s="6" t="s">
        <v>66</v>
      </c>
      <c r="H65" s="5">
        <v>11.67</v>
      </c>
      <c r="I65" s="5">
        <v>48.0</v>
      </c>
      <c r="J65" s="5" t="str">
        <f t="shared" si="1"/>
        <v>Advance</v>
      </c>
      <c r="K65" s="9">
        <v>3090.0</v>
      </c>
    </row>
    <row r="66" ht="15.75" customHeight="1">
      <c r="A66" s="5" t="s">
        <v>335</v>
      </c>
      <c r="B66" s="5" t="s">
        <v>337</v>
      </c>
      <c r="C66" s="5" t="s">
        <v>108</v>
      </c>
      <c r="D66" s="5" t="s">
        <v>43</v>
      </c>
      <c r="E66" s="5" t="s">
        <v>68</v>
      </c>
      <c r="F66" s="5" t="s">
        <v>34</v>
      </c>
      <c r="G66" s="6" t="s">
        <v>66</v>
      </c>
      <c r="H66" s="5">
        <v>5.58</v>
      </c>
      <c r="I66" s="5">
        <v>27.0</v>
      </c>
      <c r="J66" s="5" t="str">
        <f t="shared" si="1"/>
        <v>Moderate</v>
      </c>
      <c r="K66" s="9">
        <v>3671.0</v>
      </c>
    </row>
    <row r="67" ht="15.75" customHeight="1">
      <c r="A67" s="5" t="s">
        <v>342</v>
      </c>
      <c r="B67" s="5" t="s">
        <v>343</v>
      </c>
      <c r="C67" s="5" t="s">
        <v>108</v>
      </c>
      <c r="D67" s="5" t="s">
        <v>45</v>
      </c>
      <c r="E67" s="5" t="s">
        <v>49</v>
      </c>
      <c r="F67" s="5" t="s">
        <v>34</v>
      </c>
      <c r="G67" s="6" t="s">
        <v>66</v>
      </c>
      <c r="H67" s="5">
        <v>24.92</v>
      </c>
      <c r="I67" s="5">
        <v>21.0</v>
      </c>
      <c r="J67" s="5" t="str">
        <f t="shared" si="1"/>
        <v>Moderate</v>
      </c>
      <c r="K67" s="9">
        <v>4742.0</v>
      </c>
    </row>
    <row r="68" ht="15.75" customHeight="1">
      <c r="A68" s="5" t="s">
        <v>348</v>
      </c>
      <c r="B68" s="5" t="s">
        <v>349</v>
      </c>
      <c r="C68" s="5" t="s">
        <v>108</v>
      </c>
      <c r="D68" s="5" t="s">
        <v>29</v>
      </c>
      <c r="E68" s="5" t="s">
        <v>32</v>
      </c>
      <c r="F68" s="5" t="s">
        <v>34</v>
      </c>
      <c r="G68" s="6" t="s">
        <v>180</v>
      </c>
      <c r="H68" s="5">
        <v>6.92</v>
      </c>
      <c r="I68" s="5">
        <v>43.0</v>
      </c>
      <c r="J68" s="5" t="str">
        <f t="shared" si="1"/>
        <v>Advance</v>
      </c>
      <c r="K68" s="9">
        <v>3090.0</v>
      </c>
    </row>
    <row r="69" ht="15.75" customHeight="1">
      <c r="A69" s="5" t="s">
        <v>352</v>
      </c>
      <c r="B69" s="5" t="s">
        <v>353</v>
      </c>
      <c r="C69" s="5" t="s">
        <v>108</v>
      </c>
      <c r="D69" s="5" t="s">
        <v>29</v>
      </c>
      <c r="E69" s="5" t="s">
        <v>32</v>
      </c>
      <c r="F69" s="5" t="s">
        <v>34</v>
      </c>
      <c r="G69" s="6" t="s">
        <v>180</v>
      </c>
      <c r="H69" s="5">
        <v>10.5</v>
      </c>
      <c r="I69" s="5">
        <v>46.0</v>
      </c>
      <c r="J69" s="5" t="str">
        <f t="shared" si="1"/>
        <v>Advance</v>
      </c>
      <c r="K69" s="9">
        <v>3090.0</v>
      </c>
    </row>
    <row r="70" ht="15.75" customHeight="1">
      <c r="A70" s="5" t="s">
        <v>356</v>
      </c>
      <c r="B70" s="5" t="s">
        <v>357</v>
      </c>
      <c r="C70" s="5" t="s">
        <v>108</v>
      </c>
      <c r="D70" s="5" t="s">
        <v>58</v>
      </c>
      <c r="E70" s="5" t="s">
        <v>59</v>
      </c>
      <c r="F70" s="5" t="s">
        <v>34</v>
      </c>
      <c r="G70" s="6" t="s">
        <v>66</v>
      </c>
      <c r="H70" s="5">
        <v>8.75</v>
      </c>
      <c r="I70" s="5">
        <v>46.0</v>
      </c>
      <c r="J70" s="5" t="str">
        <f t="shared" si="1"/>
        <v>Advance</v>
      </c>
      <c r="K70" s="9">
        <v>4020.0</v>
      </c>
    </row>
    <row r="71" ht="15.75" customHeight="1">
      <c r="A71" s="5" t="s">
        <v>359</v>
      </c>
      <c r="B71" s="5" t="s">
        <v>360</v>
      </c>
      <c r="C71" s="5" t="s">
        <v>108</v>
      </c>
      <c r="D71" s="5" t="s">
        <v>72</v>
      </c>
      <c r="E71" s="5" t="s">
        <v>266</v>
      </c>
      <c r="F71" s="5" t="s">
        <v>34</v>
      </c>
      <c r="G71" s="6" t="s">
        <v>66</v>
      </c>
      <c r="H71" s="5">
        <v>8.42</v>
      </c>
      <c r="I71" s="5">
        <v>46.0</v>
      </c>
      <c r="J71" s="5" t="str">
        <f t="shared" si="1"/>
        <v>Advance</v>
      </c>
      <c r="K71" s="9">
        <v>4152.0</v>
      </c>
    </row>
    <row r="72" ht="15.75" customHeight="1">
      <c r="A72" s="5" t="s">
        <v>364</v>
      </c>
      <c r="B72" s="5" t="s">
        <v>365</v>
      </c>
      <c r="C72" s="5" t="s">
        <v>108</v>
      </c>
      <c r="D72" s="5" t="s">
        <v>45</v>
      </c>
      <c r="E72" s="5" t="s">
        <v>49</v>
      </c>
      <c r="F72" s="5" t="s">
        <v>34</v>
      </c>
      <c r="G72" s="6" t="s">
        <v>66</v>
      </c>
      <c r="H72" s="5">
        <v>11.92</v>
      </c>
      <c r="I72" s="5">
        <v>47.0</v>
      </c>
      <c r="J72" s="5" t="str">
        <f t="shared" si="1"/>
        <v>Advance</v>
      </c>
      <c r="K72" s="9">
        <v>4230.0</v>
      </c>
    </row>
    <row r="73" ht="15.75" customHeight="1">
      <c r="A73" s="5" t="s">
        <v>368</v>
      </c>
      <c r="B73" s="5" t="s">
        <v>369</v>
      </c>
      <c r="C73" s="5" t="s">
        <v>108</v>
      </c>
      <c r="D73" s="5" t="s">
        <v>45</v>
      </c>
      <c r="E73" s="5" t="s">
        <v>49</v>
      </c>
      <c r="F73" s="5" t="s">
        <v>53</v>
      </c>
      <c r="G73" s="6" t="s">
        <v>66</v>
      </c>
      <c r="H73" s="5">
        <v>13.92</v>
      </c>
      <c r="I73" s="5">
        <v>45.0</v>
      </c>
      <c r="J73" s="5" t="str">
        <f t="shared" si="1"/>
        <v>Advance</v>
      </c>
      <c r="K73" s="9">
        <v>42457.0</v>
      </c>
    </row>
    <row r="74" ht="15.75" customHeight="1">
      <c r="A74" s="5" t="s">
        <v>371</v>
      </c>
      <c r="B74" s="5" t="s">
        <v>373</v>
      </c>
      <c r="C74" s="5" t="s">
        <v>108</v>
      </c>
      <c r="D74" s="5" t="s">
        <v>72</v>
      </c>
      <c r="E74" s="5" t="s">
        <v>266</v>
      </c>
      <c r="F74" s="5" t="s">
        <v>34</v>
      </c>
      <c r="G74" s="6" t="s">
        <v>37</v>
      </c>
      <c r="H74" s="5">
        <v>2.75</v>
      </c>
      <c r="I74" s="5">
        <v>46.0</v>
      </c>
      <c r="J74" s="5" t="str">
        <f t="shared" si="1"/>
        <v>Advance</v>
      </c>
      <c r="K74" s="9">
        <v>4500.0</v>
      </c>
    </row>
    <row r="75" ht="15.75" customHeight="1">
      <c r="A75" s="5" t="s">
        <v>377</v>
      </c>
      <c r="B75" s="5" t="s">
        <v>378</v>
      </c>
      <c r="C75" s="5" t="s">
        <v>108</v>
      </c>
      <c r="D75" s="5" t="s">
        <v>20</v>
      </c>
      <c r="E75" s="5" t="s">
        <v>52</v>
      </c>
      <c r="F75" s="5" t="s">
        <v>53</v>
      </c>
      <c r="G75" s="6" t="s">
        <v>66</v>
      </c>
      <c r="H75" s="5">
        <v>8.83</v>
      </c>
      <c r="I75" s="5">
        <v>45.0</v>
      </c>
      <c r="J75" s="5" t="str">
        <f t="shared" si="1"/>
        <v>Advance</v>
      </c>
      <c r="K75" s="9">
        <v>48234.0</v>
      </c>
    </row>
    <row r="76" ht="15.75" customHeight="1">
      <c r="A76" s="5" t="s">
        <v>381</v>
      </c>
      <c r="B76" s="5" t="s">
        <v>382</v>
      </c>
      <c r="C76" s="5" t="s">
        <v>108</v>
      </c>
      <c r="D76" s="5" t="s">
        <v>45</v>
      </c>
      <c r="E76" s="5" t="s">
        <v>49</v>
      </c>
      <c r="F76" s="5" t="s">
        <v>34</v>
      </c>
      <c r="G76" s="6" t="s">
        <v>66</v>
      </c>
      <c r="H76" s="5">
        <v>6.75</v>
      </c>
      <c r="J76" s="5" t="str">
        <f t="shared" si="1"/>
        <v>Last Minute</v>
      </c>
      <c r="K76" s="9">
        <v>6177.0</v>
      </c>
    </row>
    <row r="77" ht="15.75" customHeight="1">
      <c r="A77" s="5" t="s">
        <v>386</v>
      </c>
      <c r="B77" s="5" t="s">
        <v>388</v>
      </c>
      <c r="C77" s="5" t="s">
        <v>108</v>
      </c>
      <c r="D77" s="5" t="s">
        <v>58</v>
      </c>
      <c r="E77" s="5" t="s">
        <v>59</v>
      </c>
      <c r="F77" s="5" t="s">
        <v>34</v>
      </c>
      <c r="G77" s="6" t="s">
        <v>66</v>
      </c>
      <c r="H77" s="5">
        <v>9.08</v>
      </c>
      <c r="I77" s="5">
        <v>46.0</v>
      </c>
      <c r="J77" s="5" t="str">
        <f t="shared" si="1"/>
        <v>Advance</v>
      </c>
      <c r="K77" s="9">
        <v>5610.0</v>
      </c>
    </row>
    <row r="78" ht="15.75" customHeight="1">
      <c r="A78" s="5" t="s">
        <v>390</v>
      </c>
      <c r="B78" s="5" t="s">
        <v>391</v>
      </c>
      <c r="C78" s="5" t="s">
        <v>108</v>
      </c>
      <c r="D78" s="5" t="s">
        <v>20</v>
      </c>
      <c r="E78" s="5" t="s">
        <v>52</v>
      </c>
      <c r="F78" s="5" t="s">
        <v>34</v>
      </c>
      <c r="G78" s="6" t="s">
        <v>66</v>
      </c>
      <c r="H78" s="5">
        <v>14.17</v>
      </c>
      <c r="I78" s="5">
        <v>48.0</v>
      </c>
      <c r="J78" s="5" t="str">
        <f t="shared" si="1"/>
        <v>Advance</v>
      </c>
      <c r="K78" s="9">
        <v>7023.0</v>
      </c>
    </row>
    <row r="79" ht="15.75" customHeight="1">
      <c r="A79" s="5" t="s">
        <v>395</v>
      </c>
      <c r="B79" s="5" t="s">
        <v>396</v>
      </c>
      <c r="C79" s="5" t="s">
        <v>108</v>
      </c>
      <c r="D79" s="5" t="s">
        <v>20</v>
      </c>
      <c r="E79" s="5" t="s">
        <v>52</v>
      </c>
      <c r="F79" s="5" t="s">
        <v>34</v>
      </c>
      <c r="G79" s="6" t="s">
        <v>66</v>
      </c>
      <c r="H79" s="5">
        <v>17.08</v>
      </c>
      <c r="I79" s="5">
        <v>46.0</v>
      </c>
      <c r="J79" s="5" t="str">
        <f t="shared" si="1"/>
        <v>Advance</v>
      </c>
      <c r="K79" s="9">
        <v>7023.0</v>
      </c>
    </row>
    <row r="80" ht="15.75" customHeight="1">
      <c r="A80" s="5" t="s">
        <v>399</v>
      </c>
      <c r="B80" s="5" t="s">
        <v>401</v>
      </c>
      <c r="C80" s="5" t="s">
        <v>131</v>
      </c>
      <c r="D80" s="5" t="s">
        <v>43</v>
      </c>
      <c r="E80" s="5" t="s">
        <v>68</v>
      </c>
      <c r="F80" s="5" t="s">
        <v>34</v>
      </c>
      <c r="G80" s="6" t="s">
        <v>37</v>
      </c>
      <c r="H80" s="5">
        <v>2.25</v>
      </c>
      <c r="I80" s="5">
        <v>1.0</v>
      </c>
      <c r="J80" s="5" t="str">
        <f t="shared" si="1"/>
        <v>Last Minute</v>
      </c>
      <c r="K80" s="9">
        <v>5955.0</v>
      </c>
    </row>
    <row r="81" ht="15.75" customHeight="1">
      <c r="A81" s="5" t="s">
        <v>403</v>
      </c>
      <c r="B81" s="5" t="s">
        <v>404</v>
      </c>
      <c r="C81" s="5" t="s">
        <v>131</v>
      </c>
      <c r="D81" s="5" t="s">
        <v>43</v>
      </c>
      <c r="E81" s="5" t="s">
        <v>68</v>
      </c>
      <c r="F81" s="5" t="s">
        <v>34</v>
      </c>
      <c r="G81" s="6" t="s">
        <v>66</v>
      </c>
      <c r="H81" s="5">
        <v>5.67</v>
      </c>
      <c r="I81" s="5">
        <v>16.0</v>
      </c>
      <c r="J81" s="5" t="str">
        <f t="shared" si="1"/>
        <v>Moderate</v>
      </c>
      <c r="K81" s="9">
        <v>5955.0</v>
      </c>
    </row>
    <row r="82" ht="15.75" customHeight="1">
      <c r="A82" s="5" t="s">
        <v>406</v>
      </c>
      <c r="B82" s="5" t="s">
        <v>407</v>
      </c>
      <c r="C82" s="5" t="s">
        <v>131</v>
      </c>
      <c r="D82" s="5" t="s">
        <v>43</v>
      </c>
      <c r="E82" s="5" t="s">
        <v>68</v>
      </c>
      <c r="F82" s="5" t="s">
        <v>34</v>
      </c>
      <c r="G82" s="6" t="s">
        <v>37</v>
      </c>
      <c r="H82" s="5">
        <v>2.17</v>
      </c>
      <c r="I82" s="5">
        <v>1.0</v>
      </c>
      <c r="J82" s="5" t="str">
        <f t="shared" si="1"/>
        <v>Last Minute</v>
      </c>
      <c r="K82" s="9">
        <v>6270.0</v>
      </c>
    </row>
    <row r="83" ht="15.75" customHeight="1">
      <c r="A83" s="5" t="s">
        <v>411</v>
      </c>
      <c r="B83" s="5" t="s">
        <v>412</v>
      </c>
      <c r="C83" s="5" t="s">
        <v>131</v>
      </c>
      <c r="D83" s="5" t="s">
        <v>72</v>
      </c>
      <c r="E83" s="5" t="s">
        <v>266</v>
      </c>
      <c r="F83" s="5" t="s">
        <v>34</v>
      </c>
      <c r="G83" s="6" t="s">
        <v>37</v>
      </c>
      <c r="H83" s="5">
        <v>2.17</v>
      </c>
      <c r="I83" s="5">
        <v>38.0</v>
      </c>
      <c r="J83" s="5" t="str">
        <f t="shared" si="1"/>
        <v>Advance</v>
      </c>
      <c r="K83" s="9">
        <v>4000.0</v>
      </c>
    </row>
    <row r="84" ht="15.75" customHeight="1">
      <c r="A84" s="5" t="s">
        <v>415</v>
      </c>
      <c r="B84" s="5" t="s">
        <v>416</v>
      </c>
      <c r="C84" s="5" t="s">
        <v>131</v>
      </c>
      <c r="D84" s="5" t="s">
        <v>45</v>
      </c>
      <c r="E84" s="5" t="s">
        <v>49</v>
      </c>
      <c r="F84" s="5" t="s">
        <v>53</v>
      </c>
      <c r="G84" s="6" t="s">
        <v>37</v>
      </c>
      <c r="H84" s="5">
        <v>2.17</v>
      </c>
      <c r="I84" s="5">
        <v>34.0</v>
      </c>
      <c r="J84" s="5" t="str">
        <f t="shared" si="1"/>
        <v>Advance</v>
      </c>
      <c r="K84" s="9">
        <v>27976.0</v>
      </c>
    </row>
    <row r="85" ht="15.75" customHeight="1">
      <c r="A85" s="5" t="s">
        <v>421</v>
      </c>
      <c r="B85" s="5" t="s">
        <v>422</v>
      </c>
      <c r="C85" s="5" t="s">
        <v>131</v>
      </c>
      <c r="D85" s="5" t="s">
        <v>45</v>
      </c>
      <c r="E85" s="5" t="s">
        <v>49</v>
      </c>
      <c r="F85" s="5" t="s">
        <v>34</v>
      </c>
      <c r="G85" s="6" t="s">
        <v>66</v>
      </c>
      <c r="H85" s="5">
        <v>29.83</v>
      </c>
      <c r="I85" s="5">
        <v>24.0</v>
      </c>
      <c r="J85" s="5" t="str">
        <f t="shared" si="1"/>
        <v>Moderate</v>
      </c>
      <c r="K85" s="9">
        <v>5805.0</v>
      </c>
    </row>
    <row r="86" ht="15.75" customHeight="1">
      <c r="A86" s="5" t="s">
        <v>426</v>
      </c>
      <c r="B86" s="5" t="s">
        <v>427</v>
      </c>
      <c r="C86" s="5" t="s">
        <v>131</v>
      </c>
      <c r="D86" s="5" t="s">
        <v>43</v>
      </c>
      <c r="E86" s="5" t="s">
        <v>68</v>
      </c>
      <c r="F86" s="5" t="s">
        <v>34</v>
      </c>
      <c r="G86" s="6" t="s">
        <v>66</v>
      </c>
      <c r="H86" s="5">
        <v>8.0</v>
      </c>
      <c r="J86" s="5" t="str">
        <f t="shared" si="1"/>
        <v>Last Minute</v>
      </c>
      <c r="K86" s="9">
        <v>14985.0</v>
      </c>
    </row>
    <row r="87" ht="15.75" customHeight="1">
      <c r="A87" s="5" t="s">
        <v>431</v>
      </c>
      <c r="B87" s="5" t="s">
        <v>432</v>
      </c>
      <c r="C87" s="5" t="s">
        <v>131</v>
      </c>
      <c r="D87" s="5" t="s">
        <v>58</v>
      </c>
      <c r="E87" s="5" t="s">
        <v>59</v>
      </c>
      <c r="F87" s="5" t="s">
        <v>34</v>
      </c>
      <c r="G87" s="6" t="s">
        <v>66</v>
      </c>
      <c r="H87" s="5">
        <v>9.25</v>
      </c>
      <c r="I87" s="5">
        <v>38.0</v>
      </c>
      <c r="J87" s="5" t="str">
        <f t="shared" si="1"/>
        <v>Advance</v>
      </c>
      <c r="K87" s="9">
        <v>7336.0</v>
      </c>
    </row>
    <row r="88" ht="15.75" customHeight="1">
      <c r="A88" s="5" t="s">
        <v>436</v>
      </c>
      <c r="B88" s="5" t="s">
        <v>437</v>
      </c>
      <c r="C88" s="5" t="s">
        <v>131</v>
      </c>
      <c r="D88" s="5" t="s">
        <v>58</v>
      </c>
      <c r="E88" s="5" t="s">
        <v>59</v>
      </c>
      <c r="F88" s="5" t="s">
        <v>34</v>
      </c>
      <c r="G88" s="6" t="s">
        <v>66</v>
      </c>
      <c r="H88" s="5">
        <v>15.58</v>
      </c>
      <c r="I88" s="5">
        <v>38.0</v>
      </c>
      <c r="J88" s="5" t="str">
        <f t="shared" si="1"/>
        <v>Advance</v>
      </c>
      <c r="K88" s="9">
        <v>6395.0</v>
      </c>
    </row>
    <row r="89" ht="15.75" customHeight="1">
      <c r="A89" s="5" t="s">
        <v>442</v>
      </c>
      <c r="B89" s="5" t="s">
        <v>443</v>
      </c>
      <c r="C89" s="5" t="s">
        <v>131</v>
      </c>
      <c r="D89" s="5" t="s">
        <v>20</v>
      </c>
      <c r="E89" s="5" t="s">
        <v>52</v>
      </c>
      <c r="F89" s="5" t="s">
        <v>34</v>
      </c>
      <c r="G89" s="6" t="s">
        <v>66</v>
      </c>
      <c r="H89" s="5">
        <v>5.58</v>
      </c>
      <c r="I89" s="5">
        <v>39.0</v>
      </c>
      <c r="J89" s="5" t="str">
        <f t="shared" si="1"/>
        <v>Advance</v>
      </c>
      <c r="K89" s="9">
        <v>6578.0</v>
      </c>
    </row>
    <row r="90" ht="15.75" customHeight="1">
      <c r="A90" s="5" t="s">
        <v>446</v>
      </c>
      <c r="B90" s="5" t="s">
        <v>448</v>
      </c>
      <c r="C90" s="5" t="s">
        <v>131</v>
      </c>
      <c r="D90" s="5" t="s">
        <v>45</v>
      </c>
      <c r="E90" s="5" t="s">
        <v>49</v>
      </c>
      <c r="F90" s="5" t="s">
        <v>53</v>
      </c>
      <c r="G90" s="6" t="s">
        <v>66</v>
      </c>
      <c r="H90" s="5">
        <v>29.17</v>
      </c>
      <c r="I90" s="5">
        <v>13.0</v>
      </c>
      <c r="J90" s="5" t="str">
        <f t="shared" si="1"/>
        <v>Short Notice</v>
      </c>
      <c r="K90" s="9">
        <v>48882.0</v>
      </c>
    </row>
    <row r="91" ht="15.75" customHeight="1">
      <c r="A91" s="5" t="s">
        <v>451</v>
      </c>
      <c r="B91" s="5" t="s">
        <v>453</v>
      </c>
      <c r="C91" s="5" t="s">
        <v>131</v>
      </c>
      <c r="D91" s="5" t="s">
        <v>72</v>
      </c>
      <c r="E91" s="5" t="s">
        <v>266</v>
      </c>
      <c r="F91" s="5" t="s">
        <v>34</v>
      </c>
      <c r="G91" s="6" t="s">
        <v>66</v>
      </c>
      <c r="H91" s="5">
        <v>24.58</v>
      </c>
      <c r="I91" s="5">
        <v>2.0</v>
      </c>
      <c r="J91" s="5" t="str">
        <f t="shared" si="1"/>
        <v>Last Minute</v>
      </c>
      <c r="K91" s="9">
        <v>27769.0</v>
      </c>
    </row>
    <row r="92" ht="15.75" customHeight="1">
      <c r="A92" s="5" t="s">
        <v>455</v>
      </c>
      <c r="B92" s="5" t="s">
        <v>456</v>
      </c>
      <c r="C92" s="5" t="s">
        <v>131</v>
      </c>
      <c r="D92" s="5" t="s">
        <v>20</v>
      </c>
      <c r="E92" s="5" t="s">
        <v>52</v>
      </c>
      <c r="F92" s="5" t="s">
        <v>34</v>
      </c>
      <c r="G92" s="6" t="s">
        <v>180</v>
      </c>
      <c r="H92" s="5">
        <v>19.42</v>
      </c>
      <c r="I92" s="5">
        <v>1.0</v>
      </c>
      <c r="J92" s="5" t="str">
        <f t="shared" si="1"/>
        <v>Last Minute</v>
      </c>
      <c r="K92" s="9">
        <v>25958.0</v>
      </c>
    </row>
    <row r="93" ht="15.75" customHeight="1">
      <c r="A93" s="5" t="s">
        <v>458</v>
      </c>
      <c r="B93" s="5" t="s">
        <v>459</v>
      </c>
      <c r="C93" s="5" t="s">
        <v>131</v>
      </c>
      <c r="D93" s="5" t="s">
        <v>72</v>
      </c>
      <c r="E93" s="5" t="s">
        <v>266</v>
      </c>
      <c r="F93" s="5" t="s">
        <v>34</v>
      </c>
      <c r="G93" s="6" t="s">
        <v>66</v>
      </c>
      <c r="H93" s="5">
        <v>11.25</v>
      </c>
      <c r="I93" s="5">
        <v>38.0</v>
      </c>
      <c r="J93" s="5" t="str">
        <f t="shared" si="1"/>
        <v>Advance</v>
      </c>
      <c r="K93" s="9">
        <v>6129.0</v>
      </c>
    </row>
    <row r="94" ht="15.75" customHeight="1">
      <c r="A94" s="5" t="s">
        <v>463</v>
      </c>
      <c r="B94" s="5" t="s">
        <v>464</v>
      </c>
      <c r="C94" s="5" t="s">
        <v>131</v>
      </c>
      <c r="D94" s="5" t="s">
        <v>20</v>
      </c>
      <c r="E94" s="5" t="s">
        <v>52</v>
      </c>
      <c r="F94" s="5" t="s">
        <v>53</v>
      </c>
      <c r="G94" s="6" t="s">
        <v>66</v>
      </c>
      <c r="H94" s="5">
        <v>3.08</v>
      </c>
      <c r="I94" s="5">
        <v>3.0</v>
      </c>
      <c r="J94" s="5" t="str">
        <f t="shared" si="1"/>
        <v>Last Minute</v>
      </c>
      <c r="K94" s="9">
        <v>38056.0</v>
      </c>
    </row>
    <row r="95" ht="15.75" customHeight="1">
      <c r="A95" s="5" t="s">
        <v>468</v>
      </c>
      <c r="B95" s="5" t="s">
        <v>469</v>
      </c>
      <c r="C95" s="5" t="s">
        <v>131</v>
      </c>
      <c r="D95" s="5" t="s">
        <v>45</v>
      </c>
      <c r="E95" s="5" t="s">
        <v>49</v>
      </c>
      <c r="F95" s="5" t="s">
        <v>34</v>
      </c>
      <c r="G95" s="6" t="s">
        <v>66</v>
      </c>
      <c r="H95" s="5">
        <v>12.83</v>
      </c>
      <c r="I95" s="5">
        <v>43.0</v>
      </c>
      <c r="J95" s="5" t="str">
        <f t="shared" si="1"/>
        <v>Advance</v>
      </c>
      <c r="K95" s="9">
        <v>5276.0</v>
      </c>
    </row>
    <row r="96" ht="15.75" customHeight="1">
      <c r="A96" s="5" t="s">
        <v>471</v>
      </c>
      <c r="B96" s="5" t="s">
        <v>473</v>
      </c>
      <c r="C96" s="5" t="s">
        <v>131</v>
      </c>
      <c r="D96" s="5" t="s">
        <v>45</v>
      </c>
      <c r="E96" s="5" t="s">
        <v>49</v>
      </c>
      <c r="F96" s="5" t="s">
        <v>34</v>
      </c>
      <c r="G96" s="6" t="s">
        <v>66</v>
      </c>
      <c r="H96" s="5">
        <v>18.17</v>
      </c>
      <c r="I96" s="5">
        <v>2.0</v>
      </c>
      <c r="J96" s="5" t="str">
        <f t="shared" si="1"/>
        <v>Last Minute</v>
      </c>
      <c r="K96" s="9">
        <v>13410.0</v>
      </c>
    </row>
    <row r="97" ht="15.75" customHeight="1">
      <c r="A97" s="5" t="s">
        <v>477</v>
      </c>
      <c r="B97" s="5" t="s">
        <v>478</v>
      </c>
      <c r="C97" s="5" t="s">
        <v>131</v>
      </c>
      <c r="D97" s="5" t="s">
        <v>20</v>
      </c>
      <c r="E97" s="5" t="s">
        <v>52</v>
      </c>
      <c r="F97" s="5" t="s">
        <v>34</v>
      </c>
      <c r="G97" s="6" t="s">
        <v>66</v>
      </c>
      <c r="H97" s="5">
        <v>25.33</v>
      </c>
      <c r="I97" s="5">
        <v>33.0</v>
      </c>
      <c r="J97" s="5" t="str">
        <f t="shared" si="1"/>
        <v>Advance</v>
      </c>
      <c r="K97" s="9">
        <v>6578.0</v>
      </c>
    </row>
    <row r="98" ht="15.75" customHeight="1">
      <c r="A98" s="5" t="s">
        <v>481</v>
      </c>
      <c r="B98" s="5" t="s">
        <v>482</v>
      </c>
      <c r="C98" s="5" t="s">
        <v>131</v>
      </c>
      <c r="D98" s="5" t="s">
        <v>45</v>
      </c>
      <c r="E98" s="5" t="s">
        <v>49</v>
      </c>
      <c r="F98" s="5" t="s">
        <v>34</v>
      </c>
      <c r="G98" s="6" t="s">
        <v>66</v>
      </c>
      <c r="H98" s="5">
        <v>25.83</v>
      </c>
      <c r="I98" s="5">
        <v>3.0</v>
      </c>
      <c r="J98" s="5" t="str">
        <f t="shared" si="1"/>
        <v>Last Minute</v>
      </c>
      <c r="K98" s="9">
        <v>12255.0</v>
      </c>
    </row>
    <row r="99" ht="15.75" customHeight="1">
      <c r="A99" s="5" t="s">
        <v>485</v>
      </c>
      <c r="B99" s="5" t="s">
        <v>487</v>
      </c>
      <c r="C99" s="5" t="s">
        <v>131</v>
      </c>
      <c r="D99" s="5" t="s">
        <v>20</v>
      </c>
      <c r="E99" s="5" t="s">
        <v>52</v>
      </c>
      <c r="F99" s="5" t="s">
        <v>34</v>
      </c>
      <c r="G99" s="6" t="s">
        <v>66</v>
      </c>
      <c r="H99" s="5">
        <v>26.17</v>
      </c>
      <c r="I99" s="5">
        <v>39.0</v>
      </c>
      <c r="J99" s="5" t="str">
        <f t="shared" si="1"/>
        <v>Advance</v>
      </c>
      <c r="K99" s="9">
        <v>7221.0</v>
      </c>
    </row>
    <row r="100" ht="15.75" customHeight="1">
      <c r="A100" s="5" t="s">
        <v>490</v>
      </c>
      <c r="B100" s="5" t="s">
        <v>492</v>
      </c>
      <c r="C100" s="5" t="s">
        <v>131</v>
      </c>
      <c r="D100" s="5" t="s">
        <v>20</v>
      </c>
      <c r="E100" s="5" t="s">
        <v>52</v>
      </c>
      <c r="F100" s="5" t="s">
        <v>34</v>
      </c>
      <c r="G100" s="6" t="s">
        <v>66</v>
      </c>
      <c r="H100" s="5">
        <v>8.0</v>
      </c>
      <c r="I100" s="5">
        <v>34.0</v>
      </c>
      <c r="J100" s="5" t="str">
        <f t="shared" si="1"/>
        <v>Advance</v>
      </c>
      <c r="K100" s="9">
        <v>6578.0</v>
      </c>
    </row>
    <row r="101" ht="15.75" customHeight="1">
      <c r="A101" s="5" t="s">
        <v>494</v>
      </c>
      <c r="B101" s="5" t="s">
        <v>495</v>
      </c>
      <c r="C101" s="5" t="s">
        <v>131</v>
      </c>
      <c r="D101" s="5" t="s">
        <v>45</v>
      </c>
      <c r="E101" s="5" t="s">
        <v>49</v>
      </c>
      <c r="F101" s="5" t="s">
        <v>34</v>
      </c>
      <c r="G101" s="6" t="s">
        <v>66</v>
      </c>
      <c r="H101" s="5">
        <v>25.5</v>
      </c>
      <c r="I101" s="5">
        <v>31.0</v>
      </c>
      <c r="J101" s="5" t="str">
        <f t="shared" si="1"/>
        <v>Advance</v>
      </c>
      <c r="K101" s="9">
        <v>4391.0</v>
      </c>
    </row>
    <row r="102" ht="15.75" customHeight="1">
      <c r="A102" s="5" t="s">
        <v>497</v>
      </c>
      <c r="B102" s="5" t="s">
        <v>499</v>
      </c>
      <c r="C102" s="5" t="s">
        <v>131</v>
      </c>
      <c r="D102" s="5" t="s">
        <v>45</v>
      </c>
      <c r="E102" s="5" t="s">
        <v>49</v>
      </c>
      <c r="F102" s="5" t="s">
        <v>34</v>
      </c>
      <c r="G102" s="6" t="s">
        <v>66</v>
      </c>
      <c r="H102" s="5">
        <v>10.25</v>
      </c>
      <c r="I102" s="5">
        <v>5.0</v>
      </c>
      <c r="J102" s="5" t="str">
        <f t="shared" si="1"/>
        <v>Last Minute</v>
      </c>
      <c r="K102" s="9">
        <v>12150.0</v>
      </c>
    </row>
    <row r="103" ht="15.75" customHeight="1">
      <c r="A103" s="5" t="s">
        <v>502</v>
      </c>
      <c r="B103" s="5" t="s">
        <v>503</v>
      </c>
      <c r="C103" s="5" t="s">
        <v>131</v>
      </c>
      <c r="D103" s="5" t="s">
        <v>43</v>
      </c>
      <c r="E103" s="5" t="s">
        <v>68</v>
      </c>
      <c r="F103" s="5" t="s">
        <v>34</v>
      </c>
      <c r="G103" s="6" t="s">
        <v>66</v>
      </c>
      <c r="H103" s="5">
        <v>5.33</v>
      </c>
      <c r="I103" s="5">
        <v>10.0</v>
      </c>
      <c r="J103" s="5" t="str">
        <f t="shared" si="1"/>
        <v>Short Notice</v>
      </c>
      <c r="K103" s="9">
        <v>7336.0</v>
      </c>
    </row>
    <row r="104" ht="15.75" customHeight="1">
      <c r="A104" s="5" t="s">
        <v>507</v>
      </c>
      <c r="B104" s="5" t="s">
        <v>509</v>
      </c>
      <c r="C104" s="5" t="s">
        <v>131</v>
      </c>
      <c r="D104" s="5" t="s">
        <v>29</v>
      </c>
      <c r="E104" s="5" t="s">
        <v>32</v>
      </c>
      <c r="F104" s="5" t="s">
        <v>34</v>
      </c>
      <c r="G104" s="6" t="s">
        <v>180</v>
      </c>
      <c r="H104" s="5">
        <v>10.17</v>
      </c>
      <c r="I104" s="5">
        <v>29.0</v>
      </c>
      <c r="J104" s="5" t="str">
        <f t="shared" si="1"/>
        <v>Moderate</v>
      </c>
      <c r="K104" s="9">
        <v>3175.0</v>
      </c>
    </row>
    <row r="105" ht="15.75" customHeight="1">
      <c r="A105" s="5" t="s">
        <v>511</v>
      </c>
      <c r="B105" s="5" t="s">
        <v>512</v>
      </c>
      <c r="C105" s="5" t="s">
        <v>131</v>
      </c>
      <c r="D105" s="5" t="s">
        <v>58</v>
      </c>
      <c r="E105" s="5" t="s">
        <v>59</v>
      </c>
      <c r="F105" s="5" t="s">
        <v>34</v>
      </c>
      <c r="G105" s="6" t="s">
        <v>66</v>
      </c>
      <c r="H105" s="5">
        <v>6.58</v>
      </c>
      <c r="I105" s="5">
        <v>26.0</v>
      </c>
      <c r="J105" s="5" t="str">
        <f t="shared" si="1"/>
        <v>Moderate</v>
      </c>
      <c r="K105" s="9">
        <v>5954.0</v>
      </c>
    </row>
    <row r="106" ht="15.75" customHeight="1">
      <c r="A106" s="5" t="s">
        <v>513</v>
      </c>
      <c r="B106" s="5" t="s">
        <v>515</v>
      </c>
      <c r="C106" s="5" t="s">
        <v>131</v>
      </c>
      <c r="D106" s="5" t="s">
        <v>58</v>
      </c>
      <c r="E106" s="5" t="s">
        <v>59</v>
      </c>
      <c r="F106" s="5" t="s">
        <v>34</v>
      </c>
      <c r="G106" s="6" t="s">
        <v>66</v>
      </c>
      <c r="H106" s="5">
        <v>7.0</v>
      </c>
      <c r="I106" s="5">
        <v>26.0</v>
      </c>
      <c r="J106" s="5" t="str">
        <f t="shared" si="1"/>
        <v>Moderate</v>
      </c>
      <c r="K106" s="9">
        <v>6395.0</v>
      </c>
    </row>
    <row r="107" ht="15.75" customHeight="1">
      <c r="A107" s="5" t="s">
        <v>518</v>
      </c>
      <c r="B107" s="5" t="s">
        <v>520</v>
      </c>
      <c r="C107" s="5" t="s">
        <v>131</v>
      </c>
      <c r="D107" s="5" t="s">
        <v>58</v>
      </c>
      <c r="E107" s="5" t="s">
        <v>59</v>
      </c>
      <c r="F107" s="5" t="s">
        <v>34</v>
      </c>
      <c r="G107" s="6" t="s">
        <v>66</v>
      </c>
      <c r="H107" s="5">
        <v>9.5</v>
      </c>
      <c r="I107" s="5">
        <v>26.0</v>
      </c>
      <c r="J107" s="5" t="str">
        <f t="shared" si="1"/>
        <v>Moderate</v>
      </c>
      <c r="K107" s="9">
        <v>6395.0</v>
      </c>
    </row>
    <row r="108" ht="15.75" customHeight="1">
      <c r="A108" s="5" t="s">
        <v>523</v>
      </c>
      <c r="B108" s="5" t="s">
        <v>524</v>
      </c>
      <c r="C108" s="5" t="s">
        <v>131</v>
      </c>
      <c r="D108" s="5" t="s">
        <v>45</v>
      </c>
      <c r="E108" s="5" t="s">
        <v>49</v>
      </c>
      <c r="F108" s="5" t="s">
        <v>34</v>
      </c>
      <c r="G108" s="6" t="s">
        <v>180</v>
      </c>
      <c r="H108" s="5">
        <v>27.25</v>
      </c>
      <c r="I108" s="5">
        <v>32.0</v>
      </c>
      <c r="J108" s="5" t="str">
        <f t="shared" si="1"/>
        <v>Advance</v>
      </c>
      <c r="K108" s="9">
        <v>7336.0</v>
      </c>
    </row>
    <row r="109" ht="15.75" customHeight="1">
      <c r="A109" s="5" t="s">
        <v>526</v>
      </c>
      <c r="B109" s="5" t="s">
        <v>527</v>
      </c>
      <c r="C109" s="5" t="s">
        <v>131</v>
      </c>
      <c r="D109" s="5" t="s">
        <v>43</v>
      </c>
      <c r="E109" s="5" t="s">
        <v>68</v>
      </c>
      <c r="F109" s="5" t="s">
        <v>34</v>
      </c>
      <c r="G109" s="6" t="s">
        <v>66</v>
      </c>
      <c r="H109" s="5">
        <v>5.17</v>
      </c>
      <c r="I109" s="5">
        <v>46.0</v>
      </c>
      <c r="J109" s="5" t="str">
        <f t="shared" si="1"/>
        <v>Advance</v>
      </c>
      <c r="K109" s="9">
        <v>2482.0</v>
      </c>
    </row>
    <row r="110" ht="15.75" customHeight="1">
      <c r="A110" s="5" t="s">
        <v>528</v>
      </c>
      <c r="B110" s="5" t="s">
        <v>529</v>
      </c>
      <c r="C110" s="5" t="s">
        <v>131</v>
      </c>
      <c r="D110" s="5" t="s">
        <v>43</v>
      </c>
      <c r="E110" s="5" t="s">
        <v>68</v>
      </c>
      <c r="F110" s="5" t="s">
        <v>34</v>
      </c>
      <c r="G110" s="6" t="s">
        <v>37</v>
      </c>
      <c r="H110" s="5">
        <v>2.17</v>
      </c>
      <c r="I110" s="5">
        <v>46.0</v>
      </c>
      <c r="J110" s="5" t="str">
        <f t="shared" si="1"/>
        <v>Advance</v>
      </c>
      <c r="K110" s="9">
        <v>3999.0</v>
      </c>
    </row>
    <row r="111" ht="15.75" customHeight="1">
      <c r="A111" s="5" t="s">
        <v>531</v>
      </c>
      <c r="B111" s="5" t="s">
        <v>532</v>
      </c>
      <c r="C111" s="5" t="s">
        <v>131</v>
      </c>
      <c r="D111" s="5" t="s">
        <v>45</v>
      </c>
      <c r="E111" s="5" t="s">
        <v>49</v>
      </c>
      <c r="F111" s="5" t="s">
        <v>34</v>
      </c>
      <c r="G111" s="6" t="s">
        <v>66</v>
      </c>
      <c r="H111" s="5">
        <v>13.67</v>
      </c>
      <c r="I111" s="5">
        <v>45.0</v>
      </c>
      <c r="J111" s="5" t="str">
        <f t="shared" si="1"/>
        <v>Advance</v>
      </c>
      <c r="K111" s="9">
        <v>6020.0</v>
      </c>
    </row>
    <row r="112" ht="15.75" customHeight="1">
      <c r="A112" s="5" t="s">
        <v>535</v>
      </c>
      <c r="B112" s="5" t="s">
        <v>536</v>
      </c>
      <c r="C112" s="5" t="s">
        <v>131</v>
      </c>
      <c r="D112" s="5" t="s">
        <v>20</v>
      </c>
      <c r="E112" s="5" t="s">
        <v>52</v>
      </c>
      <c r="F112" s="5" t="s">
        <v>53</v>
      </c>
      <c r="G112" s="6" t="s">
        <v>66</v>
      </c>
      <c r="H112" s="5">
        <v>26.58</v>
      </c>
      <c r="I112" s="5">
        <v>45.0</v>
      </c>
      <c r="J112" s="5" t="str">
        <f t="shared" si="1"/>
        <v>Advance</v>
      </c>
      <c r="K112" s="9">
        <v>53209.0</v>
      </c>
    </row>
    <row r="113" ht="15.75" customHeight="1">
      <c r="A113" s="5" t="s">
        <v>538</v>
      </c>
      <c r="B113" s="5" t="s">
        <v>539</v>
      </c>
      <c r="C113" s="5" t="s">
        <v>131</v>
      </c>
      <c r="D113" s="5" t="s">
        <v>58</v>
      </c>
      <c r="E113" s="5" t="s">
        <v>59</v>
      </c>
      <c r="F113" s="5" t="s">
        <v>34</v>
      </c>
      <c r="G113" s="6" t="s">
        <v>66</v>
      </c>
      <c r="H113" s="5">
        <v>16.5</v>
      </c>
      <c r="I113" s="5">
        <v>46.0</v>
      </c>
      <c r="J113" s="5" t="str">
        <f t="shared" si="1"/>
        <v>Advance</v>
      </c>
      <c r="K113" s="9">
        <v>7336.0</v>
      </c>
    </row>
    <row r="114" ht="15.75" customHeight="1">
      <c r="A114" s="5" t="s">
        <v>540</v>
      </c>
      <c r="B114" s="5" t="s">
        <v>542</v>
      </c>
      <c r="C114" s="5" t="s">
        <v>131</v>
      </c>
      <c r="D114" s="5" t="s">
        <v>45</v>
      </c>
      <c r="E114" s="5" t="s">
        <v>49</v>
      </c>
      <c r="F114" s="5" t="s">
        <v>34</v>
      </c>
      <c r="G114" s="6" t="s">
        <v>180</v>
      </c>
      <c r="H114" s="5">
        <v>26.0</v>
      </c>
      <c r="I114" s="5">
        <v>45.0</v>
      </c>
      <c r="J114" s="5" t="str">
        <f t="shared" si="1"/>
        <v>Advance</v>
      </c>
      <c r="K114" s="9">
        <v>9523.0</v>
      </c>
    </row>
    <row r="115" ht="15.75" customHeight="1">
      <c r="A115" s="5" t="s">
        <v>543</v>
      </c>
      <c r="B115" s="5" t="s">
        <v>544</v>
      </c>
      <c r="C115" s="5" t="s">
        <v>131</v>
      </c>
      <c r="D115" s="5" t="s">
        <v>45</v>
      </c>
      <c r="E115" s="5" t="s">
        <v>49</v>
      </c>
      <c r="F115" s="5" t="s">
        <v>34</v>
      </c>
      <c r="G115" s="6" t="s">
        <v>66</v>
      </c>
      <c r="H115" s="5">
        <v>7.33</v>
      </c>
      <c r="I115" s="5">
        <v>49.0</v>
      </c>
      <c r="J115" s="5" t="str">
        <f t="shared" si="1"/>
        <v>Advance</v>
      </c>
      <c r="K115" s="9">
        <v>7150.0</v>
      </c>
    </row>
    <row r="116" ht="15.75" customHeight="1">
      <c r="A116" s="5" t="s">
        <v>546</v>
      </c>
      <c r="B116" s="5" t="s">
        <v>547</v>
      </c>
      <c r="C116" s="5" t="s">
        <v>131</v>
      </c>
      <c r="D116" s="5" t="s">
        <v>45</v>
      </c>
      <c r="E116" s="5" t="s">
        <v>49</v>
      </c>
      <c r="F116" s="5" t="s">
        <v>34</v>
      </c>
      <c r="G116" s="6">
        <v>1.0</v>
      </c>
      <c r="H116" s="5">
        <v>18.33</v>
      </c>
      <c r="I116" s="5">
        <v>49.0</v>
      </c>
      <c r="J116" s="5" t="str">
        <f t="shared" si="1"/>
        <v>Advance</v>
      </c>
      <c r="K116" s="9">
        <v>9523.0</v>
      </c>
    </row>
    <row r="117" ht="15.75" customHeight="1">
      <c r="A117" s="5" t="s">
        <v>551</v>
      </c>
      <c r="B117" s="5" t="s">
        <v>552</v>
      </c>
      <c r="C117" s="5" t="s">
        <v>131</v>
      </c>
      <c r="D117" s="5" t="s">
        <v>45</v>
      </c>
      <c r="E117" s="5" t="s">
        <v>49</v>
      </c>
      <c r="F117" s="5" t="s">
        <v>34</v>
      </c>
      <c r="G117" s="6" t="s">
        <v>66</v>
      </c>
      <c r="H117" s="5">
        <v>27.92</v>
      </c>
      <c r="I117" s="5">
        <v>49.0</v>
      </c>
      <c r="J117" s="5" t="str">
        <f t="shared" si="1"/>
        <v>Advance</v>
      </c>
      <c r="K117" s="9">
        <v>9523.0</v>
      </c>
    </row>
    <row r="118" ht="15.75" customHeight="1">
      <c r="A118" s="5" t="s">
        <v>554</v>
      </c>
      <c r="B118" s="5" t="s">
        <v>555</v>
      </c>
      <c r="C118" s="5" t="s">
        <v>152</v>
      </c>
      <c r="D118" s="5" t="s">
        <v>20</v>
      </c>
      <c r="E118" s="5" t="s">
        <v>52</v>
      </c>
      <c r="F118" s="5" t="s">
        <v>53</v>
      </c>
      <c r="G118" s="6" t="s">
        <v>37</v>
      </c>
      <c r="H118" s="5">
        <v>2.17</v>
      </c>
      <c r="I118" s="5">
        <v>34.0</v>
      </c>
      <c r="J118" s="5" t="str">
        <f t="shared" si="1"/>
        <v>Advance</v>
      </c>
      <c r="K118" s="9">
        <v>24056.0</v>
      </c>
    </row>
    <row r="119" ht="15.75" customHeight="1">
      <c r="A119" s="5" t="s">
        <v>556</v>
      </c>
      <c r="B119" s="5" t="s">
        <v>557</v>
      </c>
      <c r="C119" s="5" t="s">
        <v>152</v>
      </c>
      <c r="D119" s="5" t="s">
        <v>20</v>
      </c>
      <c r="E119" s="5" t="s">
        <v>52</v>
      </c>
      <c r="F119" s="5" t="s">
        <v>53</v>
      </c>
      <c r="G119" s="6" t="s">
        <v>37</v>
      </c>
      <c r="H119" s="5">
        <v>2.33</v>
      </c>
      <c r="I119" s="5">
        <v>15.0</v>
      </c>
      <c r="J119" s="5" t="str">
        <f t="shared" si="1"/>
        <v>Short Notice</v>
      </c>
      <c r="K119" s="9">
        <v>24056.0</v>
      </c>
    </row>
    <row r="120" ht="15.75" customHeight="1">
      <c r="A120" s="5" t="s">
        <v>559</v>
      </c>
      <c r="B120" s="5" t="s">
        <v>561</v>
      </c>
      <c r="C120" s="5" t="s">
        <v>152</v>
      </c>
      <c r="D120" s="5" t="s">
        <v>20</v>
      </c>
      <c r="E120" s="5" t="s">
        <v>52</v>
      </c>
      <c r="F120" s="5" t="s">
        <v>34</v>
      </c>
      <c r="G120" s="6" t="s">
        <v>66</v>
      </c>
      <c r="H120" s="5">
        <v>25.92</v>
      </c>
      <c r="I120" s="5">
        <v>2.0</v>
      </c>
      <c r="J120" s="5" t="str">
        <f t="shared" si="1"/>
        <v>Last Minute</v>
      </c>
      <c r="K120" s="9">
        <v>10260.0</v>
      </c>
    </row>
    <row r="121" ht="15.75" customHeight="1">
      <c r="A121" s="5" t="s">
        <v>569</v>
      </c>
      <c r="B121" s="5" t="s">
        <v>570</v>
      </c>
      <c r="C121" s="5" t="s">
        <v>152</v>
      </c>
      <c r="D121" s="5" t="s">
        <v>72</v>
      </c>
      <c r="E121" s="5" t="s">
        <v>266</v>
      </c>
      <c r="F121" s="5" t="s">
        <v>34</v>
      </c>
      <c r="G121" s="6" t="s">
        <v>66</v>
      </c>
      <c r="H121" s="5">
        <v>5.92</v>
      </c>
      <c r="I121" s="5">
        <v>43.0</v>
      </c>
      <c r="J121" s="5" t="str">
        <f t="shared" si="1"/>
        <v>Advance</v>
      </c>
      <c r="K121" s="9">
        <v>9971.0</v>
      </c>
    </row>
    <row r="122" ht="15.75" customHeight="1">
      <c r="A122" s="5" t="s">
        <v>572</v>
      </c>
      <c r="B122" s="5" t="s">
        <v>573</v>
      </c>
      <c r="C122" s="5" t="s">
        <v>152</v>
      </c>
      <c r="D122" s="5" t="s">
        <v>58</v>
      </c>
      <c r="E122" s="5" t="s">
        <v>59</v>
      </c>
      <c r="F122" s="5" t="s">
        <v>34</v>
      </c>
      <c r="G122" s="6" t="s">
        <v>66</v>
      </c>
      <c r="H122" s="5">
        <v>14.42</v>
      </c>
      <c r="I122" s="5">
        <v>1.0</v>
      </c>
      <c r="J122" s="5" t="str">
        <f t="shared" si="1"/>
        <v>Last Minute</v>
      </c>
      <c r="K122" s="9">
        <v>11415.0</v>
      </c>
    </row>
    <row r="123" ht="15.75" customHeight="1">
      <c r="A123" s="5" t="s">
        <v>576</v>
      </c>
      <c r="B123" s="5" t="s">
        <v>577</v>
      </c>
      <c r="C123" s="5" t="s">
        <v>152</v>
      </c>
      <c r="D123" s="5" t="s">
        <v>29</v>
      </c>
      <c r="E123" s="5" t="s">
        <v>32</v>
      </c>
      <c r="F123" s="5" t="s">
        <v>34</v>
      </c>
      <c r="G123" s="6" t="s">
        <v>66</v>
      </c>
      <c r="H123" s="5">
        <v>6.58</v>
      </c>
      <c r="I123" s="5">
        <v>30.0</v>
      </c>
      <c r="J123" s="5" t="str">
        <f t="shared" si="1"/>
        <v>Moderate</v>
      </c>
      <c r="K123" s="9">
        <v>2050.0</v>
      </c>
    </row>
    <row r="124" ht="15.75" customHeight="1">
      <c r="A124" s="5" t="s">
        <v>579</v>
      </c>
      <c r="B124" s="5" t="s">
        <v>580</v>
      </c>
      <c r="C124" s="5" t="s">
        <v>152</v>
      </c>
      <c r="D124" s="5" t="s">
        <v>43</v>
      </c>
      <c r="E124" s="5" t="s">
        <v>68</v>
      </c>
      <c r="F124" s="5" t="s">
        <v>34</v>
      </c>
      <c r="G124" s="6" t="s">
        <v>66</v>
      </c>
      <c r="H124" s="5">
        <v>8.08</v>
      </c>
      <c r="I124" s="5">
        <v>41.0</v>
      </c>
      <c r="J124" s="5" t="str">
        <f t="shared" si="1"/>
        <v>Advance</v>
      </c>
      <c r="K124" s="9">
        <v>3457.0</v>
      </c>
    </row>
    <row r="125" ht="15.75" customHeight="1">
      <c r="A125" s="5" t="s">
        <v>584</v>
      </c>
      <c r="B125" s="5" t="s">
        <v>585</v>
      </c>
      <c r="C125" s="5" t="s">
        <v>152</v>
      </c>
      <c r="D125" s="5" t="s">
        <v>45</v>
      </c>
      <c r="E125" s="5" t="s">
        <v>49</v>
      </c>
      <c r="F125" s="5" t="s">
        <v>34</v>
      </c>
      <c r="G125" s="6" t="s">
        <v>66</v>
      </c>
      <c r="H125" s="5">
        <v>9.08</v>
      </c>
      <c r="I125" s="5">
        <v>39.0</v>
      </c>
      <c r="J125" s="5" t="str">
        <f t="shared" si="1"/>
        <v>Advance</v>
      </c>
      <c r="K125" s="9">
        <v>4415.0</v>
      </c>
    </row>
    <row r="126" ht="15.75" customHeight="1">
      <c r="A126" s="5" t="s">
        <v>588</v>
      </c>
      <c r="B126" s="5" t="s">
        <v>589</v>
      </c>
      <c r="C126" s="5" t="s">
        <v>152</v>
      </c>
      <c r="D126" s="5" t="s">
        <v>45</v>
      </c>
      <c r="E126" s="5" t="s">
        <v>49</v>
      </c>
      <c r="F126" s="5" t="s">
        <v>34</v>
      </c>
      <c r="G126" s="6" t="s">
        <v>66</v>
      </c>
      <c r="H126" s="5">
        <v>6.75</v>
      </c>
      <c r="I126" s="5">
        <v>27.0</v>
      </c>
      <c r="J126" s="5" t="str">
        <f t="shared" si="1"/>
        <v>Moderate</v>
      </c>
      <c r="K126" s="9">
        <v>5530.0</v>
      </c>
    </row>
    <row r="127" ht="15.75" customHeight="1">
      <c r="A127" s="5" t="s">
        <v>592</v>
      </c>
      <c r="B127" s="5" t="s">
        <v>593</v>
      </c>
      <c r="C127" s="5" t="s">
        <v>152</v>
      </c>
      <c r="D127" s="5" t="s">
        <v>20</v>
      </c>
      <c r="E127" s="5" t="s">
        <v>52</v>
      </c>
      <c r="F127" s="5" t="s">
        <v>53</v>
      </c>
      <c r="G127" s="6" t="s">
        <v>66</v>
      </c>
      <c r="H127" s="5">
        <v>11.42</v>
      </c>
      <c r="I127" s="5">
        <v>15.0</v>
      </c>
      <c r="J127" s="5" t="str">
        <f t="shared" si="1"/>
        <v>Short Notice</v>
      </c>
      <c r="K127" s="9">
        <v>46097.0</v>
      </c>
    </row>
    <row r="128" ht="15.75" customHeight="1">
      <c r="A128" s="5" t="s">
        <v>596</v>
      </c>
      <c r="B128" s="5" t="s">
        <v>597</v>
      </c>
      <c r="C128" s="5" t="s">
        <v>152</v>
      </c>
      <c r="D128" s="5" t="s">
        <v>29</v>
      </c>
      <c r="E128" s="5" t="s">
        <v>32</v>
      </c>
      <c r="F128" s="5" t="s">
        <v>34</v>
      </c>
      <c r="G128" s="6" t="s">
        <v>66</v>
      </c>
      <c r="H128" s="5">
        <v>7.58</v>
      </c>
      <c r="J128" s="5" t="str">
        <f t="shared" si="1"/>
        <v>Last Minute</v>
      </c>
      <c r="K128" s="9">
        <v>2050.0</v>
      </c>
    </row>
    <row r="129" ht="15.75" customHeight="1">
      <c r="A129" s="5" t="s">
        <v>599</v>
      </c>
      <c r="B129" s="5" t="s">
        <v>600</v>
      </c>
      <c r="C129" s="5" t="s">
        <v>152</v>
      </c>
      <c r="D129" s="5" t="s">
        <v>58</v>
      </c>
      <c r="E129" s="5" t="s">
        <v>59</v>
      </c>
      <c r="F129" s="5" t="s">
        <v>34</v>
      </c>
      <c r="G129" s="6" t="s">
        <v>37</v>
      </c>
      <c r="H129" s="5">
        <v>2.25</v>
      </c>
      <c r="I129" s="5">
        <v>2.0</v>
      </c>
      <c r="J129" s="5" t="str">
        <f t="shared" si="1"/>
        <v>Last Minute</v>
      </c>
      <c r="K129" s="9">
        <v>6532.0</v>
      </c>
    </row>
    <row r="130" ht="15.75" customHeight="1">
      <c r="A130" s="5" t="s">
        <v>604</v>
      </c>
      <c r="B130" s="5" t="s">
        <v>605</v>
      </c>
      <c r="C130" s="5" t="s">
        <v>152</v>
      </c>
      <c r="D130" s="5" t="s">
        <v>45</v>
      </c>
      <c r="E130" s="5" t="s">
        <v>49</v>
      </c>
      <c r="F130" s="5" t="s">
        <v>34</v>
      </c>
      <c r="G130" s="6">
        <v>1.0</v>
      </c>
      <c r="H130" s="5">
        <v>15.08</v>
      </c>
      <c r="I130" s="5">
        <v>38.0</v>
      </c>
      <c r="J130" s="5" t="str">
        <f t="shared" si="1"/>
        <v>Advance</v>
      </c>
      <c r="K130" s="9">
        <v>5232.0</v>
      </c>
    </row>
    <row r="131" ht="15.75" customHeight="1">
      <c r="A131" s="5" t="s">
        <v>609</v>
      </c>
      <c r="B131" s="5" t="s">
        <v>610</v>
      </c>
      <c r="C131" s="5" t="s">
        <v>152</v>
      </c>
      <c r="D131" s="5" t="s">
        <v>29</v>
      </c>
      <c r="E131" s="5" t="s">
        <v>32</v>
      </c>
      <c r="F131" s="5" t="s">
        <v>34</v>
      </c>
      <c r="G131" s="6" t="s">
        <v>66</v>
      </c>
      <c r="H131" s="5">
        <v>13.92</v>
      </c>
      <c r="I131" s="5">
        <v>24.0</v>
      </c>
      <c r="J131" s="5" t="str">
        <f t="shared" si="1"/>
        <v>Moderate</v>
      </c>
      <c r="K131" s="9">
        <v>5149.0</v>
      </c>
    </row>
    <row r="132" ht="15.75" customHeight="1">
      <c r="A132" s="5" t="s">
        <v>614</v>
      </c>
      <c r="B132" s="5" t="s">
        <v>615</v>
      </c>
      <c r="C132" s="5" t="s">
        <v>152</v>
      </c>
      <c r="D132" s="5" t="s">
        <v>45</v>
      </c>
      <c r="E132" s="5" t="s">
        <v>49</v>
      </c>
      <c r="F132" s="5" t="s">
        <v>34</v>
      </c>
      <c r="G132" s="6" t="s">
        <v>66</v>
      </c>
      <c r="H132" s="5">
        <v>26.92</v>
      </c>
      <c r="I132" s="5">
        <v>25.0</v>
      </c>
      <c r="J132" s="5" t="str">
        <f t="shared" si="1"/>
        <v>Moderate</v>
      </c>
      <c r="K132" s="9">
        <v>5950.0</v>
      </c>
    </row>
    <row r="133" ht="15.75" customHeight="1">
      <c r="A133" s="5" t="s">
        <v>620</v>
      </c>
      <c r="B133" s="5" t="s">
        <v>621</v>
      </c>
      <c r="C133" s="5" t="s">
        <v>152</v>
      </c>
      <c r="D133" s="5" t="s">
        <v>29</v>
      </c>
      <c r="E133" s="5" t="s">
        <v>32</v>
      </c>
      <c r="F133" s="5" t="s">
        <v>34</v>
      </c>
      <c r="G133" s="6" t="s">
        <v>66</v>
      </c>
      <c r="H133" s="5">
        <v>8.17</v>
      </c>
      <c r="I133" s="5">
        <v>44.0</v>
      </c>
      <c r="J133" s="5" t="str">
        <f t="shared" si="1"/>
        <v>Advance</v>
      </c>
      <c r="K133" s="9">
        <v>2977.0</v>
      </c>
    </row>
    <row r="134" ht="15.75" customHeight="1">
      <c r="A134" s="5" t="s">
        <v>624</v>
      </c>
      <c r="B134" s="5" t="s">
        <v>625</v>
      </c>
      <c r="C134" s="5" t="s">
        <v>152</v>
      </c>
      <c r="D134" s="5" t="s">
        <v>45</v>
      </c>
      <c r="E134" s="5" t="s">
        <v>49</v>
      </c>
      <c r="F134" s="5" t="s">
        <v>34</v>
      </c>
      <c r="G134" s="6" t="s">
        <v>66</v>
      </c>
      <c r="H134" s="5">
        <v>13.25</v>
      </c>
      <c r="I134" s="5">
        <v>4.0</v>
      </c>
      <c r="J134" s="5" t="str">
        <f t="shared" si="1"/>
        <v>Last Minute</v>
      </c>
      <c r="K134" s="9">
        <v>9411.0</v>
      </c>
    </row>
    <row r="135" ht="15.75" customHeight="1">
      <c r="A135" s="5" t="s">
        <v>629</v>
      </c>
      <c r="B135" s="5" t="s">
        <v>632</v>
      </c>
      <c r="C135" s="5" t="s">
        <v>152</v>
      </c>
      <c r="D135" s="5" t="s">
        <v>20</v>
      </c>
      <c r="E135" s="5" t="s">
        <v>52</v>
      </c>
      <c r="F135" s="5" t="s">
        <v>34</v>
      </c>
      <c r="G135" s="6" t="s">
        <v>66</v>
      </c>
      <c r="H135" s="5">
        <v>24.33</v>
      </c>
      <c r="I135" s="5">
        <v>43.0</v>
      </c>
      <c r="J135" s="5" t="str">
        <f t="shared" si="1"/>
        <v>Advance</v>
      </c>
      <c r="K135" s="9">
        <v>5097.0</v>
      </c>
    </row>
    <row r="136" ht="15.75" customHeight="1">
      <c r="A136" s="5" t="s">
        <v>635</v>
      </c>
      <c r="B136" s="5" t="s">
        <v>636</v>
      </c>
      <c r="C136" s="5" t="s">
        <v>152</v>
      </c>
      <c r="D136" s="5" t="s">
        <v>20</v>
      </c>
      <c r="E136" s="5" t="s">
        <v>52</v>
      </c>
      <c r="F136" s="5" t="s">
        <v>34</v>
      </c>
      <c r="G136" s="6" t="s">
        <v>66</v>
      </c>
      <c r="H136" s="5">
        <v>27.33</v>
      </c>
      <c r="I136" s="5">
        <v>43.0</v>
      </c>
      <c r="J136" s="5" t="str">
        <f t="shared" si="1"/>
        <v>Advance</v>
      </c>
      <c r="K136" s="9">
        <v>5761.0</v>
      </c>
    </row>
    <row r="137" ht="15.75" customHeight="1">
      <c r="A137" s="5" t="s">
        <v>642</v>
      </c>
      <c r="B137" s="5" t="s">
        <v>645</v>
      </c>
      <c r="C137" s="5" t="s">
        <v>152</v>
      </c>
      <c r="D137" s="5" t="s">
        <v>45</v>
      </c>
      <c r="E137" s="5" t="s">
        <v>49</v>
      </c>
      <c r="F137" s="5" t="s">
        <v>34</v>
      </c>
      <c r="G137" s="6" t="s">
        <v>180</v>
      </c>
      <c r="H137" s="5">
        <v>16.67</v>
      </c>
      <c r="I137" s="5">
        <v>14.0</v>
      </c>
      <c r="J137" s="5" t="str">
        <f t="shared" si="1"/>
        <v>Short Notice</v>
      </c>
      <c r="K137" s="9">
        <v>12071.0</v>
      </c>
    </row>
    <row r="138" ht="15.75" customHeight="1">
      <c r="A138" s="5" t="s">
        <v>648</v>
      </c>
      <c r="B138" s="5" t="s">
        <v>649</v>
      </c>
      <c r="C138" s="5" t="s">
        <v>152</v>
      </c>
      <c r="D138" s="5" t="s">
        <v>20</v>
      </c>
      <c r="E138" s="5" t="s">
        <v>52</v>
      </c>
      <c r="F138" s="5" t="s">
        <v>34</v>
      </c>
      <c r="G138" s="6" t="s">
        <v>66</v>
      </c>
      <c r="H138" s="5">
        <v>10.0</v>
      </c>
      <c r="I138" s="5">
        <v>14.0</v>
      </c>
      <c r="J138" s="5" t="str">
        <f t="shared" si="1"/>
        <v>Short Notice</v>
      </c>
      <c r="K138" s="9">
        <v>8433.0</v>
      </c>
    </row>
    <row r="139" ht="15.75" customHeight="1">
      <c r="A139" s="5" t="s">
        <v>654</v>
      </c>
      <c r="B139" s="5" t="s">
        <v>655</v>
      </c>
      <c r="C139" s="5" t="s">
        <v>152</v>
      </c>
      <c r="D139" s="5" t="s">
        <v>20</v>
      </c>
      <c r="E139" s="5" t="s">
        <v>52</v>
      </c>
      <c r="F139" s="5" t="s">
        <v>34</v>
      </c>
      <c r="G139" s="6" t="s">
        <v>66</v>
      </c>
      <c r="H139" s="5">
        <v>19.0</v>
      </c>
      <c r="I139" s="5">
        <v>45.0</v>
      </c>
      <c r="J139" s="5" t="str">
        <f t="shared" si="1"/>
        <v>Advance</v>
      </c>
      <c r="K139" s="9">
        <v>5772.0</v>
      </c>
    </row>
    <row r="140" ht="15.75" customHeight="1">
      <c r="A140" s="5" t="s">
        <v>660</v>
      </c>
      <c r="B140" s="5" t="s">
        <v>661</v>
      </c>
      <c r="C140" s="5" t="s">
        <v>152</v>
      </c>
      <c r="D140" s="5" t="s">
        <v>20</v>
      </c>
      <c r="E140" s="5" t="s">
        <v>52</v>
      </c>
      <c r="F140" s="5" t="s">
        <v>34</v>
      </c>
      <c r="G140" s="6" t="s">
        <v>66</v>
      </c>
      <c r="H140" s="5">
        <v>6.67</v>
      </c>
      <c r="I140" s="5">
        <v>44.0</v>
      </c>
      <c r="J140" s="5" t="str">
        <f t="shared" si="1"/>
        <v>Advance</v>
      </c>
      <c r="K140" s="9">
        <v>5761.0</v>
      </c>
    </row>
    <row r="141" ht="15.75" customHeight="1">
      <c r="A141" s="5" t="s">
        <v>663</v>
      </c>
      <c r="B141" s="5" t="s">
        <v>664</v>
      </c>
      <c r="C141" s="5" t="s">
        <v>152</v>
      </c>
      <c r="D141" s="5" t="s">
        <v>43</v>
      </c>
      <c r="E141" s="5" t="s">
        <v>68</v>
      </c>
      <c r="F141" s="5" t="s">
        <v>34</v>
      </c>
      <c r="G141" s="6" t="s">
        <v>180</v>
      </c>
      <c r="H141" s="5">
        <v>7.17</v>
      </c>
      <c r="J141" s="5" t="str">
        <f t="shared" si="1"/>
        <v>Last Minute</v>
      </c>
      <c r="K141" s="9">
        <v>13032.0</v>
      </c>
    </row>
    <row r="142" ht="15.75" customHeight="1">
      <c r="A142" s="5" t="s">
        <v>668</v>
      </c>
      <c r="B142" s="5" t="s">
        <v>670</v>
      </c>
      <c r="C142" s="5" t="s">
        <v>152</v>
      </c>
      <c r="D142" s="5" t="s">
        <v>43</v>
      </c>
      <c r="E142" s="5" t="s">
        <v>68</v>
      </c>
      <c r="F142" s="5" t="s">
        <v>34</v>
      </c>
      <c r="G142" s="6" t="s">
        <v>66</v>
      </c>
      <c r="H142" s="5">
        <v>7.17</v>
      </c>
      <c r="I142" s="5">
        <v>39.0</v>
      </c>
      <c r="J142" s="5" t="str">
        <f t="shared" si="1"/>
        <v>Advance</v>
      </c>
      <c r="K142" s="9">
        <v>3457.0</v>
      </c>
    </row>
    <row r="143" ht="15.75" customHeight="1">
      <c r="A143" s="5" t="s">
        <v>674</v>
      </c>
      <c r="B143" s="5" t="s">
        <v>675</v>
      </c>
      <c r="C143" s="5" t="s">
        <v>152</v>
      </c>
      <c r="D143" s="5" t="s">
        <v>45</v>
      </c>
      <c r="E143" s="5" t="s">
        <v>49</v>
      </c>
      <c r="F143" s="5" t="s">
        <v>34</v>
      </c>
      <c r="G143" s="6" t="s">
        <v>66</v>
      </c>
      <c r="H143" s="5">
        <v>19.33</v>
      </c>
      <c r="I143" s="5">
        <v>45.0</v>
      </c>
      <c r="J143" s="5" t="str">
        <f t="shared" si="1"/>
        <v>Advance</v>
      </c>
      <c r="K143" s="9">
        <v>5939.0</v>
      </c>
    </row>
    <row r="144" ht="15.75" customHeight="1">
      <c r="A144" s="5" t="s">
        <v>677</v>
      </c>
      <c r="B144" s="5" t="s">
        <v>678</v>
      </c>
      <c r="C144" s="5" t="s">
        <v>152</v>
      </c>
      <c r="D144" s="5" t="s">
        <v>43</v>
      </c>
      <c r="E144" s="5" t="s">
        <v>68</v>
      </c>
      <c r="F144" s="5" t="s">
        <v>34</v>
      </c>
      <c r="G144" s="6" t="s">
        <v>180</v>
      </c>
      <c r="H144" s="5">
        <v>7.33</v>
      </c>
      <c r="I144" s="5">
        <v>12.0</v>
      </c>
      <c r="J144" s="5" t="str">
        <f t="shared" si="1"/>
        <v>Short Notice</v>
      </c>
      <c r="K144" s="9">
        <v>11079.0</v>
      </c>
    </row>
    <row r="145" ht="15.75" customHeight="1">
      <c r="A145" s="5" t="s">
        <v>682</v>
      </c>
      <c r="B145" s="5" t="s">
        <v>683</v>
      </c>
      <c r="C145" s="5" t="s">
        <v>152</v>
      </c>
      <c r="D145" s="5" t="s">
        <v>29</v>
      </c>
      <c r="E145" s="5" t="s">
        <v>32</v>
      </c>
      <c r="F145" s="5" t="s">
        <v>34</v>
      </c>
      <c r="G145" s="6" t="s">
        <v>66</v>
      </c>
      <c r="H145" s="5">
        <v>9.75</v>
      </c>
      <c r="I145" s="5">
        <v>44.0</v>
      </c>
      <c r="J145" s="5" t="str">
        <f t="shared" si="1"/>
        <v>Advance</v>
      </c>
      <c r="K145" s="9">
        <v>7336.0</v>
      </c>
    </row>
    <row r="146" ht="15.75" customHeight="1">
      <c r="A146" s="5" t="s">
        <v>685</v>
      </c>
      <c r="B146" s="5" t="s">
        <v>686</v>
      </c>
      <c r="C146" s="5" t="s">
        <v>152</v>
      </c>
      <c r="D146" s="5" t="s">
        <v>58</v>
      </c>
      <c r="E146" s="5" t="s">
        <v>59</v>
      </c>
      <c r="F146" s="5" t="s">
        <v>34</v>
      </c>
      <c r="G146" s="6" t="s">
        <v>66</v>
      </c>
      <c r="H146" s="5">
        <v>9.5</v>
      </c>
      <c r="I146" s="5">
        <v>26.0</v>
      </c>
      <c r="J146" s="5" t="str">
        <f t="shared" si="1"/>
        <v>Moderate</v>
      </c>
      <c r="K146" s="9">
        <v>3989.0</v>
      </c>
    </row>
    <row r="147" ht="15.75" customHeight="1">
      <c r="A147" s="5" t="s">
        <v>689</v>
      </c>
      <c r="B147" s="5" t="s">
        <v>690</v>
      </c>
      <c r="C147" s="5" t="s">
        <v>152</v>
      </c>
      <c r="D147" s="5" t="s">
        <v>45</v>
      </c>
      <c r="E147" s="5" t="s">
        <v>49</v>
      </c>
      <c r="F147" s="5" t="s">
        <v>53</v>
      </c>
      <c r="G147" s="6">
        <v>1.0</v>
      </c>
      <c r="H147" s="5">
        <v>22.25</v>
      </c>
      <c r="I147" s="5">
        <v>46.0</v>
      </c>
      <c r="J147" s="5" t="str">
        <f t="shared" si="1"/>
        <v>Advance</v>
      </c>
      <c r="K147" s="9">
        <v>39321.0</v>
      </c>
    </row>
    <row r="148" ht="15.75" customHeight="1">
      <c r="A148" s="5" t="s">
        <v>692</v>
      </c>
      <c r="B148" s="5" t="s">
        <v>694</v>
      </c>
      <c r="C148" s="5" t="s">
        <v>152</v>
      </c>
      <c r="D148" s="5" t="s">
        <v>45</v>
      </c>
      <c r="E148" s="5" t="s">
        <v>49</v>
      </c>
      <c r="F148" s="5" t="s">
        <v>34</v>
      </c>
      <c r="G148" s="6" t="s">
        <v>66</v>
      </c>
      <c r="H148" s="5">
        <v>19.5</v>
      </c>
      <c r="I148" s="5">
        <v>46.0</v>
      </c>
      <c r="J148" s="5" t="str">
        <f t="shared" si="1"/>
        <v>Advance</v>
      </c>
      <c r="K148" s="9">
        <v>4940.0</v>
      </c>
    </row>
    <row r="149" ht="15.75" customHeight="1">
      <c r="A149" s="5" t="s">
        <v>697</v>
      </c>
      <c r="B149" s="5" t="s">
        <v>698</v>
      </c>
      <c r="C149" s="5" t="s">
        <v>152</v>
      </c>
      <c r="D149" s="5" t="s">
        <v>58</v>
      </c>
      <c r="E149" s="5" t="s">
        <v>59</v>
      </c>
      <c r="F149" s="5" t="s">
        <v>34</v>
      </c>
      <c r="G149" s="6" t="s">
        <v>66</v>
      </c>
      <c r="H149" s="5">
        <v>11.25</v>
      </c>
      <c r="I149" s="5">
        <v>44.0</v>
      </c>
      <c r="J149" s="5" t="str">
        <f t="shared" si="1"/>
        <v>Advance</v>
      </c>
      <c r="K149" s="9">
        <v>5720.0</v>
      </c>
    </row>
    <row r="150" ht="15.75" customHeight="1">
      <c r="A150" s="5" t="s">
        <v>703</v>
      </c>
      <c r="B150" s="5" t="s">
        <v>705</v>
      </c>
      <c r="C150" s="5" t="s">
        <v>152</v>
      </c>
      <c r="D150" s="5" t="s">
        <v>43</v>
      </c>
      <c r="E150" s="5" t="s">
        <v>68</v>
      </c>
      <c r="F150" s="5" t="s">
        <v>34</v>
      </c>
      <c r="G150" s="6" t="s">
        <v>37</v>
      </c>
      <c r="H150" s="5">
        <v>2.33</v>
      </c>
      <c r="I150" s="5">
        <v>46.0</v>
      </c>
      <c r="J150" s="5" t="str">
        <f t="shared" si="1"/>
        <v>Advance</v>
      </c>
      <c r="K150" s="9">
        <v>2098.0</v>
      </c>
    </row>
    <row r="151" ht="15.75" customHeight="1">
      <c r="A151" s="5" t="s">
        <v>707</v>
      </c>
      <c r="B151" s="5" t="s">
        <v>708</v>
      </c>
      <c r="C151" s="5" t="s">
        <v>152</v>
      </c>
      <c r="D151" s="5" t="s">
        <v>43</v>
      </c>
      <c r="E151" s="5" t="s">
        <v>68</v>
      </c>
      <c r="F151" s="5" t="s">
        <v>34</v>
      </c>
      <c r="G151" s="6" t="s">
        <v>66</v>
      </c>
      <c r="H151" s="5">
        <v>10.08</v>
      </c>
      <c r="I151" s="5">
        <v>46.0</v>
      </c>
      <c r="J151" s="5" t="str">
        <f t="shared" si="1"/>
        <v>Advance</v>
      </c>
      <c r="K151" s="9">
        <v>3457.0</v>
      </c>
    </row>
    <row r="152" ht="15.75" customHeight="1">
      <c r="A152" s="5" t="s">
        <v>710</v>
      </c>
      <c r="B152" s="5" t="s">
        <v>711</v>
      </c>
      <c r="C152" s="5" t="s">
        <v>152</v>
      </c>
      <c r="D152" s="5" t="s">
        <v>45</v>
      </c>
      <c r="E152" s="5" t="s">
        <v>49</v>
      </c>
      <c r="F152" s="5" t="s">
        <v>34</v>
      </c>
      <c r="G152" s="6" t="s">
        <v>66</v>
      </c>
      <c r="H152" s="5">
        <v>11.75</v>
      </c>
      <c r="I152" s="5">
        <v>45.0</v>
      </c>
      <c r="J152" s="5" t="str">
        <f t="shared" si="1"/>
        <v>Advance</v>
      </c>
      <c r="K152" s="9">
        <v>4209.0</v>
      </c>
    </row>
    <row r="153" ht="15.75" customHeight="1">
      <c r="A153" s="5" t="s">
        <v>714</v>
      </c>
      <c r="B153" s="5" t="s">
        <v>716</v>
      </c>
      <c r="C153" s="5" t="s">
        <v>152</v>
      </c>
      <c r="D153" s="5" t="s">
        <v>20</v>
      </c>
      <c r="E153" s="5" t="s">
        <v>52</v>
      </c>
      <c r="F153" s="5" t="s">
        <v>53</v>
      </c>
      <c r="G153" s="6" t="s">
        <v>66</v>
      </c>
      <c r="H153" s="5">
        <v>12.92</v>
      </c>
      <c r="I153" s="5">
        <v>48.0</v>
      </c>
      <c r="J153" s="5" t="str">
        <f t="shared" si="1"/>
        <v>Advance</v>
      </c>
      <c r="K153" s="9">
        <v>61889.0</v>
      </c>
    </row>
    <row r="154" ht="15.75" customHeight="1">
      <c r="A154" s="5" t="s">
        <v>718</v>
      </c>
      <c r="B154" s="5" t="s">
        <v>719</v>
      </c>
      <c r="C154" s="5" t="s">
        <v>152</v>
      </c>
      <c r="D154" s="5" t="s">
        <v>58</v>
      </c>
      <c r="E154" s="5" t="s">
        <v>59</v>
      </c>
      <c r="F154" s="5" t="s">
        <v>34</v>
      </c>
      <c r="G154" s="6" t="s">
        <v>66</v>
      </c>
      <c r="H154" s="5">
        <v>15.5</v>
      </c>
      <c r="I154" s="5">
        <v>45.0</v>
      </c>
      <c r="J154" s="5" t="str">
        <f t="shared" si="1"/>
        <v>Advance</v>
      </c>
      <c r="K154" s="9">
        <v>6074.0</v>
      </c>
    </row>
    <row r="155" ht="15.75" customHeight="1">
      <c r="A155" s="5" t="s">
        <v>720</v>
      </c>
      <c r="B155" s="5" t="s">
        <v>722</v>
      </c>
      <c r="C155" s="5" t="s">
        <v>152</v>
      </c>
      <c r="D155" s="5" t="s">
        <v>45</v>
      </c>
      <c r="E155" s="5" t="s">
        <v>49</v>
      </c>
      <c r="F155" s="5" t="s">
        <v>34</v>
      </c>
      <c r="G155" s="6" t="s">
        <v>66</v>
      </c>
      <c r="H155" s="5">
        <v>16.17</v>
      </c>
      <c r="I155" s="5">
        <v>46.0</v>
      </c>
      <c r="J155" s="5" t="str">
        <f t="shared" si="1"/>
        <v>Advance</v>
      </c>
      <c r="K155" s="9">
        <v>4524.0</v>
      </c>
    </row>
    <row r="156" ht="15.75" customHeight="1">
      <c r="A156" s="5" t="s">
        <v>726</v>
      </c>
      <c r="B156" s="5" t="s">
        <v>727</v>
      </c>
      <c r="C156" s="5" t="s">
        <v>152</v>
      </c>
      <c r="D156" s="5" t="s">
        <v>45</v>
      </c>
      <c r="E156" s="5" t="s">
        <v>49</v>
      </c>
      <c r="F156" s="5" t="s">
        <v>53</v>
      </c>
      <c r="G156" s="6" t="s">
        <v>66</v>
      </c>
      <c r="H156" s="5">
        <v>16.0</v>
      </c>
      <c r="I156" s="5">
        <v>48.0</v>
      </c>
      <c r="J156" s="5" t="str">
        <f t="shared" si="1"/>
        <v>Advance</v>
      </c>
      <c r="K156" s="9">
        <v>42546.0</v>
      </c>
    </row>
    <row r="157" ht="15.75" customHeight="1">
      <c r="A157" s="5" t="s">
        <v>731</v>
      </c>
      <c r="B157" s="5" t="s">
        <v>733</v>
      </c>
      <c r="C157" s="5" t="s">
        <v>174</v>
      </c>
      <c r="D157" s="5" t="s">
        <v>29</v>
      </c>
      <c r="E157" s="5" t="s">
        <v>32</v>
      </c>
      <c r="F157" s="5" t="s">
        <v>34</v>
      </c>
      <c r="G157" s="6" t="s">
        <v>66</v>
      </c>
      <c r="H157" s="5">
        <v>13.5</v>
      </c>
      <c r="I157" s="5">
        <v>25.0</v>
      </c>
      <c r="J157" s="5" t="str">
        <f t="shared" si="1"/>
        <v>Moderate</v>
      </c>
      <c r="K157" s="9">
        <v>1998.0</v>
      </c>
    </row>
    <row r="158" ht="15.75" customHeight="1">
      <c r="A158" s="5" t="s">
        <v>737</v>
      </c>
      <c r="B158" s="5" t="s">
        <v>738</v>
      </c>
      <c r="C158" s="5" t="s">
        <v>174</v>
      </c>
      <c r="D158" s="5" t="s">
        <v>43</v>
      </c>
      <c r="E158" s="5" t="s">
        <v>68</v>
      </c>
      <c r="F158" s="5" t="s">
        <v>34</v>
      </c>
      <c r="G158" s="6" t="s">
        <v>66</v>
      </c>
      <c r="H158" s="5">
        <v>9.08</v>
      </c>
      <c r="I158" s="5">
        <v>38.0</v>
      </c>
      <c r="J158" s="5" t="str">
        <f t="shared" si="1"/>
        <v>Advance</v>
      </c>
      <c r="K158" s="9">
        <v>4181.0</v>
      </c>
    </row>
    <row r="159" ht="15.75" customHeight="1">
      <c r="A159" s="5" t="s">
        <v>740</v>
      </c>
      <c r="B159" s="5" t="s">
        <v>741</v>
      </c>
      <c r="C159" s="5" t="s">
        <v>174</v>
      </c>
      <c r="D159" s="5" t="s">
        <v>20</v>
      </c>
      <c r="E159" s="5" t="s">
        <v>52</v>
      </c>
      <c r="F159" s="5" t="s">
        <v>34</v>
      </c>
      <c r="G159" s="6" t="s">
        <v>180</v>
      </c>
      <c r="H159" s="5">
        <v>27.83</v>
      </c>
      <c r="I159" s="5">
        <v>1.0</v>
      </c>
      <c r="J159" s="5" t="str">
        <f t="shared" si="1"/>
        <v>Last Minute</v>
      </c>
      <c r="K159" s="9">
        <v>18757.0</v>
      </c>
    </row>
    <row r="160" ht="15.75" customHeight="1">
      <c r="A160" s="5" t="s">
        <v>743</v>
      </c>
      <c r="B160" s="5" t="s">
        <v>744</v>
      </c>
      <c r="C160" s="5" t="s">
        <v>174</v>
      </c>
      <c r="D160" s="5" t="s">
        <v>72</v>
      </c>
      <c r="E160" s="5" t="s">
        <v>266</v>
      </c>
      <c r="F160" s="5" t="s">
        <v>34</v>
      </c>
      <c r="G160" s="6" t="s">
        <v>66</v>
      </c>
      <c r="H160" s="5">
        <v>12.25</v>
      </c>
      <c r="I160" s="5">
        <v>38.0</v>
      </c>
      <c r="J160" s="5" t="str">
        <f t="shared" si="1"/>
        <v>Advance</v>
      </c>
      <c r="K160" s="9">
        <v>7336.0</v>
      </c>
    </row>
    <row r="161" ht="15.75" customHeight="1">
      <c r="A161" s="5" t="s">
        <v>746</v>
      </c>
      <c r="B161" s="5" t="s">
        <v>747</v>
      </c>
      <c r="C161" s="5" t="s">
        <v>174</v>
      </c>
      <c r="D161" s="5" t="s">
        <v>45</v>
      </c>
      <c r="E161" s="5" t="s">
        <v>49</v>
      </c>
      <c r="F161" s="5" t="s">
        <v>34</v>
      </c>
      <c r="G161" s="6" t="s">
        <v>66</v>
      </c>
      <c r="H161" s="5">
        <v>12.33</v>
      </c>
      <c r="I161" s="5">
        <v>2.0</v>
      </c>
      <c r="J161" s="5" t="str">
        <f t="shared" si="1"/>
        <v>Last Minute</v>
      </c>
      <c r="K161" s="9">
        <v>11520.0</v>
      </c>
    </row>
    <row r="162" ht="15.75" customHeight="1">
      <c r="A162" s="5" t="s">
        <v>750</v>
      </c>
      <c r="B162" s="5" t="s">
        <v>752</v>
      </c>
      <c r="C162" s="5" t="s">
        <v>174</v>
      </c>
      <c r="D162" s="5" t="s">
        <v>45</v>
      </c>
      <c r="E162" s="5" t="s">
        <v>49</v>
      </c>
      <c r="F162" s="5" t="s">
        <v>34</v>
      </c>
      <c r="G162" s="6" t="s">
        <v>66</v>
      </c>
      <c r="H162" s="5">
        <v>13.5</v>
      </c>
      <c r="I162" s="5">
        <v>2.0</v>
      </c>
      <c r="J162" s="5" t="str">
        <f t="shared" si="1"/>
        <v>Last Minute</v>
      </c>
      <c r="K162" s="9">
        <v>11520.0</v>
      </c>
    </row>
    <row r="163" ht="15.75" customHeight="1">
      <c r="A163" s="5" t="s">
        <v>755</v>
      </c>
      <c r="B163" s="5" t="s">
        <v>756</v>
      </c>
      <c r="C163" s="5" t="s">
        <v>174</v>
      </c>
      <c r="D163" s="5" t="s">
        <v>45</v>
      </c>
      <c r="E163" s="5" t="s">
        <v>49</v>
      </c>
      <c r="F163" s="5" t="s">
        <v>34</v>
      </c>
      <c r="G163" s="6" t="s">
        <v>66</v>
      </c>
      <c r="H163" s="5">
        <v>24.33</v>
      </c>
      <c r="I163" s="5">
        <v>2.0</v>
      </c>
      <c r="J163" s="5" t="str">
        <f t="shared" si="1"/>
        <v>Last Minute</v>
      </c>
      <c r="K163" s="9">
        <v>11520.0</v>
      </c>
    </row>
    <row r="164" ht="15.75" customHeight="1">
      <c r="A164" s="5" t="s">
        <v>761</v>
      </c>
      <c r="B164" s="5" t="s">
        <v>762</v>
      </c>
      <c r="C164" s="5" t="s">
        <v>174</v>
      </c>
      <c r="D164" s="5" t="s">
        <v>72</v>
      </c>
      <c r="E164" s="5" t="s">
        <v>266</v>
      </c>
      <c r="F164" s="5" t="s">
        <v>34</v>
      </c>
      <c r="G164" s="6" t="s">
        <v>66</v>
      </c>
      <c r="H164" s="5">
        <v>6.17</v>
      </c>
      <c r="I164" s="5">
        <v>28.0</v>
      </c>
      <c r="J164" s="5" t="str">
        <f t="shared" si="1"/>
        <v>Moderate</v>
      </c>
      <c r="K164" s="9">
        <v>4149.0</v>
      </c>
    </row>
    <row r="165" ht="15.75" customHeight="1">
      <c r="A165" s="5" t="s">
        <v>764</v>
      </c>
      <c r="B165" s="5" t="s">
        <v>765</v>
      </c>
      <c r="C165" s="5" t="s">
        <v>174</v>
      </c>
      <c r="D165" s="5" t="s">
        <v>45</v>
      </c>
      <c r="E165" s="5" t="s">
        <v>49</v>
      </c>
      <c r="F165" s="5" t="s">
        <v>53</v>
      </c>
      <c r="G165" s="6" t="s">
        <v>66</v>
      </c>
      <c r="H165" s="5">
        <v>14.92</v>
      </c>
      <c r="I165" s="5">
        <v>38.0</v>
      </c>
      <c r="J165" s="5" t="str">
        <f t="shared" si="1"/>
        <v>Advance</v>
      </c>
      <c r="K165" s="9">
        <v>7336.0</v>
      </c>
    </row>
    <row r="166" ht="15.75" customHeight="1">
      <c r="A166" s="5" t="s">
        <v>768</v>
      </c>
      <c r="B166" s="5" t="s">
        <v>769</v>
      </c>
      <c r="C166" s="5" t="s">
        <v>174</v>
      </c>
      <c r="D166" s="5" t="s">
        <v>20</v>
      </c>
      <c r="E166" s="5" t="s">
        <v>52</v>
      </c>
      <c r="F166" s="5" t="s">
        <v>34</v>
      </c>
      <c r="G166" s="6" t="s">
        <v>180</v>
      </c>
      <c r="H166" s="5">
        <v>21.58</v>
      </c>
      <c r="I166" s="5">
        <v>3.0</v>
      </c>
      <c r="J166" s="5" t="str">
        <f t="shared" si="1"/>
        <v>Last Minute</v>
      </c>
      <c r="K166" s="9">
        <v>23377.0</v>
      </c>
    </row>
    <row r="167" ht="15.75" customHeight="1">
      <c r="A167" s="5" t="s">
        <v>772</v>
      </c>
      <c r="B167" s="5" t="s">
        <v>773</v>
      </c>
      <c r="C167" s="5" t="s">
        <v>174</v>
      </c>
      <c r="D167" s="5" t="s">
        <v>45</v>
      </c>
      <c r="E167" s="5" t="s">
        <v>49</v>
      </c>
      <c r="F167" s="5" t="s">
        <v>34</v>
      </c>
      <c r="G167" s="6" t="s">
        <v>66</v>
      </c>
      <c r="H167" s="5">
        <v>22.33</v>
      </c>
      <c r="I167" s="5">
        <v>4.0</v>
      </c>
      <c r="J167" s="5" t="str">
        <f t="shared" si="1"/>
        <v>Last Minute</v>
      </c>
      <c r="K167" s="9">
        <v>11520.0</v>
      </c>
    </row>
    <row r="168" ht="15.75" customHeight="1">
      <c r="A168" s="5" t="s">
        <v>776</v>
      </c>
      <c r="B168" s="5" t="s">
        <v>777</v>
      </c>
      <c r="C168" s="5" t="s">
        <v>174</v>
      </c>
      <c r="D168" s="5" t="s">
        <v>45</v>
      </c>
      <c r="E168" s="5" t="s">
        <v>49</v>
      </c>
      <c r="F168" s="5" t="s">
        <v>34</v>
      </c>
      <c r="G168" s="6" t="s">
        <v>66</v>
      </c>
      <c r="H168" s="5">
        <v>28.42</v>
      </c>
      <c r="I168" s="5">
        <v>32.0</v>
      </c>
      <c r="J168" s="5" t="str">
        <f t="shared" si="1"/>
        <v>Advance</v>
      </c>
      <c r="K168" s="9">
        <v>4524.0</v>
      </c>
    </row>
    <row r="169" ht="15.75" customHeight="1">
      <c r="A169" s="5" t="s">
        <v>780</v>
      </c>
      <c r="B169" s="5" t="s">
        <v>781</v>
      </c>
      <c r="C169" s="5" t="s">
        <v>174</v>
      </c>
      <c r="D169" s="5" t="s">
        <v>20</v>
      </c>
      <c r="E169" s="5" t="s">
        <v>52</v>
      </c>
      <c r="F169" s="5" t="s">
        <v>34</v>
      </c>
      <c r="G169" s="6" t="s">
        <v>180</v>
      </c>
      <c r="H169" s="5">
        <v>23.75</v>
      </c>
      <c r="I169" s="5">
        <v>4.0</v>
      </c>
      <c r="J169" s="5" t="str">
        <f t="shared" si="1"/>
        <v>Last Minute</v>
      </c>
      <c r="K169" s="9">
        <v>16212.0</v>
      </c>
    </row>
    <row r="170" ht="15.75" customHeight="1">
      <c r="A170" s="5" t="s">
        <v>783</v>
      </c>
      <c r="B170" s="5" t="s">
        <v>784</v>
      </c>
      <c r="C170" s="5" t="s">
        <v>174</v>
      </c>
      <c r="D170" s="5" t="s">
        <v>20</v>
      </c>
      <c r="E170" s="5" t="s">
        <v>52</v>
      </c>
      <c r="F170" s="5" t="s">
        <v>34</v>
      </c>
      <c r="G170" s="6" t="s">
        <v>180</v>
      </c>
      <c r="H170" s="5">
        <v>13.42</v>
      </c>
      <c r="I170" s="5">
        <v>4.0</v>
      </c>
      <c r="J170" s="5" t="str">
        <f t="shared" si="1"/>
        <v>Last Minute</v>
      </c>
      <c r="K170" s="9">
        <v>27270.0</v>
      </c>
    </row>
    <row r="171" ht="15.75" customHeight="1">
      <c r="A171" s="5" t="s">
        <v>785</v>
      </c>
      <c r="B171" s="5" t="s">
        <v>787</v>
      </c>
      <c r="C171" s="5" t="s">
        <v>174</v>
      </c>
      <c r="D171" s="5" t="s">
        <v>43</v>
      </c>
      <c r="E171" s="5" t="s">
        <v>68</v>
      </c>
      <c r="F171" s="5" t="s">
        <v>34</v>
      </c>
      <c r="G171" s="6" t="s">
        <v>37</v>
      </c>
      <c r="H171" s="5">
        <v>3.0</v>
      </c>
      <c r="I171" s="5">
        <v>24.0</v>
      </c>
      <c r="J171" s="5" t="str">
        <f t="shared" si="1"/>
        <v>Moderate</v>
      </c>
      <c r="K171" s="9">
        <v>2343.0</v>
      </c>
    </row>
    <row r="172" ht="15.75" customHeight="1">
      <c r="A172" s="5" t="s">
        <v>788</v>
      </c>
      <c r="B172" s="5" t="s">
        <v>789</v>
      </c>
      <c r="C172" s="5" t="s">
        <v>174</v>
      </c>
      <c r="D172" s="5" t="s">
        <v>20</v>
      </c>
      <c r="E172" s="5" t="s">
        <v>52</v>
      </c>
      <c r="F172" s="5" t="s">
        <v>34</v>
      </c>
      <c r="G172" s="6" t="s">
        <v>66</v>
      </c>
      <c r="H172" s="5">
        <v>6.33</v>
      </c>
      <c r="I172" s="5">
        <v>49.0</v>
      </c>
      <c r="J172" s="5" t="str">
        <f t="shared" si="1"/>
        <v>Advance</v>
      </c>
      <c r="K172" s="9">
        <v>4979.0</v>
      </c>
    </row>
    <row r="173" ht="15.75" customHeight="1">
      <c r="A173" s="5" t="s">
        <v>792</v>
      </c>
      <c r="B173" s="5" t="s">
        <v>793</v>
      </c>
      <c r="C173" s="5" t="s">
        <v>174</v>
      </c>
      <c r="D173" s="5" t="s">
        <v>20</v>
      </c>
      <c r="E173" s="5" t="s">
        <v>52</v>
      </c>
      <c r="F173" s="5" t="s">
        <v>34</v>
      </c>
      <c r="G173" s="6" t="s">
        <v>180</v>
      </c>
      <c r="H173" s="5">
        <v>15.0</v>
      </c>
      <c r="I173" s="5">
        <v>44.0</v>
      </c>
      <c r="J173" s="5" t="str">
        <f t="shared" si="1"/>
        <v>Advance</v>
      </c>
      <c r="K173" s="9">
        <v>8719.0</v>
      </c>
    </row>
    <row r="174" ht="15.75" customHeight="1">
      <c r="A174" s="5" t="s">
        <v>794</v>
      </c>
      <c r="B174" s="5" t="s">
        <v>795</v>
      </c>
      <c r="C174" s="5" t="s">
        <v>174</v>
      </c>
      <c r="D174" s="5" t="s">
        <v>72</v>
      </c>
      <c r="E174" s="5" t="s">
        <v>266</v>
      </c>
      <c r="F174" s="5" t="s">
        <v>34</v>
      </c>
      <c r="G174" s="6" t="s">
        <v>66</v>
      </c>
      <c r="H174" s="5">
        <v>19.83</v>
      </c>
      <c r="I174" s="5">
        <v>23.0</v>
      </c>
      <c r="J174" s="5" t="str">
        <f t="shared" si="1"/>
        <v>Moderate</v>
      </c>
      <c r="K174" s="9">
        <v>4149.0</v>
      </c>
    </row>
    <row r="175" ht="15.75" customHeight="1">
      <c r="A175" s="5" t="s">
        <v>799</v>
      </c>
      <c r="B175" s="5" t="s">
        <v>800</v>
      </c>
      <c r="C175" s="5" t="s">
        <v>174</v>
      </c>
      <c r="D175" s="5" t="s">
        <v>43</v>
      </c>
      <c r="E175" s="5" t="s">
        <v>68</v>
      </c>
      <c r="F175" s="5" t="s">
        <v>34</v>
      </c>
      <c r="G175" s="6" t="s">
        <v>66</v>
      </c>
      <c r="H175" s="5">
        <v>11.92</v>
      </c>
      <c r="I175" s="5">
        <v>12.0</v>
      </c>
      <c r="J175" s="5" t="str">
        <f t="shared" si="1"/>
        <v>Short Notice</v>
      </c>
      <c r="K175" s="9">
        <v>7950.0</v>
      </c>
    </row>
    <row r="176" ht="15.75" customHeight="1">
      <c r="A176" s="5" t="s">
        <v>802</v>
      </c>
      <c r="B176" s="5" t="s">
        <v>803</v>
      </c>
      <c r="C176" s="5" t="s">
        <v>174</v>
      </c>
      <c r="D176" s="5" t="s">
        <v>45</v>
      </c>
      <c r="E176" s="5" t="s">
        <v>49</v>
      </c>
      <c r="F176" s="5" t="s">
        <v>34</v>
      </c>
      <c r="G176" s="6" t="s">
        <v>66</v>
      </c>
      <c r="H176" s="5">
        <v>20.83</v>
      </c>
      <c r="I176" s="5">
        <v>46.0</v>
      </c>
      <c r="J176" s="5" t="str">
        <f t="shared" si="1"/>
        <v>Advance</v>
      </c>
      <c r="K176" s="9">
        <v>4524.0</v>
      </c>
    </row>
    <row r="177" ht="15.75" customHeight="1">
      <c r="A177" s="5" t="s">
        <v>804</v>
      </c>
      <c r="B177" s="5" t="s">
        <v>805</v>
      </c>
      <c r="C177" s="5" t="s">
        <v>174</v>
      </c>
      <c r="D177" s="5" t="s">
        <v>58</v>
      </c>
      <c r="E177" s="5" t="s">
        <v>59</v>
      </c>
      <c r="F177" s="5" t="s">
        <v>34</v>
      </c>
      <c r="G177" s="6">
        <v>1.0</v>
      </c>
      <c r="H177" s="5">
        <v>15.33</v>
      </c>
      <c r="I177" s="5">
        <v>26.0</v>
      </c>
      <c r="J177" s="5" t="str">
        <f t="shared" si="1"/>
        <v>Moderate</v>
      </c>
      <c r="K177" s="9">
        <v>4896.0</v>
      </c>
    </row>
    <row r="178" ht="15.75" customHeight="1">
      <c r="A178" s="5" t="s">
        <v>807</v>
      </c>
      <c r="B178" s="5" t="s">
        <v>808</v>
      </c>
      <c r="C178" s="5" t="s">
        <v>174</v>
      </c>
      <c r="D178" s="5" t="s">
        <v>29</v>
      </c>
      <c r="E178" s="5" t="s">
        <v>32</v>
      </c>
      <c r="F178" s="5" t="s">
        <v>34</v>
      </c>
      <c r="G178" s="6">
        <v>1.0</v>
      </c>
      <c r="H178" s="5">
        <v>5.75</v>
      </c>
      <c r="I178" s="5">
        <v>12.0</v>
      </c>
      <c r="J178" s="5" t="str">
        <f t="shared" si="1"/>
        <v>Short Notice</v>
      </c>
      <c r="K178" s="9">
        <v>7426.0</v>
      </c>
    </row>
    <row r="179" ht="15.75" customHeight="1">
      <c r="A179" s="5" t="s">
        <v>810</v>
      </c>
      <c r="B179" s="5" t="s">
        <v>811</v>
      </c>
      <c r="C179" s="5" t="s">
        <v>174</v>
      </c>
      <c r="D179" s="5" t="s">
        <v>29</v>
      </c>
      <c r="E179" s="5" t="s">
        <v>32</v>
      </c>
      <c r="F179" s="5" t="s">
        <v>34</v>
      </c>
      <c r="G179" s="6" t="s">
        <v>180</v>
      </c>
      <c r="H179" s="5">
        <v>6.42</v>
      </c>
      <c r="I179" s="5">
        <v>16.0</v>
      </c>
      <c r="J179" s="5" t="str">
        <f t="shared" si="1"/>
        <v>Moderate</v>
      </c>
      <c r="K179" s="9">
        <v>4508.0</v>
      </c>
    </row>
    <row r="180" ht="15.75" customHeight="1">
      <c r="A180" s="5" t="s">
        <v>812</v>
      </c>
      <c r="B180" s="5" t="s">
        <v>813</v>
      </c>
      <c r="C180" s="5" t="s">
        <v>174</v>
      </c>
      <c r="D180" s="5" t="s">
        <v>43</v>
      </c>
      <c r="E180" s="5" t="s">
        <v>68</v>
      </c>
      <c r="F180" s="5" t="s">
        <v>34</v>
      </c>
      <c r="G180" s="6" t="s">
        <v>66</v>
      </c>
      <c r="H180" s="5">
        <v>8.0</v>
      </c>
      <c r="I180" s="5">
        <v>27.0</v>
      </c>
      <c r="J180" s="5" t="str">
        <f t="shared" si="1"/>
        <v>Moderate</v>
      </c>
      <c r="K180" s="9">
        <v>3266.0</v>
      </c>
    </row>
    <row r="181" ht="15.75" customHeight="1">
      <c r="A181" s="5" t="s">
        <v>815</v>
      </c>
      <c r="B181" s="5" t="s">
        <v>816</v>
      </c>
      <c r="C181" s="5" t="s">
        <v>174</v>
      </c>
      <c r="D181" s="5" t="s">
        <v>20</v>
      </c>
      <c r="E181" s="5" t="s">
        <v>52</v>
      </c>
      <c r="F181" s="5" t="s">
        <v>53</v>
      </c>
      <c r="G181" s="6" t="s">
        <v>66</v>
      </c>
      <c r="H181" s="5">
        <v>22.25</v>
      </c>
      <c r="I181" s="5">
        <v>33.0</v>
      </c>
      <c r="J181" s="5" t="str">
        <f t="shared" si="1"/>
        <v>Advance</v>
      </c>
      <c r="K181" s="9">
        <v>57992.0</v>
      </c>
    </row>
    <row r="182" ht="15.75" customHeight="1">
      <c r="A182" s="5" t="s">
        <v>818</v>
      </c>
      <c r="B182" s="5" t="s">
        <v>819</v>
      </c>
      <c r="C182" s="5" t="s">
        <v>174</v>
      </c>
      <c r="D182" s="5" t="s">
        <v>20</v>
      </c>
      <c r="E182" s="5" t="s">
        <v>52</v>
      </c>
      <c r="F182" s="5" t="s">
        <v>34</v>
      </c>
      <c r="G182" s="6" t="s">
        <v>180</v>
      </c>
      <c r="H182" s="5">
        <v>28.42</v>
      </c>
      <c r="I182" s="5">
        <v>40.0</v>
      </c>
      <c r="J182" s="5" t="str">
        <f t="shared" si="1"/>
        <v>Advance</v>
      </c>
      <c r="K182" s="9">
        <v>7879.0</v>
      </c>
    </row>
    <row r="183" ht="15.75" customHeight="1">
      <c r="A183" s="5" t="s">
        <v>820</v>
      </c>
      <c r="B183" s="5" t="s">
        <v>821</v>
      </c>
      <c r="C183" s="5" t="s">
        <v>174</v>
      </c>
      <c r="D183" s="5" t="s">
        <v>45</v>
      </c>
      <c r="E183" s="5" t="s">
        <v>49</v>
      </c>
      <c r="F183" s="5" t="s">
        <v>53</v>
      </c>
      <c r="G183" s="6" t="s">
        <v>66</v>
      </c>
      <c r="H183" s="5">
        <v>23.25</v>
      </c>
      <c r="I183" s="5">
        <v>48.0</v>
      </c>
      <c r="J183" s="5" t="str">
        <f t="shared" si="1"/>
        <v>Advance</v>
      </c>
      <c r="K183" s="9">
        <v>45257.0</v>
      </c>
    </row>
    <row r="184" ht="15.75" customHeight="1">
      <c r="A184" s="5" t="s">
        <v>822</v>
      </c>
      <c r="B184" s="5" t="s">
        <v>823</v>
      </c>
      <c r="C184" s="5" t="s">
        <v>174</v>
      </c>
      <c r="D184" s="5" t="s">
        <v>45</v>
      </c>
      <c r="E184" s="5" t="s">
        <v>49</v>
      </c>
      <c r="F184" s="5" t="s">
        <v>53</v>
      </c>
      <c r="G184" s="6" t="s">
        <v>180</v>
      </c>
      <c r="H184" s="5">
        <v>12.92</v>
      </c>
      <c r="I184" s="5">
        <v>48.0</v>
      </c>
      <c r="J184" s="5" t="str">
        <f t="shared" si="1"/>
        <v>Advance</v>
      </c>
      <c r="K184" s="9">
        <v>70323.0</v>
      </c>
    </row>
    <row r="185" ht="15.75" customHeight="1">
      <c r="A185" s="5" t="s">
        <v>824</v>
      </c>
      <c r="B185" s="5" t="s">
        <v>825</v>
      </c>
      <c r="C185" s="5" t="s">
        <v>174</v>
      </c>
      <c r="D185" s="5" t="s">
        <v>29</v>
      </c>
      <c r="E185" s="5" t="s">
        <v>32</v>
      </c>
      <c r="F185" s="5" t="s">
        <v>34</v>
      </c>
      <c r="G185" s="6" t="s">
        <v>66</v>
      </c>
      <c r="H185" s="5">
        <v>8.5</v>
      </c>
      <c r="I185" s="5">
        <v>46.0</v>
      </c>
      <c r="J185" s="5" t="str">
        <f t="shared" si="1"/>
        <v>Advance</v>
      </c>
      <c r="K185" s="9">
        <v>1998.0</v>
      </c>
    </row>
    <row r="186" ht="15.75" customHeight="1">
      <c r="A186" s="5" t="s">
        <v>826</v>
      </c>
      <c r="B186" s="5" t="s">
        <v>827</v>
      </c>
      <c r="C186" s="5" t="s">
        <v>174</v>
      </c>
      <c r="D186" s="5" t="s">
        <v>43</v>
      </c>
      <c r="E186" s="5" t="s">
        <v>68</v>
      </c>
      <c r="F186" s="5" t="s">
        <v>34</v>
      </c>
      <c r="G186" s="6" t="s">
        <v>37</v>
      </c>
      <c r="H186" s="5">
        <v>2.92</v>
      </c>
      <c r="I186" s="5">
        <v>46.0</v>
      </c>
      <c r="J186" s="5" t="str">
        <f t="shared" si="1"/>
        <v>Advance</v>
      </c>
      <c r="K186" s="9">
        <v>2823.0</v>
      </c>
    </row>
    <row r="187" ht="15.75" customHeight="1">
      <c r="A187" s="5" t="s">
        <v>828</v>
      </c>
      <c r="B187" s="5" t="s">
        <v>830</v>
      </c>
      <c r="C187" s="5" t="s">
        <v>174</v>
      </c>
      <c r="D187" s="5" t="s">
        <v>43</v>
      </c>
      <c r="E187" s="5" t="s">
        <v>68</v>
      </c>
      <c r="F187" s="5" t="s">
        <v>34</v>
      </c>
      <c r="G187" s="6" t="s">
        <v>66</v>
      </c>
      <c r="H187" s="5">
        <v>8.42</v>
      </c>
      <c r="I187" s="5">
        <v>46.0</v>
      </c>
      <c r="J187" s="5" t="str">
        <f t="shared" si="1"/>
        <v>Advance</v>
      </c>
      <c r="K187" s="9">
        <v>3389.0</v>
      </c>
    </row>
    <row r="188" ht="15.75" customHeight="1">
      <c r="A188" s="5" t="s">
        <v>832</v>
      </c>
      <c r="B188" s="5" t="s">
        <v>833</v>
      </c>
      <c r="C188" s="5" t="s">
        <v>174</v>
      </c>
      <c r="D188" s="5" t="s">
        <v>45</v>
      </c>
      <c r="E188" s="5" t="s">
        <v>49</v>
      </c>
      <c r="F188" s="5" t="s">
        <v>53</v>
      </c>
      <c r="G188" s="6" t="s">
        <v>66</v>
      </c>
      <c r="H188" s="5">
        <v>16.17</v>
      </c>
      <c r="I188" s="5">
        <v>48.0</v>
      </c>
      <c r="J188" s="5" t="str">
        <f t="shared" si="1"/>
        <v>Advance</v>
      </c>
      <c r="K188" s="9">
        <v>45257.0</v>
      </c>
    </row>
    <row r="189" ht="15.75" customHeight="1">
      <c r="A189" s="5" t="s">
        <v>835</v>
      </c>
      <c r="B189" s="5" t="s">
        <v>836</v>
      </c>
      <c r="C189" s="5" t="s">
        <v>174</v>
      </c>
      <c r="D189" s="5" t="s">
        <v>43</v>
      </c>
      <c r="E189" s="5" t="s">
        <v>68</v>
      </c>
      <c r="F189" s="5" t="s">
        <v>34</v>
      </c>
      <c r="G189" s="6" t="s">
        <v>66</v>
      </c>
      <c r="H189" s="5">
        <v>10.08</v>
      </c>
      <c r="I189" s="5">
        <v>46.0</v>
      </c>
      <c r="J189" s="5" t="str">
        <f t="shared" si="1"/>
        <v>Advance</v>
      </c>
      <c r="K189" s="9">
        <v>3389.0</v>
      </c>
    </row>
    <row r="190" ht="15.75" customHeight="1">
      <c r="A190" s="5" t="s">
        <v>838</v>
      </c>
      <c r="B190" s="5" t="s">
        <v>839</v>
      </c>
      <c r="C190" s="5" t="s">
        <v>174</v>
      </c>
      <c r="D190" s="5" t="s">
        <v>45</v>
      </c>
      <c r="E190" s="5" t="s">
        <v>49</v>
      </c>
      <c r="F190" s="5" t="s">
        <v>53</v>
      </c>
      <c r="G190" s="6" t="s">
        <v>66</v>
      </c>
      <c r="H190" s="5">
        <v>27.92</v>
      </c>
      <c r="I190" s="5">
        <v>47.0</v>
      </c>
      <c r="J190" s="5" t="str">
        <f t="shared" si="1"/>
        <v>Advance</v>
      </c>
      <c r="K190" s="9">
        <v>54003.0</v>
      </c>
    </row>
    <row r="191" ht="15.75" customHeight="1">
      <c r="A191" s="5" t="s">
        <v>841</v>
      </c>
      <c r="B191" s="5" t="s">
        <v>843</v>
      </c>
      <c r="C191" s="5" t="s">
        <v>174</v>
      </c>
      <c r="D191" s="5" t="s">
        <v>45</v>
      </c>
      <c r="E191" s="5" t="s">
        <v>49</v>
      </c>
      <c r="F191" s="5" t="s">
        <v>53</v>
      </c>
      <c r="G191" s="6" t="s">
        <v>66</v>
      </c>
      <c r="H191" s="5">
        <v>14.17</v>
      </c>
      <c r="I191" s="5">
        <v>48.0</v>
      </c>
      <c r="J191" s="5" t="str">
        <f t="shared" si="1"/>
        <v>Advance</v>
      </c>
      <c r="K191" s="9">
        <v>38626.0</v>
      </c>
    </row>
    <row r="192" ht="15.75" customHeight="1">
      <c r="A192" s="5" t="s">
        <v>845</v>
      </c>
      <c r="B192" s="5" t="s">
        <v>846</v>
      </c>
      <c r="C192" s="5" t="s">
        <v>174</v>
      </c>
      <c r="D192" s="5" t="s">
        <v>45</v>
      </c>
      <c r="E192" s="5" t="s">
        <v>49</v>
      </c>
      <c r="F192" s="5" t="s">
        <v>53</v>
      </c>
      <c r="G192" s="6" t="s">
        <v>66</v>
      </c>
      <c r="H192" s="5">
        <v>14.92</v>
      </c>
      <c r="I192" s="5">
        <v>48.0</v>
      </c>
      <c r="J192" s="5" t="str">
        <f t="shared" si="1"/>
        <v>Advance</v>
      </c>
      <c r="K192" s="9">
        <v>54003.0</v>
      </c>
    </row>
    <row r="193" ht="15.75" customHeight="1">
      <c r="A193" s="5" t="s">
        <v>848</v>
      </c>
      <c r="B193" s="5" t="s">
        <v>849</v>
      </c>
      <c r="C193" s="5" t="s">
        <v>174</v>
      </c>
      <c r="D193" s="5" t="s">
        <v>45</v>
      </c>
      <c r="E193" s="5" t="s">
        <v>49</v>
      </c>
      <c r="F193" s="5" t="s">
        <v>53</v>
      </c>
      <c r="G193" s="6" t="s">
        <v>180</v>
      </c>
      <c r="H193" s="5">
        <v>22.92</v>
      </c>
      <c r="I193" s="5">
        <v>49.0</v>
      </c>
      <c r="J193" s="5" t="str">
        <f t="shared" si="1"/>
        <v>Advance</v>
      </c>
      <c r="K193" s="9">
        <v>52728.0</v>
      </c>
    </row>
    <row r="194" ht="15.75" customHeight="1">
      <c r="A194" s="5" t="s">
        <v>850</v>
      </c>
      <c r="B194" s="5" t="s">
        <v>851</v>
      </c>
      <c r="C194" s="5" t="s">
        <v>174</v>
      </c>
      <c r="D194" s="5" t="s">
        <v>45</v>
      </c>
      <c r="E194" s="5" t="s">
        <v>49</v>
      </c>
      <c r="F194" s="5" t="s">
        <v>34</v>
      </c>
      <c r="G194" s="6" t="s">
        <v>180</v>
      </c>
      <c r="H194" s="5">
        <v>24.33</v>
      </c>
      <c r="I194" s="5">
        <v>49.0</v>
      </c>
      <c r="J194" s="5" t="str">
        <f t="shared" si="1"/>
        <v>Advance</v>
      </c>
      <c r="K194" s="9">
        <v>7439.0</v>
      </c>
    </row>
    <row r="195" ht="15.75" customHeight="1">
      <c r="A195" s="5" t="s">
        <v>852</v>
      </c>
      <c r="B195" s="5" t="s">
        <v>853</v>
      </c>
      <c r="C195" s="5" t="s">
        <v>195</v>
      </c>
      <c r="D195" s="5" t="s">
        <v>58</v>
      </c>
      <c r="E195" s="5" t="s">
        <v>59</v>
      </c>
      <c r="F195" s="5" t="s">
        <v>34</v>
      </c>
      <c r="G195" s="6" t="s">
        <v>37</v>
      </c>
      <c r="H195" s="5">
        <v>2.17</v>
      </c>
      <c r="J195" s="5" t="str">
        <f t="shared" si="1"/>
        <v>Last Minute</v>
      </c>
      <c r="K195" s="9">
        <v>2339.0</v>
      </c>
    </row>
    <row r="196" ht="15.75" customHeight="1">
      <c r="A196" s="5" t="s">
        <v>855</v>
      </c>
      <c r="B196" s="5" t="s">
        <v>856</v>
      </c>
      <c r="C196" s="5" t="s">
        <v>195</v>
      </c>
      <c r="D196" s="5" t="s">
        <v>45</v>
      </c>
      <c r="E196" s="5" t="s">
        <v>49</v>
      </c>
      <c r="F196" s="5" t="s">
        <v>53</v>
      </c>
      <c r="G196" s="6" t="s">
        <v>37</v>
      </c>
      <c r="H196" s="5">
        <v>2.25</v>
      </c>
      <c r="I196" s="5">
        <v>33.0</v>
      </c>
      <c r="J196" s="5" t="str">
        <f t="shared" si="1"/>
        <v>Advance</v>
      </c>
      <c r="K196" s="9">
        <v>22140.0</v>
      </c>
    </row>
    <row r="197" ht="15.75" customHeight="1">
      <c r="A197" s="5" t="s">
        <v>858</v>
      </c>
      <c r="B197" s="5" t="s">
        <v>859</v>
      </c>
      <c r="C197" s="5" t="s">
        <v>195</v>
      </c>
      <c r="D197" s="5" t="s">
        <v>20</v>
      </c>
      <c r="E197" s="5" t="s">
        <v>52</v>
      </c>
      <c r="F197" s="5" t="s">
        <v>53</v>
      </c>
      <c r="G197" s="6" t="s">
        <v>37</v>
      </c>
      <c r="H197" s="5">
        <v>2.08</v>
      </c>
      <c r="I197" s="5">
        <v>15.0</v>
      </c>
      <c r="J197" s="5" t="str">
        <f t="shared" si="1"/>
        <v>Short Notice</v>
      </c>
      <c r="K197" s="9">
        <v>22140.0</v>
      </c>
    </row>
    <row r="198" ht="15.75" customHeight="1">
      <c r="A198" s="5" t="s">
        <v>860</v>
      </c>
      <c r="B198" s="5" t="s">
        <v>862</v>
      </c>
      <c r="C198" s="5" t="s">
        <v>195</v>
      </c>
      <c r="D198" s="5" t="s">
        <v>20</v>
      </c>
      <c r="E198" s="5" t="s">
        <v>52</v>
      </c>
      <c r="F198" s="5" t="s">
        <v>53</v>
      </c>
      <c r="G198" s="6" t="s">
        <v>66</v>
      </c>
      <c r="H198" s="5">
        <v>15.42</v>
      </c>
      <c r="I198" s="5">
        <v>4.0</v>
      </c>
      <c r="J198" s="5" t="str">
        <f t="shared" si="1"/>
        <v>Last Minute</v>
      </c>
      <c r="K198" s="9">
        <v>53152.0</v>
      </c>
    </row>
    <row r="199" ht="15.75" customHeight="1">
      <c r="A199" s="5" t="s">
        <v>863</v>
      </c>
      <c r="B199" s="5" t="s">
        <v>864</v>
      </c>
      <c r="C199" s="5" t="s">
        <v>195</v>
      </c>
      <c r="D199" s="5" t="s">
        <v>20</v>
      </c>
      <c r="E199" s="5" t="s">
        <v>52</v>
      </c>
      <c r="F199" s="5" t="s">
        <v>34</v>
      </c>
      <c r="G199" s="6" t="s">
        <v>66</v>
      </c>
      <c r="H199" s="5">
        <v>27.67</v>
      </c>
      <c r="I199" s="5">
        <v>1.0</v>
      </c>
      <c r="J199" s="5" t="str">
        <f t="shared" si="1"/>
        <v>Last Minute</v>
      </c>
      <c r="K199" s="9">
        <v>22061.0</v>
      </c>
    </row>
    <row r="200" ht="15.75" customHeight="1">
      <c r="A200" s="5" t="s">
        <v>866</v>
      </c>
      <c r="B200" s="5" t="s">
        <v>868</v>
      </c>
      <c r="C200" s="5" t="s">
        <v>195</v>
      </c>
      <c r="D200" s="5" t="s">
        <v>20</v>
      </c>
      <c r="E200" s="5" t="s">
        <v>52</v>
      </c>
      <c r="F200" s="5" t="s">
        <v>53</v>
      </c>
      <c r="G200" s="6" t="s">
        <v>66</v>
      </c>
      <c r="H200" s="5">
        <v>10.75</v>
      </c>
      <c r="I200" s="5">
        <v>23.0</v>
      </c>
      <c r="J200" s="5" t="str">
        <f t="shared" si="1"/>
        <v>Moderate</v>
      </c>
      <c r="K200" s="9">
        <v>59917.0</v>
      </c>
    </row>
    <row r="201" ht="15.75" customHeight="1">
      <c r="A201" s="5" t="s">
        <v>869</v>
      </c>
      <c r="B201" s="5" t="s">
        <v>870</v>
      </c>
      <c r="C201" s="5" t="s">
        <v>195</v>
      </c>
      <c r="D201" s="5" t="s">
        <v>45</v>
      </c>
      <c r="E201" s="5" t="s">
        <v>49</v>
      </c>
      <c r="F201" s="5" t="s">
        <v>53</v>
      </c>
      <c r="G201" s="6" t="s">
        <v>66</v>
      </c>
      <c r="H201" s="5">
        <v>13.0</v>
      </c>
      <c r="I201" s="5">
        <v>35.0</v>
      </c>
      <c r="J201" s="5" t="str">
        <f t="shared" si="1"/>
        <v>Advance</v>
      </c>
      <c r="K201" s="9">
        <v>40435.0</v>
      </c>
    </row>
    <row r="202" ht="15.75" customHeight="1">
      <c r="A202" s="5" t="s">
        <v>872</v>
      </c>
      <c r="B202" s="5" t="s">
        <v>873</v>
      </c>
      <c r="C202" s="5" t="s">
        <v>195</v>
      </c>
      <c r="D202" s="5" t="s">
        <v>45</v>
      </c>
      <c r="E202" s="5" t="s">
        <v>49</v>
      </c>
      <c r="F202" s="5" t="s">
        <v>53</v>
      </c>
      <c r="G202" s="6" t="s">
        <v>66</v>
      </c>
      <c r="H202" s="5">
        <v>27.17</v>
      </c>
      <c r="I202" s="5">
        <v>1.0</v>
      </c>
      <c r="J202" s="5" t="str">
        <f t="shared" si="1"/>
        <v>Last Minute</v>
      </c>
      <c r="K202" s="9">
        <v>59964.0</v>
      </c>
    </row>
    <row r="203" ht="15.75" customHeight="1">
      <c r="A203" s="5" t="s">
        <v>874</v>
      </c>
      <c r="B203" s="5" t="s">
        <v>875</v>
      </c>
      <c r="C203" s="5" t="s">
        <v>195</v>
      </c>
      <c r="D203" s="5" t="s">
        <v>58</v>
      </c>
      <c r="E203" s="5" t="s">
        <v>59</v>
      </c>
      <c r="F203" s="5" t="s">
        <v>34</v>
      </c>
      <c r="G203" s="6" t="s">
        <v>37</v>
      </c>
      <c r="H203" s="5">
        <v>2.17</v>
      </c>
      <c r="I203" s="5">
        <v>39.0</v>
      </c>
      <c r="J203" s="5" t="str">
        <f t="shared" si="1"/>
        <v>Advance</v>
      </c>
      <c r="K203" s="9">
        <v>2339.0</v>
      </c>
    </row>
    <row r="204" ht="15.75" customHeight="1">
      <c r="A204" s="5" t="s">
        <v>877</v>
      </c>
      <c r="B204" s="5" t="s">
        <v>878</v>
      </c>
      <c r="C204" s="5" t="s">
        <v>195</v>
      </c>
      <c r="D204" s="5" t="s">
        <v>72</v>
      </c>
      <c r="E204" s="5" t="s">
        <v>266</v>
      </c>
      <c r="F204" s="5" t="s">
        <v>34</v>
      </c>
      <c r="G204" s="6" t="s">
        <v>37</v>
      </c>
      <c r="H204" s="5">
        <v>2.25</v>
      </c>
      <c r="I204" s="5">
        <v>29.0</v>
      </c>
      <c r="J204" s="5" t="str">
        <f t="shared" si="1"/>
        <v>Moderate</v>
      </c>
      <c r="K204" s="9">
        <v>2614.0</v>
      </c>
    </row>
    <row r="205" ht="15.75" customHeight="1">
      <c r="A205" s="5" t="s">
        <v>880</v>
      </c>
      <c r="B205" s="5" t="s">
        <v>881</v>
      </c>
      <c r="C205" s="5" t="s">
        <v>195</v>
      </c>
      <c r="D205" s="5" t="s">
        <v>45</v>
      </c>
      <c r="E205" s="5" t="s">
        <v>49</v>
      </c>
      <c r="F205" s="5" t="s">
        <v>34</v>
      </c>
      <c r="G205" s="6">
        <v>1.0</v>
      </c>
      <c r="H205" s="5">
        <v>11.0</v>
      </c>
      <c r="I205" s="5">
        <v>2.0</v>
      </c>
      <c r="J205" s="5" t="str">
        <f t="shared" si="1"/>
        <v>Last Minute</v>
      </c>
      <c r="K205" s="9">
        <v>14723.0</v>
      </c>
    </row>
    <row r="206" ht="15.75" customHeight="1">
      <c r="A206" s="5" t="s">
        <v>883</v>
      </c>
      <c r="B206" s="5" t="s">
        <v>884</v>
      </c>
      <c r="C206" s="5" t="s">
        <v>195</v>
      </c>
      <c r="D206" s="5" t="s">
        <v>45</v>
      </c>
      <c r="E206" s="5" t="s">
        <v>49</v>
      </c>
      <c r="F206" s="5" t="s">
        <v>34</v>
      </c>
      <c r="G206" s="6" t="s">
        <v>66</v>
      </c>
      <c r="H206" s="5">
        <v>27.33</v>
      </c>
      <c r="I206" s="5">
        <v>13.0</v>
      </c>
      <c r="J206" s="5" t="str">
        <f t="shared" si="1"/>
        <v>Short Notice</v>
      </c>
      <c r="K206" s="9">
        <v>17388.0</v>
      </c>
    </row>
    <row r="207" ht="15.75" customHeight="1">
      <c r="A207" s="5" t="s">
        <v>885</v>
      </c>
      <c r="B207" s="5" t="s">
        <v>886</v>
      </c>
      <c r="C207" s="5" t="s">
        <v>195</v>
      </c>
      <c r="D207" s="5" t="s">
        <v>45</v>
      </c>
      <c r="E207" s="5" t="s">
        <v>49</v>
      </c>
      <c r="F207" s="5" t="s">
        <v>34</v>
      </c>
      <c r="G207" s="6" t="s">
        <v>66</v>
      </c>
      <c r="H207" s="5">
        <v>24.0</v>
      </c>
      <c r="I207" s="5">
        <v>3.0</v>
      </c>
      <c r="J207" s="5" t="str">
        <f t="shared" si="1"/>
        <v>Last Minute</v>
      </c>
      <c r="K207" s="9">
        <v>16968.0</v>
      </c>
    </row>
    <row r="208" ht="15.75" customHeight="1">
      <c r="A208" s="5" t="s">
        <v>888</v>
      </c>
      <c r="B208" s="5" t="s">
        <v>889</v>
      </c>
      <c r="C208" s="5" t="s">
        <v>195</v>
      </c>
      <c r="D208" s="5" t="s">
        <v>45</v>
      </c>
      <c r="E208" s="5" t="s">
        <v>49</v>
      </c>
      <c r="F208" s="5" t="s">
        <v>34</v>
      </c>
      <c r="G208" s="6" t="s">
        <v>66</v>
      </c>
      <c r="H208" s="5">
        <v>7.67</v>
      </c>
      <c r="I208" s="5">
        <v>34.0</v>
      </c>
      <c r="J208" s="5" t="str">
        <f t="shared" si="1"/>
        <v>Advance</v>
      </c>
      <c r="K208" s="9">
        <v>3843.0</v>
      </c>
    </row>
    <row r="209" ht="15.75" customHeight="1">
      <c r="A209" s="5" t="s">
        <v>891</v>
      </c>
      <c r="B209" s="5" t="s">
        <v>892</v>
      </c>
      <c r="C209" s="5" t="s">
        <v>195</v>
      </c>
      <c r="D209" s="5" t="s">
        <v>58</v>
      </c>
      <c r="E209" s="5" t="s">
        <v>59</v>
      </c>
      <c r="F209" s="5" t="s">
        <v>34</v>
      </c>
      <c r="G209" s="6" t="s">
        <v>66</v>
      </c>
      <c r="H209" s="5">
        <v>5.75</v>
      </c>
      <c r="I209" s="5">
        <v>3.0</v>
      </c>
      <c r="J209" s="5" t="str">
        <f t="shared" si="1"/>
        <v>Last Minute</v>
      </c>
      <c r="K209" s="9">
        <v>31773.0</v>
      </c>
    </row>
    <row r="210" ht="15.75" customHeight="1">
      <c r="A210" s="5" t="s">
        <v>894</v>
      </c>
      <c r="B210" s="5" t="s">
        <v>895</v>
      </c>
      <c r="C210" s="5" t="s">
        <v>195</v>
      </c>
      <c r="D210" s="5" t="s">
        <v>58</v>
      </c>
      <c r="E210" s="5" t="s">
        <v>59</v>
      </c>
      <c r="F210" s="5" t="s">
        <v>34</v>
      </c>
      <c r="G210" s="6" t="s">
        <v>66</v>
      </c>
      <c r="H210" s="5">
        <v>11.33</v>
      </c>
      <c r="I210" s="5">
        <v>4.0</v>
      </c>
      <c r="J210" s="5" t="str">
        <f t="shared" si="1"/>
        <v>Last Minute</v>
      </c>
      <c r="K210" s="9">
        <v>5942.0</v>
      </c>
    </row>
    <row r="211" ht="15.75" customHeight="1">
      <c r="A211" s="5" t="s">
        <v>897</v>
      </c>
      <c r="B211" s="5" t="s">
        <v>898</v>
      </c>
      <c r="C211" s="5" t="s">
        <v>195</v>
      </c>
      <c r="D211" s="5" t="s">
        <v>58</v>
      </c>
      <c r="E211" s="5" t="s">
        <v>59</v>
      </c>
      <c r="F211" s="5" t="s">
        <v>34</v>
      </c>
      <c r="G211" s="6" t="s">
        <v>180</v>
      </c>
      <c r="H211" s="5">
        <v>11.5</v>
      </c>
      <c r="I211" s="5">
        <v>5.0</v>
      </c>
      <c r="J211" s="5" t="str">
        <f t="shared" si="1"/>
        <v>Last Minute</v>
      </c>
      <c r="K211" s="9">
        <v>5942.0</v>
      </c>
    </row>
    <row r="212" ht="15.75" customHeight="1">
      <c r="A212" s="5" t="s">
        <v>899</v>
      </c>
      <c r="B212" s="5" t="s">
        <v>900</v>
      </c>
      <c r="C212" s="5" t="s">
        <v>195</v>
      </c>
      <c r="D212" s="5" t="s">
        <v>20</v>
      </c>
      <c r="E212" s="5" t="s">
        <v>52</v>
      </c>
      <c r="F212" s="5" t="s">
        <v>34</v>
      </c>
      <c r="G212" s="6">
        <v>1.0</v>
      </c>
      <c r="H212" s="5">
        <v>10.5</v>
      </c>
      <c r="I212" s="5">
        <v>12.0</v>
      </c>
      <c r="J212" s="5" t="str">
        <f t="shared" si="1"/>
        <v>Short Notice</v>
      </c>
      <c r="K212" s="9">
        <v>9776.0</v>
      </c>
    </row>
    <row r="213" ht="15.75" customHeight="1">
      <c r="A213" s="5" t="s">
        <v>902</v>
      </c>
      <c r="B213" s="5" t="s">
        <v>903</v>
      </c>
      <c r="C213" s="5" t="s">
        <v>195</v>
      </c>
      <c r="D213" s="5" t="s">
        <v>45</v>
      </c>
      <c r="E213" s="5" t="s">
        <v>49</v>
      </c>
      <c r="F213" s="5" t="s">
        <v>34</v>
      </c>
      <c r="G213" s="6" t="s">
        <v>66</v>
      </c>
      <c r="H213" s="5">
        <v>22.25</v>
      </c>
      <c r="I213" s="5">
        <v>9.0</v>
      </c>
      <c r="J213" s="5" t="str">
        <f t="shared" si="1"/>
        <v>Short Notice</v>
      </c>
      <c r="K213" s="9">
        <v>21903.0</v>
      </c>
    </row>
    <row r="214" ht="15.75" customHeight="1">
      <c r="A214" s="5" t="s">
        <v>905</v>
      </c>
      <c r="B214" s="5" t="s">
        <v>906</v>
      </c>
      <c r="C214" s="5" t="s">
        <v>195</v>
      </c>
      <c r="D214" s="5" t="s">
        <v>58</v>
      </c>
      <c r="E214" s="5" t="s">
        <v>59</v>
      </c>
      <c r="F214" s="5" t="s">
        <v>34</v>
      </c>
      <c r="G214" s="6" t="s">
        <v>180</v>
      </c>
      <c r="H214" s="5">
        <v>7.67</v>
      </c>
      <c r="I214" s="5">
        <v>7.0</v>
      </c>
      <c r="J214" s="5" t="str">
        <f t="shared" si="1"/>
        <v>Last Minute</v>
      </c>
      <c r="K214" s="9">
        <v>5942.0</v>
      </c>
    </row>
    <row r="215" ht="15.75" customHeight="1">
      <c r="A215" s="5" t="s">
        <v>907</v>
      </c>
      <c r="B215" s="5" t="s">
        <v>908</v>
      </c>
      <c r="C215" s="5" t="s">
        <v>195</v>
      </c>
      <c r="D215" s="5" t="s">
        <v>58</v>
      </c>
      <c r="E215" s="5" t="s">
        <v>59</v>
      </c>
      <c r="F215" s="5" t="s">
        <v>34</v>
      </c>
      <c r="G215" s="6" t="s">
        <v>180</v>
      </c>
      <c r="H215" s="5">
        <v>7.25</v>
      </c>
      <c r="I215" s="5">
        <v>7.0</v>
      </c>
      <c r="J215" s="5" t="str">
        <f t="shared" si="1"/>
        <v>Last Minute</v>
      </c>
      <c r="K215" s="9">
        <v>11299.0</v>
      </c>
    </row>
    <row r="216" ht="15.75" customHeight="1">
      <c r="A216" s="5" t="s">
        <v>910</v>
      </c>
      <c r="B216" s="5" t="s">
        <v>911</v>
      </c>
      <c r="C216" s="5" t="s">
        <v>195</v>
      </c>
      <c r="D216" s="5" t="s">
        <v>43</v>
      </c>
      <c r="E216" s="5" t="s">
        <v>68</v>
      </c>
      <c r="F216" s="5" t="s">
        <v>34</v>
      </c>
      <c r="G216" s="6" t="s">
        <v>37</v>
      </c>
      <c r="H216" s="5">
        <v>2.08</v>
      </c>
      <c r="I216" s="5">
        <v>26.0</v>
      </c>
      <c r="J216" s="5" t="str">
        <f t="shared" si="1"/>
        <v>Moderate</v>
      </c>
      <c r="K216" s="9">
        <v>2339.0</v>
      </c>
    </row>
    <row r="217" ht="15.75" customHeight="1">
      <c r="A217" s="5" t="s">
        <v>913</v>
      </c>
      <c r="B217" s="5" t="s">
        <v>914</v>
      </c>
      <c r="C217" s="5" t="s">
        <v>195</v>
      </c>
      <c r="D217" s="5" t="s">
        <v>29</v>
      </c>
      <c r="E217" s="5" t="s">
        <v>32</v>
      </c>
      <c r="F217" s="5" t="s">
        <v>34</v>
      </c>
      <c r="G217" s="6" t="s">
        <v>66</v>
      </c>
      <c r="H217" s="5">
        <v>6.67</v>
      </c>
      <c r="I217" s="5">
        <v>26.0</v>
      </c>
      <c r="J217" s="5" t="str">
        <f t="shared" si="1"/>
        <v>Moderate</v>
      </c>
      <c r="K217" s="9">
        <v>2336.0</v>
      </c>
    </row>
    <row r="218" ht="15.75" customHeight="1">
      <c r="A218" s="5" t="s">
        <v>917</v>
      </c>
      <c r="B218" s="5" t="s">
        <v>918</v>
      </c>
      <c r="C218" s="5" t="s">
        <v>195</v>
      </c>
      <c r="D218" s="5" t="s">
        <v>58</v>
      </c>
      <c r="E218" s="5" t="s">
        <v>59</v>
      </c>
      <c r="F218" s="5" t="s">
        <v>34</v>
      </c>
      <c r="G218" s="6" t="s">
        <v>66</v>
      </c>
      <c r="H218" s="5">
        <v>9.83</v>
      </c>
      <c r="J218" s="5" t="str">
        <f t="shared" si="1"/>
        <v>Last Minute</v>
      </c>
      <c r="K218" s="9">
        <v>5805.0</v>
      </c>
    </row>
    <row r="219" ht="15.75" customHeight="1">
      <c r="A219" s="5" t="s">
        <v>920</v>
      </c>
      <c r="B219" s="5" t="s">
        <v>921</v>
      </c>
      <c r="C219" s="5" t="s">
        <v>195</v>
      </c>
      <c r="D219" s="5" t="s">
        <v>43</v>
      </c>
      <c r="E219" s="5" t="s">
        <v>68</v>
      </c>
      <c r="F219" s="5" t="s">
        <v>34</v>
      </c>
      <c r="G219" s="6" t="s">
        <v>37</v>
      </c>
      <c r="H219" s="5">
        <v>2.17</v>
      </c>
      <c r="I219" s="5">
        <v>27.0</v>
      </c>
      <c r="J219" s="5" t="str">
        <f t="shared" si="1"/>
        <v>Moderate</v>
      </c>
      <c r="K219" s="9">
        <v>2738.0</v>
      </c>
    </row>
    <row r="220" ht="15.75" customHeight="1">
      <c r="A220" s="5" t="s">
        <v>924</v>
      </c>
      <c r="B220" s="5" t="s">
        <v>925</v>
      </c>
      <c r="C220" s="5" t="s">
        <v>195</v>
      </c>
      <c r="D220" s="5" t="s">
        <v>45</v>
      </c>
      <c r="E220" s="5" t="s">
        <v>49</v>
      </c>
      <c r="F220" s="5" t="s">
        <v>34</v>
      </c>
      <c r="G220" s="6" t="s">
        <v>66</v>
      </c>
      <c r="H220" s="5">
        <v>8.58</v>
      </c>
      <c r="I220" s="5">
        <v>46.0</v>
      </c>
      <c r="J220" s="5" t="str">
        <f t="shared" si="1"/>
        <v>Advance</v>
      </c>
      <c r="K220" s="9">
        <v>5523.0</v>
      </c>
    </row>
    <row r="221" ht="15.75" customHeight="1">
      <c r="A221" s="5" t="s">
        <v>929</v>
      </c>
      <c r="B221" s="5" t="s">
        <v>930</v>
      </c>
      <c r="C221" s="5" t="s">
        <v>195</v>
      </c>
      <c r="D221" s="5" t="s">
        <v>58</v>
      </c>
      <c r="E221" s="5" t="s">
        <v>59</v>
      </c>
      <c r="F221" s="5" t="s">
        <v>34</v>
      </c>
      <c r="G221" s="6" t="s">
        <v>66</v>
      </c>
      <c r="H221" s="5">
        <v>11.58</v>
      </c>
      <c r="J221" s="5" t="str">
        <f t="shared" si="1"/>
        <v>Last Minute</v>
      </c>
      <c r="K221" s="9">
        <v>5193.0</v>
      </c>
    </row>
    <row r="222" ht="15.75" customHeight="1">
      <c r="A222" s="5" t="s">
        <v>933</v>
      </c>
      <c r="B222" s="5" t="s">
        <v>934</v>
      </c>
      <c r="C222" s="5" t="s">
        <v>195</v>
      </c>
      <c r="D222" s="5" t="s">
        <v>43</v>
      </c>
      <c r="E222" s="5" t="s">
        <v>68</v>
      </c>
      <c r="F222" s="5" t="s">
        <v>34</v>
      </c>
      <c r="G222" s="6" t="s">
        <v>37</v>
      </c>
      <c r="H222" s="5">
        <v>2.17</v>
      </c>
      <c r="I222" s="5">
        <v>46.0</v>
      </c>
      <c r="J222" s="5" t="str">
        <f t="shared" si="1"/>
        <v>Advance</v>
      </c>
      <c r="K222" s="9">
        <v>2339.0</v>
      </c>
    </row>
    <row r="223" ht="15.75" customHeight="1">
      <c r="A223" s="5" t="s">
        <v>936</v>
      </c>
      <c r="B223" s="5" t="s">
        <v>937</v>
      </c>
      <c r="C223" s="5" t="s">
        <v>195</v>
      </c>
      <c r="D223" s="5" t="s">
        <v>43</v>
      </c>
      <c r="E223" s="5" t="s">
        <v>68</v>
      </c>
      <c r="F223" s="5" t="s">
        <v>34</v>
      </c>
      <c r="G223" s="6" t="s">
        <v>37</v>
      </c>
      <c r="H223" s="5">
        <v>2.25</v>
      </c>
      <c r="I223" s="5">
        <v>46.0</v>
      </c>
      <c r="J223" s="5" t="str">
        <f t="shared" si="1"/>
        <v>Advance</v>
      </c>
      <c r="K223" s="9">
        <v>2738.0</v>
      </c>
    </row>
    <row r="224" ht="15.75" customHeight="1">
      <c r="A224" s="5" t="s">
        <v>940</v>
      </c>
      <c r="B224" s="5" t="s">
        <v>941</v>
      </c>
      <c r="C224" s="5" t="s">
        <v>195</v>
      </c>
      <c r="D224" s="5" t="s">
        <v>58</v>
      </c>
      <c r="E224" s="5" t="s">
        <v>59</v>
      </c>
      <c r="F224" s="5" t="s">
        <v>34</v>
      </c>
      <c r="G224" s="6" t="s">
        <v>37</v>
      </c>
      <c r="H224" s="5">
        <v>2.25</v>
      </c>
      <c r="I224" s="5">
        <v>45.0</v>
      </c>
      <c r="J224" s="5" t="str">
        <f t="shared" si="1"/>
        <v>Advance</v>
      </c>
      <c r="K224" s="9">
        <v>2339.0</v>
      </c>
    </row>
    <row r="225" ht="15.75" customHeight="1">
      <c r="A225" s="5" t="s">
        <v>944</v>
      </c>
      <c r="B225" s="5" t="s">
        <v>945</v>
      </c>
      <c r="C225" s="5" t="s">
        <v>195</v>
      </c>
      <c r="D225" s="5" t="s">
        <v>29</v>
      </c>
      <c r="E225" s="5" t="s">
        <v>32</v>
      </c>
      <c r="F225" s="5" t="s">
        <v>34</v>
      </c>
      <c r="G225" s="6" t="s">
        <v>66</v>
      </c>
      <c r="H225" s="5">
        <v>12.75</v>
      </c>
      <c r="I225" s="5">
        <v>46.0</v>
      </c>
      <c r="J225" s="5" t="str">
        <f t="shared" si="1"/>
        <v>Advance</v>
      </c>
      <c r="K225" s="9">
        <v>2336.0</v>
      </c>
    </row>
    <row r="226" ht="15.75" customHeight="1">
      <c r="A226" s="5" t="s">
        <v>948</v>
      </c>
      <c r="B226" s="5" t="s">
        <v>949</v>
      </c>
      <c r="C226" s="5" t="s">
        <v>195</v>
      </c>
      <c r="D226" s="5" t="s">
        <v>43</v>
      </c>
      <c r="E226" s="5" t="s">
        <v>68</v>
      </c>
      <c r="F226" s="5" t="s">
        <v>34</v>
      </c>
      <c r="G226" s="6" t="s">
        <v>66</v>
      </c>
      <c r="H226" s="5">
        <v>8.08</v>
      </c>
      <c r="I226" s="5">
        <v>46.0</v>
      </c>
      <c r="J226" s="5" t="str">
        <f t="shared" si="1"/>
        <v>Advance</v>
      </c>
      <c r="K226" s="9">
        <v>2339.0</v>
      </c>
    </row>
    <row r="227" ht="15.75" customHeight="1">
      <c r="A227" s="5" t="s">
        <v>950</v>
      </c>
      <c r="B227" s="5" t="s">
        <v>952</v>
      </c>
      <c r="C227" s="5" t="s">
        <v>195</v>
      </c>
      <c r="D227" s="5" t="s">
        <v>43</v>
      </c>
      <c r="E227" s="5" t="s">
        <v>68</v>
      </c>
      <c r="F227" s="5" t="s">
        <v>34</v>
      </c>
      <c r="G227" s="6" t="s">
        <v>66</v>
      </c>
      <c r="H227" s="5">
        <v>10.75</v>
      </c>
      <c r="I227" s="5">
        <v>46.0</v>
      </c>
      <c r="J227" s="5" t="str">
        <f t="shared" si="1"/>
        <v>Advance</v>
      </c>
      <c r="K227" s="9">
        <v>2339.0</v>
      </c>
    </row>
    <row r="228" ht="15.75" customHeight="1">
      <c r="A228" s="5" t="s">
        <v>954</v>
      </c>
      <c r="B228" s="5" t="s">
        <v>955</v>
      </c>
      <c r="C228" s="5" t="s">
        <v>195</v>
      </c>
      <c r="D228" s="5" t="s">
        <v>45</v>
      </c>
      <c r="E228" s="5" t="s">
        <v>49</v>
      </c>
      <c r="F228" s="5" t="s">
        <v>34</v>
      </c>
      <c r="G228" s="6" t="s">
        <v>66</v>
      </c>
      <c r="H228" s="5">
        <v>4.0</v>
      </c>
      <c r="I228" s="5">
        <v>45.0</v>
      </c>
      <c r="J228" s="5" t="str">
        <f t="shared" si="1"/>
        <v>Advance</v>
      </c>
      <c r="K228" s="9">
        <v>4149.0</v>
      </c>
    </row>
    <row r="229" ht="15.75" customHeight="1">
      <c r="A229" s="5" t="s">
        <v>958</v>
      </c>
      <c r="B229" s="5" t="s">
        <v>959</v>
      </c>
      <c r="C229" s="5" t="s">
        <v>195</v>
      </c>
      <c r="D229" s="5" t="s">
        <v>45</v>
      </c>
      <c r="E229" s="5" t="s">
        <v>49</v>
      </c>
      <c r="F229" s="5" t="s">
        <v>53</v>
      </c>
      <c r="G229" s="6" t="s">
        <v>66</v>
      </c>
      <c r="H229" s="5">
        <v>11.75</v>
      </c>
      <c r="I229" s="5">
        <v>48.0</v>
      </c>
      <c r="J229" s="5" t="str">
        <f t="shared" si="1"/>
        <v>Advance</v>
      </c>
      <c r="K229" s="9">
        <v>39847.0</v>
      </c>
    </row>
    <row r="230" ht="15.75" customHeight="1">
      <c r="A230" s="5" t="s">
        <v>962</v>
      </c>
      <c r="B230" s="5" t="s">
        <v>963</v>
      </c>
      <c r="C230" s="5" t="s">
        <v>195</v>
      </c>
      <c r="D230" s="5" t="s">
        <v>58</v>
      </c>
      <c r="E230" s="5" t="s">
        <v>59</v>
      </c>
      <c r="F230" s="5" t="s">
        <v>34</v>
      </c>
      <c r="G230" s="6" t="s">
        <v>66</v>
      </c>
      <c r="H230" s="5">
        <v>9.17</v>
      </c>
      <c r="I230" s="5">
        <v>46.0</v>
      </c>
      <c r="J230" s="5" t="str">
        <f t="shared" si="1"/>
        <v>Advance</v>
      </c>
      <c r="K230" s="9">
        <v>5193.0</v>
      </c>
    </row>
    <row r="231" ht="15.75" customHeight="1">
      <c r="A231" s="5" t="s">
        <v>966</v>
      </c>
      <c r="B231" s="5" t="s">
        <v>967</v>
      </c>
      <c r="C231" s="5" t="s">
        <v>195</v>
      </c>
      <c r="D231" s="5" t="s">
        <v>58</v>
      </c>
      <c r="E231" s="5" t="s">
        <v>59</v>
      </c>
      <c r="F231" s="5" t="s">
        <v>34</v>
      </c>
      <c r="G231" s="6" t="s">
        <v>66</v>
      </c>
      <c r="H231" s="5">
        <v>9.08</v>
      </c>
      <c r="I231" s="5">
        <v>46.0</v>
      </c>
      <c r="J231" s="5" t="str">
        <f t="shared" si="1"/>
        <v>Advance</v>
      </c>
      <c r="K231" s="9">
        <v>6068.0</v>
      </c>
    </row>
    <row r="232" ht="15.75" customHeight="1">
      <c r="A232" s="5" t="s">
        <v>970</v>
      </c>
      <c r="B232" s="5" t="s">
        <v>972</v>
      </c>
      <c r="C232" s="5" t="s">
        <v>195</v>
      </c>
      <c r="D232" s="5" t="s">
        <v>45</v>
      </c>
      <c r="E232" s="5" t="s">
        <v>49</v>
      </c>
      <c r="F232" s="5" t="s">
        <v>34</v>
      </c>
      <c r="G232" s="6" t="s">
        <v>66</v>
      </c>
      <c r="H232" s="5">
        <v>4.58</v>
      </c>
      <c r="I232" s="5">
        <v>48.0</v>
      </c>
      <c r="J232" s="5" t="str">
        <f t="shared" si="1"/>
        <v>Advance</v>
      </c>
      <c r="K232" s="9">
        <v>4221.0</v>
      </c>
    </row>
    <row r="233" ht="15.75" customHeight="1">
      <c r="A233" s="5" t="s">
        <v>976</v>
      </c>
      <c r="B233" s="5" t="s">
        <v>977</v>
      </c>
      <c r="C233" s="5" t="s">
        <v>195</v>
      </c>
      <c r="D233" s="5" t="s">
        <v>45</v>
      </c>
      <c r="E233" s="5" t="s">
        <v>49</v>
      </c>
      <c r="F233" s="5" t="s">
        <v>34</v>
      </c>
      <c r="G233" s="6" t="s">
        <v>66</v>
      </c>
      <c r="H233" s="5">
        <v>25.42</v>
      </c>
      <c r="I233" s="5">
        <v>49.0</v>
      </c>
      <c r="J233" s="5" t="str">
        <f t="shared" si="1"/>
        <v>Advance</v>
      </c>
      <c r="K233" s="9">
        <v>5840.0</v>
      </c>
    </row>
    <row r="234" ht="15.75" customHeight="1">
      <c r="A234" s="5" t="s">
        <v>980</v>
      </c>
      <c r="B234" s="5" t="s">
        <v>981</v>
      </c>
      <c r="C234" s="5" t="s">
        <v>220</v>
      </c>
      <c r="D234" s="5" t="s">
        <v>43</v>
      </c>
      <c r="E234" s="5" t="s">
        <v>68</v>
      </c>
      <c r="F234" s="5" t="s">
        <v>34</v>
      </c>
      <c r="G234" s="6" t="s">
        <v>37</v>
      </c>
      <c r="H234" s="5">
        <v>1.83</v>
      </c>
      <c r="I234" s="5">
        <v>38.0</v>
      </c>
      <c r="J234" s="5" t="str">
        <f t="shared" si="1"/>
        <v>Advance</v>
      </c>
      <c r="K234" s="9">
        <v>2124.0</v>
      </c>
    </row>
    <row r="235" ht="15.75" customHeight="1">
      <c r="A235" s="5" t="s">
        <v>984</v>
      </c>
      <c r="B235" s="5" t="s">
        <v>985</v>
      </c>
      <c r="C235" s="5" t="s">
        <v>220</v>
      </c>
      <c r="D235" s="5" t="s">
        <v>20</v>
      </c>
      <c r="E235" s="5" t="s">
        <v>52</v>
      </c>
      <c r="F235" s="5" t="s">
        <v>34</v>
      </c>
      <c r="G235" s="6" t="s">
        <v>66</v>
      </c>
      <c r="H235" s="5">
        <v>25.25</v>
      </c>
      <c r="I235" s="5">
        <v>3.0</v>
      </c>
      <c r="J235" s="5" t="str">
        <f t="shared" si="1"/>
        <v>Last Minute</v>
      </c>
      <c r="K235" s="9">
        <v>11129.0</v>
      </c>
    </row>
    <row r="236" ht="15.75" customHeight="1">
      <c r="A236" s="5" t="s">
        <v>988</v>
      </c>
      <c r="B236" s="5" t="s">
        <v>990</v>
      </c>
      <c r="C236" s="5" t="s">
        <v>220</v>
      </c>
      <c r="D236" s="5" t="s">
        <v>43</v>
      </c>
      <c r="E236" s="5" t="s">
        <v>68</v>
      </c>
      <c r="F236" s="5" t="s">
        <v>34</v>
      </c>
      <c r="G236" s="6" t="s">
        <v>66</v>
      </c>
      <c r="H236" s="5">
        <v>7.08</v>
      </c>
      <c r="I236" s="5">
        <v>38.0</v>
      </c>
      <c r="J236" s="5" t="str">
        <f t="shared" si="1"/>
        <v>Advance</v>
      </c>
      <c r="K236" s="9">
        <v>4056.0</v>
      </c>
    </row>
    <row r="237" ht="15.75" customHeight="1">
      <c r="A237" s="5" t="s">
        <v>999</v>
      </c>
      <c r="B237" s="5" t="s">
        <v>1000</v>
      </c>
      <c r="C237" s="5" t="s">
        <v>220</v>
      </c>
      <c r="D237" s="5" t="s">
        <v>43</v>
      </c>
      <c r="E237" s="5" t="s">
        <v>68</v>
      </c>
      <c r="F237" s="5" t="s">
        <v>34</v>
      </c>
      <c r="G237" s="6" t="s">
        <v>66</v>
      </c>
      <c r="H237" s="5">
        <v>6.0</v>
      </c>
      <c r="I237" s="5">
        <v>1.0</v>
      </c>
      <c r="J237" s="5" t="str">
        <f t="shared" si="1"/>
        <v>Last Minute</v>
      </c>
      <c r="K237" s="9">
        <v>14238.0</v>
      </c>
    </row>
    <row r="238" ht="15.75" customHeight="1">
      <c r="A238" s="5" t="s">
        <v>1004</v>
      </c>
      <c r="B238" s="5" t="s">
        <v>1005</v>
      </c>
      <c r="C238" s="5" t="s">
        <v>220</v>
      </c>
      <c r="D238" s="5" t="s">
        <v>58</v>
      </c>
      <c r="E238" s="5" t="s">
        <v>59</v>
      </c>
      <c r="F238" s="5" t="s">
        <v>34</v>
      </c>
      <c r="G238" s="6" t="s">
        <v>66</v>
      </c>
      <c r="H238" s="5">
        <v>13.42</v>
      </c>
      <c r="I238" s="5">
        <v>39.0</v>
      </c>
      <c r="J238" s="5" t="str">
        <f t="shared" si="1"/>
        <v>Advance</v>
      </c>
      <c r="K238" s="9">
        <v>6728.0</v>
      </c>
    </row>
    <row r="239" ht="15.75" customHeight="1">
      <c r="A239" s="5" t="s">
        <v>1016</v>
      </c>
      <c r="B239" s="5" t="s">
        <v>1019</v>
      </c>
      <c r="C239" s="5" t="s">
        <v>220</v>
      </c>
      <c r="D239" s="5" t="s">
        <v>43</v>
      </c>
      <c r="E239" s="5" t="s">
        <v>68</v>
      </c>
      <c r="F239" s="5" t="s">
        <v>34</v>
      </c>
      <c r="G239" s="6" t="s">
        <v>37</v>
      </c>
      <c r="H239" s="5">
        <v>1.67</v>
      </c>
      <c r="I239" s="5">
        <v>16.0</v>
      </c>
      <c r="J239" s="5" t="str">
        <f t="shared" si="1"/>
        <v>Moderate</v>
      </c>
      <c r="K239" s="9">
        <v>2124.0</v>
      </c>
    </row>
    <row r="240" ht="15.75" customHeight="1">
      <c r="A240" s="5" t="s">
        <v>1037</v>
      </c>
      <c r="B240" s="5" t="s">
        <v>1038</v>
      </c>
      <c r="C240" s="5" t="s">
        <v>220</v>
      </c>
      <c r="D240" s="5" t="s">
        <v>45</v>
      </c>
      <c r="E240" s="5" t="s">
        <v>49</v>
      </c>
      <c r="F240" s="5" t="s">
        <v>34</v>
      </c>
      <c r="G240" s="6" t="s">
        <v>66</v>
      </c>
      <c r="H240" s="5">
        <v>18.08</v>
      </c>
      <c r="J240" s="5" t="str">
        <f t="shared" si="1"/>
        <v>Last Minute</v>
      </c>
      <c r="K240" s="9">
        <v>3623.0</v>
      </c>
    </row>
    <row r="241" ht="15.75" customHeight="1">
      <c r="A241" s="5" t="s">
        <v>1051</v>
      </c>
      <c r="B241" s="5" t="s">
        <v>1053</v>
      </c>
      <c r="C241" s="5" t="s">
        <v>220</v>
      </c>
      <c r="D241" s="5" t="s">
        <v>45</v>
      </c>
      <c r="E241" s="5" t="s">
        <v>49</v>
      </c>
      <c r="F241" s="5" t="s">
        <v>34</v>
      </c>
      <c r="G241" s="6" t="s">
        <v>66</v>
      </c>
      <c r="H241" s="5">
        <v>29.17</v>
      </c>
      <c r="I241" s="5">
        <v>9.0</v>
      </c>
      <c r="J241" s="5" t="str">
        <f t="shared" si="1"/>
        <v>Short Notice</v>
      </c>
      <c r="K241" s="9">
        <v>9201.0</v>
      </c>
    </row>
    <row r="242" ht="15.75" customHeight="1">
      <c r="A242" s="5" t="s">
        <v>1064</v>
      </c>
      <c r="B242" s="5" t="s">
        <v>1065</v>
      </c>
      <c r="C242" s="5" t="s">
        <v>220</v>
      </c>
      <c r="D242" s="5" t="s">
        <v>45</v>
      </c>
      <c r="E242" s="5" t="s">
        <v>49</v>
      </c>
      <c r="F242" s="5" t="s">
        <v>34</v>
      </c>
      <c r="G242" s="6" t="s">
        <v>66</v>
      </c>
      <c r="H242" s="5">
        <v>23.33</v>
      </c>
      <c r="I242" s="5">
        <v>12.0</v>
      </c>
      <c r="J242" s="5" t="str">
        <f t="shared" si="1"/>
        <v>Short Notice</v>
      </c>
      <c r="K242" s="9">
        <v>11469.0</v>
      </c>
    </row>
    <row r="243" ht="15.75" customHeight="1">
      <c r="A243" s="5" t="s">
        <v>1067</v>
      </c>
      <c r="B243" s="5" t="s">
        <v>1069</v>
      </c>
      <c r="C243" s="5" t="s">
        <v>220</v>
      </c>
      <c r="D243" s="5" t="s">
        <v>43</v>
      </c>
      <c r="E243" s="5" t="s">
        <v>68</v>
      </c>
      <c r="F243" s="5" t="s">
        <v>34</v>
      </c>
      <c r="G243" s="6" t="s">
        <v>66</v>
      </c>
      <c r="H243" s="5">
        <v>10.33</v>
      </c>
      <c r="I243" s="5">
        <v>3.0</v>
      </c>
      <c r="J243" s="5" t="str">
        <f t="shared" si="1"/>
        <v>Last Minute</v>
      </c>
      <c r="K243" s="9">
        <v>11041.0</v>
      </c>
    </row>
    <row r="244" ht="15.75" customHeight="1">
      <c r="A244" s="5" t="s">
        <v>1072</v>
      </c>
      <c r="B244" s="5" t="s">
        <v>1073</v>
      </c>
      <c r="C244" s="5" t="s">
        <v>220</v>
      </c>
      <c r="D244" s="5" t="s">
        <v>58</v>
      </c>
      <c r="E244" s="5" t="s">
        <v>59</v>
      </c>
      <c r="F244" s="5" t="s">
        <v>34</v>
      </c>
      <c r="G244" s="6" t="s">
        <v>66</v>
      </c>
      <c r="H244" s="5">
        <v>3.67</v>
      </c>
      <c r="I244" s="5">
        <v>24.0</v>
      </c>
      <c r="J244" s="5" t="str">
        <f t="shared" si="1"/>
        <v>Moderate</v>
      </c>
      <c r="K244" s="9">
        <v>5102.0</v>
      </c>
    </row>
    <row r="245" ht="15.75" customHeight="1">
      <c r="A245" s="5" t="s">
        <v>1076</v>
      </c>
      <c r="B245" s="5" t="s">
        <v>1077</v>
      </c>
      <c r="C245" s="5" t="s">
        <v>220</v>
      </c>
      <c r="D245" s="5" t="s">
        <v>58</v>
      </c>
      <c r="E245" s="5" t="s">
        <v>59</v>
      </c>
      <c r="F245" s="5" t="s">
        <v>34</v>
      </c>
      <c r="G245" s="6" t="s">
        <v>66</v>
      </c>
      <c r="H245" s="5">
        <v>8.17</v>
      </c>
      <c r="I245" s="5">
        <v>2.0</v>
      </c>
      <c r="J245" s="5" t="str">
        <f t="shared" si="1"/>
        <v>Last Minute</v>
      </c>
      <c r="K245" s="9">
        <v>22639.0</v>
      </c>
    </row>
    <row r="246" ht="15.75" customHeight="1">
      <c r="A246" s="5" t="s">
        <v>1080</v>
      </c>
      <c r="B246" s="5" t="s">
        <v>1081</v>
      </c>
      <c r="C246" s="5" t="s">
        <v>220</v>
      </c>
      <c r="D246" s="5" t="s">
        <v>45</v>
      </c>
      <c r="E246" s="5" t="s">
        <v>49</v>
      </c>
      <c r="F246" s="5" t="s">
        <v>34</v>
      </c>
      <c r="G246" s="6" t="s">
        <v>66</v>
      </c>
      <c r="H246" s="5">
        <v>25.08</v>
      </c>
      <c r="I246" s="5">
        <v>3.0</v>
      </c>
      <c r="J246" s="5" t="str">
        <f t="shared" si="1"/>
        <v>Last Minute</v>
      </c>
      <c r="K246" s="9">
        <v>9201.0</v>
      </c>
    </row>
    <row r="247" ht="15.75" customHeight="1">
      <c r="A247" s="5" t="s">
        <v>1083</v>
      </c>
      <c r="B247" s="5" t="s">
        <v>1084</v>
      </c>
      <c r="C247" s="5" t="s">
        <v>220</v>
      </c>
      <c r="D247" s="5" t="s">
        <v>45</v>
      </c>
      <c r="E247" s="5" t="s">
        <v>49</v>
      </c>
      <c r="F247" s="5" t="s">
        <v>34</v>
      </c>
      <c r="G247" s="6" t="s">
        <v>66</v>
      </c>
      <c r="H247" s="5">
        <v>8.58</v>
      </c>
      <c r="I247" s="5">
        <v>34.0</v>
      </c>
      <c r="J247" s="5" t="str">
        <f t="shared" si="1"/>
        <v>Advance</v>
      </c>
      <c r="K247" s="9">
        <v>6502.0</v>
      </c>
    </row>
    <row r="248" ht="15.75" customHeight="1">
      <c r="A248" s="5" t="s">
        <v>1087</v>
      </c>
      <c r="B248" s="5" t="s">
        <v>1089</v>
      </c>
      <c r="C248" s="5" t="s">
        <v>220</v>
      </c>
      <c r="D248" s="5" t="s">
        <v>45</v>
      </c>
      <c r="E248" s="5" t="s">
        <v>49</v>
      </c>
      <c r="F248" s="5" t="s">
        <v>34</v>
      </c>
      <c r="G248" s="6" t="s">
        <v>66</v>
      </c>
      <c r="H248" s="5">
        <v>16.83</v>
      </c>
      <c r="I248" s="5">
        <v>9.0</v>
      </c>
      <c r="J248" s="5" t="str">
        <f t="shared" si="1"/>
        <v>Short Notice</v>
      </c>
      <c r="K248" s="9">
        <v>13766.0</v>
      </c>
    </row>
    <row r="249" ht="15.75" customHeight="1">
      <c r="A249" s="5" t="s">
        <v>1092</v>
      </c>
      <c r="B249" s="5" t="s">
        <v>1093</v>
      </c>
      <c r="C249" s="5" t="s">
        <v>220</v>
      </c>
      <c r="D249" s="5" t="s">
        <v>20</v>
      </c>
      <c r="E249" s="5" t="s">
        <v>52</v>
      </c>
      <c r="F249" s="5" t="s">
        <v>53</v>
      </c>
      <c r="G249" s="6" t="s">
        <v>66</v>
      </c>
      <c r="H249" s="5">
        <v>11.0</v>
      </c>
      <c r="I249" s="5">
        <v>21.0</v>
      </c>
      <c r="J249" s="5" t="str">
        <f t="shared" si="1"/>
        <v>Moderate</v>
      </c>
      <c r="K249" s="9">
        <v>54608.0</v>
      </c>
    </row>
    <row r="250" ht="15.75" customHeight="1">
      <c r="A250" s="5" t="s">
        <v>1095</v>
      </c>
      <c r="B250" s="5" t="s">
        <v>1096</v>
      </c>
      <c r="C250" s="5" t="s">
        <v>220</v>
      </c>
      <c r="D250" s="5" t="s">
        <v>20</v>
      </c>
      <c r="E250" s="5" t="s">
        <v>52</v>
      </c>
      <c r="F250" s="5" t="s">
        <v>34</v>
      </c>
      <c r="G250" s="6" t="s">
        <v>180</v>
      </c>
      <c r="H250" s="5">
        <v>26.17</v>
      </c>
      <c r="I250" s="5">
        <v>26.0</v>
      </c>
      <c r="J250" s="5" t="str">
        <f t="shared" si="1"/>
        <v>Moderate</v>
      </c>
      <c r="K250" s="9">
        <v>12015.0</v>
      </c>
    </row>
    <row r="251" ht="15.75" customHeight="1">
      <c r="A251" s="5" t="s">
        <v>1098</v>
      </c>
      <c r="B251" s="5" t="s">
        <v>1099</v>
      </c>
      <c r="C251" s="5" t="s">
        <v>220</v>
      </c>
      <c r="D251" s="5" t="s">
        <v>20</v>
      </c>
      <c r="E251" s="5" t="s">
        <v>52</v>
      </c>
      <c r="F251" s="5" t="s">
        <v>53</v>
      </c>
      <c r="G251" s="6" t="s">
        <v>66</v>
      </c>
      <c r="H251" s="5">
        <v>12.25</v>
      </c>
      <c r="I251" s="5">
        <v>25.0</v>
      </c>
      <c r="J251" s="5" t="str">
        <f t="shared" si="1"/>
        <v>Moderate</v>
      </c>
      <c r="K251" s="9">
        <v>48213.0</v>
      </c>
    </row>
    <row r="252" ht="15.75" customHeight="1">
      <c r="A252" s="5" t="s">
        <v>1102</v>
      </c>
      <c r="B252" s="5" t="s">
        <v>1103</v>
      </c>
      <c r="C252" s="5" t="s">
        <v>220</v>
      </c>
      <c r="D252" s="5" t="s">
        <v>20</v>
      </c>
      <c r="E252" s="5" t="s">
        <v>52</v>
      </c>
      <c r="F252" s="5" t="s">
        <v>34</v>
      </c>
      <c r="G252" s="6" t="s">
        <v>66</v>
      </c>
      <c r="H252" s="5">
        <v>29.83</v>
      </c>
      <c r="I252" s="5">
        <v>8.0</v>
      </c>
      <c r="J252" s="5" t="str">
        <f t="shared" si="1"/>
        <v>Short Notice</v>
      </c>
      <c r="K252" s="9">
        <v>16662.0</v>
      </c>
    </row>
    <row r="253" ht="15.75" customHeight="1">
      <c r="A253" s="5" t="s">
        <v>1106</v>
      </c>
      <c r="B253" s="5" t="s">
        <v>1107</v>
      </c>
      <c r="C253" s="5" t="s">
        <v>220</v>
      </c>
      <c r="D253" s="5" t="s">
        <v>43</v>
      </c>
      <c r="E253" s="5" t="s">
        <v>68</v>
      </c>
      <c r="F253" s="5" t="s">
        <v>34</v>
      </c>
      <c r="G253" s="6" t="s">
        <v>66</v>
      </c>
      <c r="H253" s="5">
        <v>5.67</v>
      </c>
      <c r="I253" s="5">
        <v>39.0</v>
      </c>
      <c r="J253" s="5" t="str">
        <f t="shared" si="1"/>
        <v>Advance</v>
      </c>
      <c r="K253" s="9">
        <v>2124.0</v>
      </c>
    </row>
    <row r="254" ht="15.75" customHeight="1">
      <c r="A254" s="5" t="s">
        <v>1109</v>
      </c>
      <c r="B254" s="5" t="s">
        <v>1110</v>
      </c>
      <c r="C254" s="5" t="s">
        <v>220</v>
      </c>
      <c r="D254" s="5" t="s">
        <v>20</v>
      </c>
      <c r="E254" s="5" t="s">
        <v>52</v>
      </c>
      <c r="F254" s="5" t="s">
        <v>34</v>
      </c>
      <c r="G254" s="6" t="s">
        <v>66</v>
      </c>
      <c r="H254" s="5">
        <v>9.08</v>
      </c>
      <c r="I254" s="5">
        <v>7.0</v>
      </c>
      <c r="J254" s="5" t="str">
        <f t="shared" si="1"/>
        <v>Last Minute</v>
      </c>
      <c r="K254" s="9">
        <v>14478.0</v>
      </c>
    </row>
    <row r="255" ht="15.75" customHeight="1">
      <c r="A255" s="5" t="s">
        <v>1113</v>
      </c>
      <c r="B255" s="5" t="s">
        <v>1114</v>
      </c>
      <c r="C255" s="5" t="s">
        <v>220</v>
      </c>
      <c r="D255" s="5" t="s">
        <v>20</v>
      </c>
      <c r="E255" s="5" t="s">
        <v>52</v>
      </c>
      <c r="F255" s="5" t="s">
        <v>34</v>
      </c>
      <c r="G255" s="6" t="s">
        <v>180</v>
      </c>
      <c r="H255" s="5">
        <v>26.33</v>
      </c>
      <c r="I255" s="5">
        <v>9.0</v>
      </c>
      <c r="J255" s="5" t="str">
        <f t="shared" si="1"/>
        <v>Short Notice</v>
      </c>
      <c r="K255" s="9">
        <v>17943.0</v>
      </c>
    </row>
    <row r="256" ht="15.75" customHeight="1">
      <c r="A256" s="5" t="s">
        <v>1117</v>
      </c>
      <c r="B256" s="5" t="s">
        <v>1119</v>
      </c>
      <c r="C256" s="5" t="s">
        <v>220</v>
      </c>
      <c r="D256" s="5" t="s">
        <v>20</v>
      </c>
      <c r="E256" s="5" t="s">
        <v>52</v>
      </c>
      <c r="F256" s="5" t="s">
        <v>34</v>
      </c>
      <c r="G256" s="6" t="s">
        <v>180</v>
      </c>
      <c r="H256" s="5">
        <v>10.25</v>
      </c>
      <c r="J256" s="5" t="str">
        <f t="shared" si="1"/>
        <v>Last Minute</v>
      </c>
      <c r="K256" s="9">
        <v>19077.0</v>
      </c>
    </row>
    <row r="257" ht="15.75" customHeight="1">
      <c r="A257" s="5" t="s">
        <v>1122</v>
      </c>
      <c r="B257" s="5" t="s">
        <v>1123</v>
      </c>
      <c r="C257" s="5" t="s">
        <v>220</v>
      </c>
      <c r="D257" s="5" t="s">
        <v>29</v>
      </c>
      <c r="E257" s="5" t="s">
        <v>32</v>
      </c>
      <c r="F257" s="5" t="s">
        <v>34</v>
      </c>
      <c r="G257" s="6" t="s">
        <v>66</v>
      </c>
      <c r="H257" s="5">
        <v>7.5</v>
      </c>
      <c r="I257" s="5">
        <v>48.0</v>
      </c>
      <c r="J257" s="5" t="str">
        <f t="shared" si="1"/>
        <v>Advance</v>
      </c>
      <c r="K257" s="9">
        <v>2074.0</v>
      </c>
    </row>
    <row r="258" ht="15.75" customHeight="1">
      <c r="A258" s="5" t="s">
        <v>1127</v>
      </c>
      <c r="B258" s="5" t="s">
        <v>1128</v>
      </c>
      <c r="C258" s="5" t="s">
        <v>220</v>
      </c>
      <c r="D258" s="5" t="s">
        <v>20</v>
      </c>
      <c r="E258" s="5" t="s">
        <v>52</v>
      </c>
      <c r="F258" s="5" t="s">
        <v>34</v>
      </c>
      <c r="G258" s="6" t="s">
        <v>180</v>
      </c>
      <c r="H258" s="5">
        <v>12.25</v>
      </c>
      <c r="I258" s="5">
        <v>11.0</v>
      </c>
      <c r="J258" s="5" t="str">
        <f t="shared" si="1"/>
        <v>Short Notice</v>
      </c>
      <c r="K258" s="9">
        <v>14763.0</v>
      </c>
    </row>
    <row r="259" ht="15.75" customHeight="1">
      <c r="A259" s="5" t="s">
        <v>1133</v>
      </c>
      <c r="B259" s="5" t="s">
        <v>1134</v>
      </c>
      <c r="C259" s="5" t="s">
        <v>220</v>
      </c>
      <c r="D259" s="5" t="s">
        <v>58</v>
      </c>
      <c r="E259" s="5" t="s">
        <v>59</v>
      </c>
      <c r="F259" s="5" t="s">
        <v>34</v>
      </c>
      <c r="G259" s="6" t="s">
        <v>66</v>
      </c>
      <c r="H259" s="5">
        <v>16.17</v>
      </c>
      <c r="J259" s="5" t="str">
        <f t="shared" si="1"/>
        <v>Last Minute</v>
      </c>
      <c r="K259" s="9">
        <v>5102.0</v>
      </c>
    </row>
    <row r="260" ht="15.75" customHeight="1">
      <c r="A260" s="5" t="s">
        <v>1137</v>
      </c>
      <c r="B260" s="5" t="s">
        <v>1139</v>
      </c>
      <c r="C260" s="5" t="s">
        <v>220</v>
      </c>
      <c r="D260" s="5" t="s">
        <v>45</v>
      </c>
      <c r="E260" s="5" t="s">
        <v>49</v>
      </c>
      <c r="F260" s="5" t="s">
        <v>34</v>
      </c>
      <c r="G260" s="6" t="s">
        <v>180</v>
      </c>
      <c r="H260" s="5">
        <v>16.0</v>
      </c>
      <c r="I260" s="5">
        <v>20.0</v>
      </c>
      <c r="J260" s="5" t="str">
        <f t="shared" si="1"/>
        <v>Moderate</v>
      </c>
      <c r="K260" s="9">
        <v>9256.0</v>
      </c>
    </row>
    <row r="261" ht="15.75" customHeight="1">
      <c r="A261" s="5" t="s">
        <v>1145</v>
      </c>
      <c r="B261" s="5" t="s">
        <v>1146</v>
      </c>
      <c r="C261" s="5" t="s">
        <v>220</v>
      </c>
      <c r="D261" s="5" t="s">
        <v>20</v>
      </c>
      <c r="E261" s="5" t="s">
        <v>52</v>
      </c>
      <c r="F261" s="5" t="s">
        <v>34</v>
      </c>
      <c r="G261" s="6" t="s">
        <v>66</v>
      </c>
      <c r="H261" s="5">
        <v>8.5</v>
      </c>
      <c r="I261" s="5">
        <v>40.0</v>
      </c>
      <c r="J261" s="5" t="str">
        <f t="shared" si="1"/>
        <v>Advance</v>
      </c>
      <c r="K261" s="9">
        <v>9141.0</v>
      </c>
    </row>
    <row r="262" ht="15.75" customHeight="1">
      <c r="A262" s="5" t="s">
        <v>1152</v>
      </c>
      <c r="B262" s="5" t="s">
        <v>1153</v>
      </c>
      <c r="C262" s="5" t="s">
        <v>220</v>
      </c>
      <c r="D262" s="5" t="s">
        <v>58</v>
      </c>
      <c r="E262" s="5" t="s">
        <v>59</v>
      </c>
      <c r="F262" s="5" t="s">
        <v>34</v>
      </c>
      <c r="G262" s="6" t="s">
        <v>66</v>
      </c>
      <c r="H262" s="5">
        <v>9.92</v>
      </c>
      <c r="I262" s="5">
        <v>44.0</v>
      </c>
      <c r="J262" s="5" t="str">
        <f t="shared" si="1"/>
        <v>Advance</v>
      </c>
      <c r="K262" s="9">
        <v>6319.0</v>
      </c>
    </row>
    <row r="263" ht="15.75" customHeight="1">
      <c r="A263" s="5" t="s">
        <v>1158</v>
      </c>
      <c r="B263" s="5" t="s">
        <v>1159</v>
      </c>
      <c r="C263" s="5" t="s">
        <v>220</v>
      </c>
      <c r="D263" s="5" t="s">
        <v>58</v>
      </c>
      <c r="E263" s="5" t="s">
        <v>59</v>
      </c>
      <c r="F263" s="5" t="s">
        <v>34</v>
      </c>
      <c r="G263" s="6" t="s">
        <v>37</v>
      </c>
      <c r="H263" s="5">
        <v>1.83</v>
      </c>
      <c r="I263" s="5">
        <v>46.0</v>
      </c>
      <c r="J263" s="5" t="str">
        <f t="shared" si="1"/>
        <v>Advance</v>
      </c>
      <c r="K263" s="9">
        <v>2124.0</v>
      </c>
    </row>
    <row r="264" ht="15.75" customHeight="1">
      <c r="A264" s="5" t="s">
        <v>1162</v>
      </c>
      <c r="B264" s="5" t="s">
        <v>1163</v>
      </c>
      <c r="C264" s="5" t="s">
        <v>220</v>
      </c>
      <c r="D264" s="5" t="s">
        <v>43</v>
      </c>
      <c r="E264" s="5" t="s">
        <v>68</v>
      </c>
      <c r="F264" s="5" t="s">
        <v>34</v>
      </c>
      <c r="G264" s="6" t="s">
        <v>66</v>
      </c>
      <c r="H264" s="5">
        <v>6.67</v>
      </c>
      <c r="I264" s="5">
        <v>46.0</v>
      </c>
      <c r="J264" s="5" t="str">
        <f t="shared" si="1"/>
        <v>Advance</v>
      </c>
      <c r="K264" s="9">
        <v>7336.0</v>
      </c>
    </row>
    <row r="265" ht="15.75" customHeight="1">
      <c r="A265" s="5" t="s">
        <v>1167</v>
      </c>
      <c r="B265" s="5" t="s">
        <v>1168</v>
      </c>
      <c r="C265" s="5" t="s">
        <v>220</v>
      </c>
      <c r="D265" s="5" t="s">
        <v>43</v>
      </c>
      <c r="E265" s="5" t="s">
        <v>68</v>
      </c>
      <c r="F265" s="5" t="s">
        <v>34</v>
      </c>
      <c r="G265" s="6" t="s">
        <v>66</v>
      </c>
      <c r="H265" s="5">
        <v>5.0</v>
      </c>
      <c r="I265" s="5">
        <v>46.0</v>
      </c>
      <c r="J265" s="5" t="str">
        <f t="shared" si="1"/>
        <v>Advance</v>
      </c>
      <c r="K265" s="9">
        <v>2124.0</v>
      </c>
    </row>
    <row r="266" ht="15.75" customHeight="1">
      <c r="A266" s="5" t="s">
        <v>1171</v>
      </c>
      <c r="B266" s="5" t="s">
        <v>1172</v>
      </c>
      <c r="C266" s="5" t="s">
        <v>220</v>
      </c>
      <c r="D266" s="5" t="s">
        <v>43</v>
      </c>
      <c r="E266" s="5" t="s">
        <v>68</v>
      </c>
      <c r="F266" s="5" t="s">
        <v>34</v>
      </c>
      <c r="G266" s="6" t="s">
        <v>66</v>
      </c>
      <c r="H266" s="5">
        <v>6.92</v>
      </c>
      <c r="I266" s="5">
        <v>46.0</v>
      </c>
      <c r="J266" s="5" t="str">
        <f t="shared" si="1"/>
        <v>Advance</v>
      </c>
      <c r="K266" s="9">
        <v>2124.0</v>
      </c>
    </row>
    <row r="267" ht="15.75" customHeight="1">
      <c r="A267" s="5" t="s">
        <v>1175</v>
      </c>
      <c r="B267" s="5" t="s">
        <v>1176</v>
      </c>
      <c r="C267" s="5" t="s">
        <v>220</v>
      </c>
      <c r="D267" s="5" t="s">
        <v>45</v>
      </c>
      <c r="E267" s="5" t="s">
        <v>49</v>
      </c>
      <c r="F267" s="5" t="s">
        <v>34</v>
      </c>
      <c r="G267" s="6" t="s">
        <v>66</v>
      </c>
      <c r="H267" s="5">
        <v>20.25</v>
      </c>
      <c r="I267" s="5">
        <v>45.0</v>
      </c>
      <c r="J267" s="5" t="str">
        <f t="shared" si="1"/>
        <v>Advance</v>
      </c>
      <c r="K267" s="9">
        <v>5774.0</v>
      </c>
    </row>
    <row r="268" ht="15.75" customHeight="1">
      <c r="A268" s="5" t="s">
        <v>1180</v>
      </c>
      <c r="B268" s="5" t="s">
        <v>1181</v>
      </c>
      <c r="C268" s="5" t="s">
        <v>220</v>
      </c>
      <c r="D268" s="5" t="s">
        <v>20</v>
      </c>
      <c r="E268" s="5" t="s">
        <v>52</v>
      </c>
      <c r="F268" s="5" t="s">
        <v>34</v>
      </c>
      <c r="G268" s="6" t="s">
        <v>66</v>
      </c>
      <c r="H268" s="5">
        <v>27.5</v>
      </c>
      <c r="I268" s="5">
        <v>45.0</v>
      </c>
      <c r="J268" s="5" t="str">
        <f t="shared" si="1"/>
        <v>Advance</v>
      </c>
      <c r="K268" s="9">
        <v>8867.0</v>
      </c>
    </row>
    <row r="269" ht="15.75" customHeight="1">
      <c r="A269" s="5" t="s">
        <v>1183</v>
      </c>
      <c r="B269" s="5" t="s">
        <v>1184</v>
      </c>
      <c r="C269" s="5" t="s">
        <v>220</v>
      </c>
      <c r="D269" s="5" t="s">
        <v>45</v>
      </c>
      <c r="E269" s="5" t="s">
        <v>49</v>
      </c>
      <c r="F269" s="5" t="s">
        <v>34</v>
      </c>
      <c r="G269" s="6" t="s">
        <v>180</v>
      </c>
      <c r="H269" s="5">
        <v>13.92</v>
      </c>
      <c r="I269" s="5">
        <v>46.0</v>
      </c>
      <c r="J269" s="5" t="str">
        <f t="shared" si="1"/>
        <v>Advance</v>
      </c>
      <c r="K269" s="9">
        <v>6502.0</v>
      </c>
    </row>
    <row r="270" ht="15.75" customHeight="1">
      <c r="A270" s="5" t="s">
        <v>1186</v>
      </c>
      <c r="B270" s="5" t="s">
        <v>1188</v>
      </c>
      <c r="C270" s="5" t="s">
        <v>220</v>
      </c>
      <c r="D270" s="5" t="s">
        <v>45</v>
      </c>
      <c r="E270" s="5" t="s">
        <v>49</v>
      </c>
      <c r="F270" s="5" t="s">
        <v>34</v>
      </c>
      <c r="G270" s="6" t="s">
        <v>180</v>
      </c>
      <c r="H270" s="5">
        <v>17.08</v>
      </c>
      <c r="I270" s="5">
        <v>46.0</v>
      </c>
      <c r="J270" s="5" t="str">
        <f t="shared" si="1"/>
        <v>Advance</v>
      </c>
      <c r="K270" s="9">
        <v>6502.0</v>
      </c>
    </row>
    <row r="271" ht="15.75" customHeight="1">
      <c r="A271" s="5" t="s">
        <v>1190</v>
      </c>
      <c r="B271" s="5" t="s">
        <v>1192</v>
      </c>
      <c r="C271" s="5" t="s">
        <v>220</v>
      </c>
      <c r="D271" s="5" t="s">
        <v>45</v>
      </c>
      <c r="E271" s="5" t="s">
        <v>49</v>
      </c>
      <c r="F271" s="5" t="s">
        <v>34</v>
      </c>
      <c r="G271" s="6" t="s">
        <v>180</v>
      </c>
      <c r="H271" s="5">
        <v>18.08</v>
      </c>
      <c r="I271" s="5">
        <v>46.0</v>
      </c>
      <c r="J271" s="5" t="str">
        <f t="shared" si="1"/>
        <v>Advance</v>
      </c>
      <c r="K271" s="9">
        <v>6502.0</v>
      </c>
    </row>
    <row r="272" ht="15.75" customHeight="1">
      <c r="A272" s="5" t="s">
        <v>1194</v>
      </c>
      <c r="B272" s="5" t="s">
        <v>1195</v>
      </c>
      <c r="C272" s="5" t="s">
        <v>220</v>
      </c>
      <c r="D272" s="5" t="s">
        <v>58</v>
      </c>
      <c r="E272" s="5" t="s">
        <v>59</v>
      </c>
      <c r="F272" s="5" t="s">
        <v>34</v>
      </c>
      <c r="G272" s="6" t="s">
        <v>66</v>
      </c>
      <c r="H272" s="5">
        <v>7.5</v>
      </c>
      <c r="I272" s="5">
        <v>47.0</v>
      </c>
      <c r="J272" s="5" t="str">
        <f t="shared" si="1"/>
        <v>Advance</v>
      </c>
      <c r="K272" s="9">
        <v>7542.0</v>
      </c>
    </row>
    <row r="273" ht="15.75" customHeight="1">
      <c r="A273" s="5" t="s">
        <v>1198</v>
      </c>
      <c r="B273" s="5" t="s">
        <v>1199</v>
      </c>
      <c r="C273" s="5" t="s">
        <v>251</v>
      </c>
      <c r="D273" s="5" t="s">
        <v>58</v>
      </c>
      <c r="E273" s="5" t="s">
        <v>59</v>
      </c>
      <c r="F273" s="5" t="s">
        <v>34</v>
      </c>
      <c r="G273" s="6" t="s">
        <v>66</v>
      </c>
      <c r="H273" s="5">
        <v>14.0</v>
      </c>
      <c r="I273" s="5">
        <v>27.0</v>
      </c>
      <c r="J273" s="5" t="str">
        <f t="shared" si="1"/>
        <v>Moderate</v>
      </c>
      <c r="K273" s="9">
        <v>5817.0</v>
      </c>
    </row>
    <row r="274" ht="15.75" customHeight="1">
      <c r="A274" s="5" t="s">
        <v>1201</v>
      </c>
      <c r="B274" s="5" t="s">
        <v>1202</v>
      </c>
      <c r="C274" s="5" t="s">
        <v>251</v>
      </c>
      <c r="D274" s="5" t="s">
        <v>20</v>
      </c>
      <c r="E274" s="5" t="s">
        <v>52</v>
      </c>
      <c r="F274" s="5" t="s">
        <v>34</v>
      </c>
      <c r="G274" s="6" t="s">
        <v>66</v>
      </c>
      <c r="H274" s="5">
        <v>22.33</v>
      </c>
      <c r="I274" s="5">
        <v>41.0</v>
      </c>
      <c r="J274" s="5" t="str">
        <f t="shared" si="1"/>
        <v>Advance</v>
      </c>
      <c r="K274" s="9">
        <v>5949.0</v>
      </c>
    </row>
    <row r="275" ht="15.75" customHeight="1">
      <c r="A275" s="5" t="s">
        <v>1204</v>
      </c>
      <c r="B275" s="5" t="s">
        <v>1206</v>
      </c>
      <c r="C275" s="5" t="s">
        <v>251</v>
      </c>
      <c r="D275" s="5" t="s">
        <v>45</v>
      </c>
      <c r="E275" s="5" t="s">
        <v>49</v>
      </c>
      <c r="F275" s="5" t="s">
        <v>34</v>
      </c>
      <c r="G275" s="6" t="s">
        <v>66</v>
      </c>
      <c r="H275" s="5">
        <v>22.58</v>
      </c>
      <c r="I275" s="5">
        <v>13.0</v>
      </c>
      <c r="J275" s="5" t="str">
        <f t="shared" si="1"/>
        <v>Short Notice</v>
      </c>
      <c r="K275" s="9">
        <v>12007.0</v>
      </c>
    </row>
    <row r="276" ht="15.75" customHeight="1">
      <c r="A276" s="5" t="s">
        <v>1208</v>
      </c>
      <c r="B276" s="5" t="s">
        <v>1209</v>
      </c>
      <c r="C276" s="5" t="s">
        <v>251</v>
      </c>
      <c r="D276" s="5" t="s">
        <v>43</v>
      </c>
      <c r="E276" s="5" t="s">
        <v>68</v>
      </c>
      <c r="F276" s="5" t="s">
        <v>34</v>
      </c>
      <c r="G276" s="6" t="s">
        <v>66</v>
      </c>
      <c r="H276" s="5">
        <v>6.33</v>
      </c>
      <c r="I276" s="5">
        <v>1.0</v>
      </c>
      <c r="J276" s="5" t="str">
        <f t="shared" si="1"/>
        <v>Last Minute</v>
      </c>
      <c r="K276" s="9">
        <v>20066.0</v>
      </c>
    </row>
    <row r="277" ht="15.75" customHeight="1">
      <c r="A277" s="5" t="s">
        <v>1211</v>
      </c>
      <c r="B277" s="5" t="s">
        <v>1212</v>
      </c>
      <c r="C277" s="5" t="s">
        <v>251</v>
      </c>
      <c r="D277" s="5" t="s">
        <v>43</v>
      </c>
      <c r="E277" s="5" t="s">
        <v>68</v>
      </c>
      <c r="F277" s="5" t="s">
        <v>34</v>
      </c>
      <c r="G277" s="6" t="s">
        <v>66</v>
      </c>
      <c r="H277" s="5">
        <v>8.5</v>
      </c>
      <c r="I277" s="5">
        <v>14.0</v>
      </c>
      <c r="J277" s="5" t="str">
        <f t="shared" si="1"/>
        <v>Short Notice</v>
      </c>
      <c r="K277" s="9">
        <v>10826.0</v>
      </c>
    </row>
    <row r="278" ht="15.75" customHeight="1">
      <c r="A278" s="5" t="s">
        <v>1217</v>
      </c>
      <c r="B278" s="5" t="s">
        <v>1218</v>
      </c>
      <c r="C278" s="5" t="s">
        <v>251</v>
      </c>
      <c r="D278" s="5" t="s">
        <v>43</v>
      </c>
      <c r="E278" s="5" t="s">
        <v>68</v>
      </c>
      <c r="F278" s="5" t="s">
        <v>34</v>
      </c>
      <c r="G278" s="6" t="s">
        <v>66</v>
      </c>
      <c r="H278" s="5">
        <v>6.58</v>
      </c>
      <c r="I278" s="5">
        <v>1.0</v>
      </c>
      <c r="J278" s="5" t="str">
        <f t="shared" si="1"/>
        <v>Last Minute</v>
      </c>
      <c r="K278" s="9">
        <v>23686.0</v>
      </c>
    </row>
    <row r="279" ht="15.75" customHeight="1">
      <c r="A279" s="5" t="s">
        <v>1222</v>
      </c>
      <c r="B279" s="5" t="s">
        <v>1223</v>
      </c>
      <c r="C279" s="5" t="s">
        <v>251</v>
      </c>
      <c r="D279" s="5" t="s">
        <v>20</v>
      </c>
      <c r="E279" s="5" t="s">
        <v>52</v>
      </c>
      <c r="F279" s="5" t="s">
        <v>34</v>
      </c>
      <c r="G279" s="6" t="s">
        <v>66</v>
      </c>
      <c r="H279" s="5">
        <v>7.67</v>
      </c>
      <c r="I279" s="5">
        <v>48.0</v>
      </c>
      <c r="J279" s="5" t="str">
        <f t="shared" si="1"/>
        <v>Advance</v>
      </c>
      <c r="K279" s="9">
        <v>7336.0</v>
      </c>
    </row>
    <row r="280" ht="15.75" customHeight="1">
      <c r="A280" s="5" t="s">
        <v>1227</v>
      </c>
      <c r="B280" s="5" t="s">
        <v>1228</v>
      </c>
      <c r="C280" s="5" t="s">
        <v>251</v>
      </c>
      <c r="D280" s="5" t="s">
        <v>20</v>
      </c>
      <c r="E280" s="5" t="s">
        <v>52</v>
      </c>
      <c r="F280" s="5" t="s">
        <v>34</v>
      </c>
      <c r="G280" s="6" t="s">
        <v>180</v>
      </c>
      <c r="H280" s="5">
        <v>7.42</v>
      </c>
      <c r="I280" s="5">
        <v>48.0</v>
      </c>
      <c r="J280" s="5" t="str">
        <f t="shared" si="1"/>
        <v>Advance</v>
      </c>
      <c r="K280" s="9">
        <v>9506.0</v>
      </c>
    </row>
    <row r="281" ht="15.75" customHeight="1">
      <c r="A281" s="5" t="s">
        <v>1230</v>
      </c>
      <c r="B281" s="5" t="s">
        <v>1231</v>
      </c>
      <c r="C281" s="5" t="s">
        <v>251</v>
      </c>
      <c r="D281" s="5" t="s">
        <v>45</v>
      </c>
      <c r="E281" s="5" t="s">
        <v>49</v>
      </c>
      <c r="F281" s="5" t="s">
        <v>34</v>
      </c>
      <c r="G281" s="6" t="s">
        <v>66</v>
      </c>
      <c r="H281" s="5">
        <v>25.0</v>
      </c>
      <c r="I281" s="5">
        <v>2.0</v>
      </c>
      <c r="J281" s="5" t="str">
        <f t="shared" si="1"/>
        <v>Last Minute</v>
      </c>
      <c r="K281" s="9">
        <v>11928.0</v>
      </c>
    </row>
    <row r="282" ht="15.75" customHeight="1">
      <c r="A282" s="5" t="s">
        <v>1233</v>
      </c>
      <c r="B282" s="5" t="s">
        <v>1235</v>
      </c>
      <c r="C282" s="5" t="s">
        <v>251</v>
      </c>
      <c r="D282" s="5" t="s">
        <v>20</v>
      </c>
      <c r="E282" s="5" t="s">
        <v>52</v>
      </c>
      <c r="F282" s="5" t="s">
        <v>53</v>
      </c>
      <c r="G282" s="6" t="s">
        <v>66</v>
      </c>
      <c r="H282" s="5">
        <v>13.83</v>
      </c>
      <c r="I282" s="5">
        <v>39.0</v>
      </c>
      <c r="J282" s="5" t="str">
        <f t="shared" si="1"/>
        <v>Advance</v>
      </c>
      <c r="K282" s="9">
        <v>64285.0</v>
      </c>
    </row>
    <row r="283" ht="15.75" customHeight="1">
      <c r="A283" s="5" t="s">
        <v>1238</v>
      </c>
      <c r="B283" s="5" t="s">
        <v>1239</v>
      </c>
      <c r="C283" s="5" t="s">
        <v>251</v>
      </c>
      <c r="D283" s="5" t="s">
        <v>72</v>
      </c>
      <c r="E283" s="5" t="s">
        <v>266</v>
      </c>
      <c r="F283" s="5" t="s">
        <v>34</v>
      </c>
      <c r="G283" s="6" t="s">
        <v>66</v>
      </c>
      <c r="H283" s="5">
        <v>26.75</v>
      </c>
      <c r="I283" s="5">
        <v>3.0</v>
      </c>
      <c r="J283" s="5" t="str">
        <f t="shared" si="1"/>
        <v>Last Minute</v>
      </c>
      <c r="K283" s="9">
        <v>7412.0</v>
      </c>
    </row>
    <row r="284" ht="15.75" customHeight="1">
      <c r="A284" s="5" t="s">
        <v>1241</v>
      </c>
      <c r="B284" s="5" t="s">
        <v>1242</v>
      </c>
      <c r="C284" s="5" t="s">
        <v>251</v>
      </c>
      <c r="D284" s="5" t="s">
        <v>43</v>
      </c>
      <c r="E284" s="5" t="s">
        <v>68</v>
      </c>
      <c r="F284" s="5" t="s">
        <v>34</v>
      </c>
      <c r="G284" s="6" t="s">
        <v>66</v>
      </c>
      <c r="H284" s="5">
        <v>9.92</v>
      </c>
      <c r="I284" s="5">
        <v>5.0</v>
      </c>
      <c r="J284" s="5" t="str">
        <f t="shared" si="1"/>
        <v>Last Minute</v>
      </c>
      <c r="K284" s="9">
        <v>14921.0</v>
      </c>
    </row>
    <row r="285" ht="15.75" customHeight="1">
      <c r="A285" s="5" t="s">
        <v>1245</v>
      </c>
      <c r="B285" s="5" t="s">
        <v>1246</v>
      </c>
      <c r="C285" s="5" t="s">
        <v>251</v>
      </c>
      <c r="D285" s="5" t="s">
        <v>20</v>
      </c>
      <c r="E285" s="5" t="s">
        <v>52</v>
      </c>
      <c r="F285" s="5" t="s">
        <v>34</v>
      </c>
      <c r="G285" s="6" t="s">
        <v>66</v>
      </c>
      <c r="H285" s="5">
        <v>11.67</v>
      </c>
      <c r="I285" s="5">
        <v>7.0</v>
      </c>
      <c r="J285" s="5" t="str">
        <f t="shared" si="1"/>
        <v>Last Minute</v>
      </c>
      <c r="K285" s="9">
        <v>14343.0</v>
      </c>
    </row>
    <row r="286" ht="15.75" customHeight="1">
      <c r="A286" s="5" t="s">
        <v>1250</v>
      </c>
      <c r="B286" s="5" t="s">
        <v>1251</v>
      </c>
      <c r="C286" s="5" t="s">
        <v>251</v>
      </c>
      <c r="D286" s="5" t="s">
        <v>20</v>
      </c>
      <c r="E286" s="5" t="s">
        <v>52</v>
      </c>
      <c r="F286" s="5" t="s">
        <v>34</v>
      </c>
      <c r="G286" s="6">
        <v>1.0</v>
      </c>
      <c r="H286" s="5">
        <v>23.83</v>
      </c>
      <c r="I286" s="5">
        <v>43.0</v>
      </c>
      <c r="J286" s="5" t="str">
        <f t="shared" si="1"/>
        <v>Advance</v>
      </c>
      <c r="K286" s="9">
        <v>5949.0</v>
      </c>
    </row>
    <row r="287" ht="15.75" customHeight="1">
      <c r="A287" s="5" t="s">
        <v>1253</v>
      </c>
      <c r="B287" s="5" t="s">
        <v>1254</v>
      </c>
      <c r="C287" s="5" t="s">
        <v>251</v>
      </c>
      <c r="D287" s="5" t="s">
        <v>20</v>
      </c>
      <c r="E287" s="5" t="s">
        <v>52</v>
      </c>
      <c r="F287" s="5" t="s">
        <v>34</v>
      </c>
      <c r="G287" s="6" t="s">
        <v>66</v>
      </c>
      <c r="H287" s="5">
        <v>20.17</v>
      </c>
      <c r="I287" s="5">
        <v>16.0</v>
      </c>
      <c r="J287" s="5" t="str">
        <f t="shared" si="1"/>
        <v>Moderate</v>
      </c>
      <c r="K287" s="9">
        <v>5949.0</v>
      </c>
    </row>
    <row r="288" ht="15.75" customHeight="1">
      <c r="A288" s="5" t="s">
        <v>1256</v>
      </c>
      <c r="B288" s="5" t="s">
        <v>1257</v>
      </c>
      <c r="C288" s="5" t="s">
        <v>251</v>
      </c>
      <c r="D288" s="5" t="s">
        <v>72</v>
      </c>
      <c r="E288" s="5" t="s">
        <v>266</v>
      </c>
      <c r="F288" s="5" t="s">
        <v>34</v>
      </c>
      <c r="G288" s="6" t="s">
        <v>66</v>
      </c>
      <c r="H288" s="5">
        <v>15.5</v>
      </c>
      <c r="I288" s="5">
        <v>43.0</v>
      </c>
      <c r="J288" s="5" t="str">
        <f t="shared" si="1"/>
        <v>Advance</v>
      </c>
      <c r="K288" s="9">
        <v>5398.0</v>
      </c>
    </row>
    <row r="289" ht="15.75" customHeight="1">
      <c r="A289" s="5" t="s">
        <v>1261</v>
      </c>
      <c r="B289" s="5" t="s">
        <v>1262</v>
      </c>
      <c r="C289" s="5" t="s">
        <v>251</v>
      </c>
      <c r="D289" s="5" t="s">
        <v>43</v>
      </c>
      <c r="E289" s="5" t="s">
        <v>68</v>
      </c>
      <c r="F289" s="5" t="s">
        <v>34</v>
      </c>
      <c r="G289" s="6" t="s">
        <v>66</v>
      </c>
      <c r="H289" s="5">
        <v>8.08</v>
      </c>
      <c r="I289" s="5">
        <v>23.0</v>
      </c>
      <c r="J289" s="5" t="str">
        <f t="shared" si="1"/>
        <v>Moderate</v>
      </c>
      <c r="K289" s="9">
        <v>4772.0</v>
      </c>
    </row>
    <row r="290" ht="15.75" customHeight="1">
      <c r="A290" s="5" t="s">
        <v>1264</v>
      </c>
      <c r="B290" s="5" t="s">
        <v>1265</v>
      </c>
      <c r="C290" s="5" t="s">
        <v>251</v>
      </c>
      <c r="D290" s="5" t="s">
        <v>20</v>
      </c>
      <c r="E290" s="5" t="s">
        <v>52</v>
      </c>
      <c r="F290" s="5" t="s">
        <v>34</v>
      </c>
      <c r="G290" s="6" t="s">
        <v>66</v>
      </c>
      <c r="H290" s="5">
        <v>10.83</v>
      </c>
      <c r="I290" s="5">
        <v>47.0</v>
      </c>
      <c r="J290" s="5" t="str">
        <f t="shared" si="1"/>
        <v>Advance</v>
      </c>
      <c r="K290" s="9">
        <v>5949.0</v>
      </c>
    </row>
    <row r="291" ht="15.75" customHeight="1">
      <c r="A291" s="5" t="s">
        <v>1267</v>
      </c>
      <c r="B291" s="5" t="s">
        <v>1269</v>
      </c>
      <c r="C291" s="5" t="s">
        <v>251</v>
      </c>
      <c r="D291" s="5" t="s">
        <v>20</v>
      </c>
      <c r="E291" s="5" t="s">
        <v>52</v>
      </c>
      <c r="F291" s="5" t="s">
        <v>34</v>
      </c>
      <c r="G291" s="6" t="s">
        <v>66</v>
      </c>
      <c r="H291" s="5">
        <v>16.75</v>
      </c>
      <c r="I291" s="5">
        <v>13.0</v>
      </c>
      <c r="J291" s="5" t="str">
        <f t="shared" si="1"/>
        <v>Short Notice</v>
      </c>
      <c r="K291" s="9">
        <v>9879.0</v>
      </c>
    </row>
    <row r="292" ht="15.75" customHeight="1">
      <c r="A292" s="5" t="s">
        <v>1271</v>
      </c>
      <c r="B292" s="5" t="s">
        <v>1273</v>
      </c>
      <c r="C292" s="5" t="s">
        <v>251</v>
      </c>
      <c r="D292" s="5" t="s">
        <v>20</v>
      </c>
      <c r="E292" s="5" t="s">
        <v>52</v>
      </c>
      <c r="F292" s="5" t="s">
        <v>34</v>
      </c>
      <c r="G292" s="6" t="s">
        <v>180</v>
      </c>
      <c r="H292" s="5">
        <v>16.42</v>
      </c>
      <c r="I292" s="5">
        <v>12.0</v>
      </c>
      <c r="J292" s="5" t="str">
        <f t="shared" si="1"/>
        <v>Short Notice</v>
      </c>
      <c r="K292" s="9">
        <v>13764.0</v>
      </c>
    </row>
    <row r="293" ht="15.75" customHeight="1">
      <c r="A293" s="5" t="s">
        <v>1276</v>
      </c>
      <c r="B293" s="5" t="s">
        <v>1277</v>
      </c>
      <c r="C293" s="5" t="s">
        <v>251</v>
      </c>
      <c r="D293" s="5" t="s">
        <v>45</v>
      </c>
      <c r="E293" s="5" t="s">
        <v>49</v>
      </c>
      <c r="F293" s="5" t="s">
        <v>34</v>
      </c>
      <c r="G293" s="6" t="s">
        <v>66</v>
      </c>
      <c r="H293" s="5">
        <v>18.5</v>
      </c>
      <c r="I293" s="5">
        <v>5.0</v>
      </c>
      <c r="J293" s="5" t="str">
        <f t="shared" si="1"/>
        <v>Last Minute</v>
      </c>
      <c r="K293" s="9">
        <v>21273.0</v>
      </c>
    </row>
    <row r="294" ht="15.75" customHeight="1">
      <c r="A294" s="5" t="s">
        <v>1280</v>
      </c>
      <c r="B294" s="5" t="s">
        <v>1281</v>
      </c>
      <c r="C294" s="5" t="s">
        <v>251</v>
      </c>
      <c r="D294" s="5" t="s">
        <v>43</v>
      </c>
      <c r="E294" s="5" t="s">
        <v>68</v>
      </c>
      <c r="F294" s="5" t="s">
        <v>34</v>
      </c>
      <c r="G294" s="6" t="s">
        <v>66</v>
      </c>
      <c r="H294" s="5">
        <v>6.67</v>
      </c>
      <c r="I294" s="5">
        <v>7.0</v>
      </c>
      <c r="J294" s="5" t="str">
        <f t="shared" si="1"/>
        <v>Last Minute</v>
      </c>
      <c r="K294" s="9">
        <v>7336.0</v>
      </c>
    </row>
    <row r="295" ht="15.75" customHeight="1">
      <c r="A295" s="5" t="s">
        <v>1285</v>
      </c>
      <c r="B295" s="5" t="s">
        <v>1286</v>
      </c>
      <c r="C295" s="5" t="s">
        <v>251</v>
      </c>
      <c r="D295" s="5" t="s">
        <v>45</v>
      </c>
      <c r="E295" s="5" t="s">
        <v>49</v>
      </c>
      <c r="F295" s="5" t="s">
        <v>34</v>
      </c>
      <c r="G295" s="6" t="s">
        <v>66</v>
      </c>
      <c r="H295" s="5">
        <v>25.83</v>
      </c>
      <c r="I295" s="5">
        <v>12.0</v>
      </c>
      <c r="J295" s="5" t="str">
        <f t="shared" si="1"/>
        <v>Short Notice</v>
      </c>
      <c r="K295" s="9">
        <v>10668.0</v>
      </c>
    </row>
    <row r="296" ht="15.75" customHeight="1">
      <c r="A296" s="5" t="s">
        <v>1288</v>
      </c>
      <c r="B296" s="5" t="s">
        <v>1289</v>
      </c>
      <c r="C296" s="5" t="s">
        <v>251</v>
      </c>
      <c r="D296" s="5" t="s">
        <v>43</v>
      </c>
      <c r="E296" s="5" t="s">
        <v>68</v>
      </c>
      <c r="F296" s="5" t="s">
        <v>34</v>
      </c>
      <c r="G296" s="6" t="s">
        <v>66</v>
      </c>
      <c r="H296" s="5">
        <v>8.0</v>
      </c>
      <c r="I296" s="5">
        <v>20.0</v>
      </c>
      <c r="J296" s="5" t="str">
        <f t="shared" si="1"/>
        <v>Moderate</v>
      </c>
      <c r="K296" s="9">
        <v>5038.0</v>
      </c>
    </row>
    <row r="297" ht="15.75" customHeight="1">
      <c r="A297" s="5" t="s">
        <v>1293</v>
      </c>
      <c r="B297" s="5" t="s">
        <v>1294</v>
      </c>
      <c r="C297" s="5" t="s">
        <v>251</v>
      </c>
      <c r="D297" s="5" t="s">
        <v>20</v>
      </c>
      <c r="E297" s="5" t="s">
        <v>52</v>
      </c>
      <c r="F297" s="5" t="s">
        <v>53</v>
      </c>
      <c r="G297" s="6" t="s">
        <v>66</v>
      </c>
      <c r="H297" s="5">
        <v>13.58</v>
      </c>
      <c r="I297" s="5">
        <v>36.0</v>
      </c>
      <c r="J297" s="5" t="str">
        <f t="shared" si="1"/>
        <v>Advance</v>
      </c>
      <c r="K297" s="9">
        <v>51405.0</v>
      </c>
    </row>
    <row r="298" ht="15.75" customHeight="1">
      <c r="A298" s="5" t="s">
        <v>1297</v>
      </c>
      <c r="B298" s="5" t="s">
        <v>1298</v>
      </c>
      <c r="C298" s="5" t="s">
        <v>251</v>
      </c>
      <c r="D298" s="5" t="s">
        <v>45</v>
      </c>
      <c r="E298" s="5" t="s">
        <v>49</v>
      </c>
      <c r="F298" s="5" t="s">
        <v>34</v>
      </c>
      <c r="G298" s="6" t="s">
        <v>180</v>
      </c>
      <c r="H298" s="5">
        <v>34.08</v>
      </c>
      <c r="I298" s="5">
        <v>15.0</v>
      </c>
      <c r="J298" s="5" t="str">
        <f t="shared" si="1"/>
        <v>Short Notice</v>
      </c>
      <c r="K298" s="9">
        <v>12007.0</v>
      </c>
    </row>
    <row r="299" ht="15.75" customHeight="1">
      <c r="A299" s="5" t="s">
        <v>1301</v>
      </c>
      <c r="B299" s="5" t="s">
        <v>1303</v>
      </c>
      <c r="C299" s="5" t="s">
        <v>251</v>
      </c>
      <c r="D299" s="5" t="s">
        <v>43</v>
      </c>
      <c r="E299" s="5" t="s">
        <v>68</v>
      </c>
      <c r="F299" s="5" t="s">
        <v>34</v>
      </c>
      <c r="G299" s="6" t="s">
        <v>66</v>
      </c>
      <c r="H299" s="5">
        <v>7.75</v>
      </c>
      <c r="I299" s="5">
        <v>42.0</v>
      </c>
      <c r="J299" s="5" t="str">
        <f t="shared" si="1"/>
        <v>Advance</v>
      </c>
      <c r="K299" s="9">
        <v>2835.0</v>
      </c>
    </row>
    <row r="300" ht="15.75" customHeight="1">
      <c r="A300" s="5" t="s">
        <v>1306</v>
      </c>
      <c r="B300" s="5" t="s">
        <v>1307</v>
      </c>
      <c r="C300" s="5" t="s">
        <v>251</v>
      </c>
      <c r="D300" s="5" t="s">
        <v>45</v>
      </c>
      <c r="E300" s="5" t="s">
        <v>49</v>
      </c>
      <c r="F300" s="5" t="s">
        <v>34</v>
      </c>
      <c r="G300" s="6" t="s">
        <v>66</v>
      </c>
      <c r="H300" s="5">
        <v>23.0</v>
      </c>
      <c r="I300" s="5">
        <v>23.0</v>
      </c>
      <c r="J300" s="5" t="str">
        <f t="shared" si="1"/>
        <v>Moderate</v>
      </c>
      <c r="K300" s="9">
        <v>4556.0</v>
      </c>
    </row>
    <row r="301" ht="15.75" customHeight="1">
      <c r="A301" s="5" t="s">
        <v>1309</v>
      </c>
      <c r="B301" s="5" t="s">
        <v>1310</v>
      </c>
      <c r="C301" s="5" t="s">
        <v>251</v>
      </c>
      <c r="D301" s="5" t="s">
        <v>45</v>
      </c>
      <c r="E301" s="5" t="s">
        <v>49</v>
      </c>
      <c r="F301" s="5" t="s">
        <v>34</v>
      </c>
      <c r="G301" s="6" t="s">
        <v>180</v>
      </c>
      <c r="H301" s="5">
        <v>27.25</v>
      </c>
      <c r="I301" s="5">
        <v>38.0</v>
      </c>
      <c r="J301" s="5" t="str">
        <f t="shared" si="1"/>
        <v>Advance</v>
      </c>
      <c r="K301" s="9">
        <v>6661.0</v>
      </c>
    </row>
    <row r="302" ht="15.75" customHeight="1">
      <c r="A302" s="5" t="s">
        <v>1312</v>
      </c>
      <c r="B302" s="5" t="s">
        <v>1313</v>
      </c>
      <c r="C302" s="5" t="s">
        <v>251</v>
      </c>
      <c r="D302" s="5" t="s">
        <v>72</v>
      </c>
      <c r="E302" s="5" t="s">
        <v>266</v>
      </c>
      <c r="F302" s="5" t="s">
        <v>34</v>
      </c>
      <c r="G302" s="6" t="s">
        <v>66</v>
      </c>
      <c r="H302" s="5">
        <v>22.75</v>
      </c>
      <c r="I302" s="5">
        <v>44.0</v>
      </c>
      <c r="J302" s="5" t="str">
        <f t="shared" si="1"/>
        <v>Advance</v>
      </c>
      <c r="K302" s="9">
        <v>6448.0</v>
      </c>
    </row>
    <row r="303" ht="15.75" customHeight="1">
      <c r="A303" s="5" t="s">
        <v>1316</v>
      </c>
      <c r="B303" s="5" t="s">
        <v>1317</v>
      </c>
      <c r="C303" s="5" t="s">
        <v>251</v>
      </c>
      <c r="D303" s="5" t="s">
        <v>43</v>
      </c>
      <c r="E303" s="5" t="s">
        <v>68</v>
      </c>
      <c r="F303" s="5" t="s">
        <v>34</v>
      </c>
      <c r="G303" s="6" t="s">
        <v>66</v>
      </c>
      <c r="H303" s="5">
        <v>6.0</v>
      </c>
      <c r="I303" s="5">
        <v>46.0</v>
      </c>
      <c r="J303" s="5" t="str">
        <f t="shared" si="1"/>
        <v>Advance</v>
      </c>
      <c r="K303" s="9">
        <v>2835.0</v>
      </c>
    </row>
    <row r="304" ht="15.75" customHeight="1">
      <c r="A304" s="5" t="s">
        <v>1319</v>
      </c>
      <c r="B304" s="5" t="s">
        <v>1320</v>
      </c>
      <c r="C304" s="5" t="s">
        <v>251</v>
      </c>
      <c r="D304" s="5" t="s">
        <v>43</v>
      </c>
      <c r="E304" s="5" t="s">
        <v>68</v>
      </c>
      <c r="F304" s="5" t="s">
        <v>34</v>
      </c>
      <c r="G304" s="6" t="s">
        <v>66</v>
      </c>
      <c r="H304" s="5">
        <v>5.83</v>
      </c>
      <c r="I304" s="5">
        <v>46.0</v>
      </c>
      <c r="J304" s="5" t="str">
        <f t="shared" si="1"/>
        <v>Advance</v>
      </c>
      <c r="K304" s="9">
        <v>3980.0</v>
      </c>
    </row>
    <row r="305" ht="15.75" customHeight="1">
      <c r="A305" s="5" t="s">
        <v>1323</v>
      </c>
      <c r="B305" s="5" t="s">
        <v>1324</v>
      </c>
      <c r="C305" s="5" t="s">
        <v>251</v>
      </c>
      <c r="D305" s="5" t="s">
        <v>43</v>
      </c>
      <c r="E305" s="5" t="s">
        <v>68</v>
      </c>
      <c r="F305" s="5" t="s">
        <v>34</v>
      </c>
      <c r="G305" s="6" t="s">
        <v>66</v>
      </c>
      <c r="H305" s="5">
        <v>5.92</v>
      </c>
      <c r="I305" s="5">
        <v>46.0</v>
      </c>
      <c r="J305" s="5" t="str">
        <f t="shared" si="1"/>
        <v>Advance</v>
      </c>
      <c r="K305" s="9">
        <v>3980.0</v>
      </c>
    </row>
    <row r="306" ht="15.75" customHeight="1">
      <c r="A306" s="5" t="s">
        <v>1328</v>
      </c>
      <c r="B306" s="5" t="s">
        <v>1330</v>
      </c>
      <c r="C306" s="5" t="s">
        <v>251</v>
      </c>
      <c r="D306" s="5" t="s">
        <v>58</v>
      </c>
      <c r="E306" s="5" t="s">
        <v>59</v>
      </c>
      <c r="F306" s="5" t="s">
        <v>34</v>
      </c>
      <c r="G306" s="6" t="s">
        <v>66</v>
      </c>
      <c r="H306" s="5">
        <v>11.5</v>
      </c>
      <c r="I306" s="5">
        <v>46.0</v>
      </c>
      <c r="J306" s="5" t="str">
        <f t="shared" si="1"/>
        <v>Advance</v>
      </c>
      <c r="K306" s="9">
        <v>5817.0</v>
      </c>
    </row>
    <row r="307" ht="15.75" customHeight="1">
      <c r="A307" s="5" t="s">
        <v>1332</v>
      </c>
      <c r="B307" s="5" t="s">
        <v>1333</v>
      </c>
      <c r="C307" s="5" t="s">
        <v>251</v>
      </c>
      <c r="D307" s="5" t="s">
        <v>72</v>
      </c>
      <c r="E307" s="5" t="s">
        <v>266</v>
      </c>
      <c r="F307" s="5" t="s">
        <v>34</v>
      </c>
      <c r="G307" s="6" t="s">
        <v>66</v>
      </c>
      <c r="H307" s="5">
        <v>16.17</v>
      </c>
      <c r="I307" s="5">
        <v>46.0</v>
      </c>
      <c r="J307" s="5" t="str">
        <f t="shared" si="1"/>
        <v>Advance</v>
      </c>
      <c r="K307" s="9">
        <v>6093.0</v>
      </c>
    </row>
    <row r="308" ht="15.75" customHeight="1">
      <c r="A308" s="5" t="s">
        <v>1334</v>
      </c>
      <c r="B308" s="5" t="s">
        <v>1335</v>
      </c>
      <c r="C308" s="5" t="s">
        <v>251</v>
      </c>
      <c r="D308" s="5" t="s">
        <v>72</v>
      </c>
      <c r="E308" s="5" t="s">
        <v>266</v>
      </c>
      <c r="F308" s="5" t="s">
        <v>34</v>
      </c>
      <c r="G308" s="6" t="s">
        <v>66</v>
      </c>
      <c r="H308" s="5">
        <v>10.25</v>
      </c>
      <c r="I308" s="5">
        <v>46.0</v>
      </c>
      <c r="J308" s="5" t="str">
        <f t="shared" si="1"/>
        <v>Advance</v>
      </c>
      <c r="K308" s="9">
        <v>5818.0</v>
      </c>
    </row>
    <row r="309" ht="15.75" customHeight="1">
      <c r="A309" s="5" t="s">
        <v>1337</v>
      </c>
      <c r="B309" s="5" t="s">
        <v>1338</v>
      </c>
      <c r="C309" s="5" t="s">
        <v>251</v>
      </c>
      <c r="D309" s="5" t="s">
        <v>43</v>
      </c>
      <c r="E309" s="5" t="s">
        <v>68</v>
      </c>
      <c r="F309" s="5" t="s">
        <v>34</v>
      </c>
      <c r="G309" s="6" t="s">
        <v>66</v>
      </c>
      <c r="H309" s="5">
        <v>6.5</v>
      </c>
      <c r="J309" s="5" t="str">
        <f t="shared" si="1"/>
        <v>Last Minute</v>
      </c>
      <c r="K309" s="9">
        <v>5125.0</v>
      </c>
    </row>
    <row r="310" ht="15.75" customHeight="1">
      <c r="A310" s="5" t="s">
        <v>1341</v>
      </c>
      <c r="B310" s="5" t="s">
        <v>1342</v>
      </c>
      <c r="C310" s="5" t="s">
        <v>251</v>
      </c>
      <c r="D310" s="5" t="s">
        <v>45</v>
      </c>
      <c r="E310" s="5" t="s">
        <v>49</v>
      </c>
      <c r="F310" s="5" t="s">
        <v>53</v>
      </c>
      <c r="G310" s="6" t="s">
        <v>66</v>
      </c>
      <c r="H310" s="5">
        <v>20.58</v>
      </c>
      <c r="I310" s="5">
        <v>46.0</v>
      </c>
      <c r="J310" s="5" t="str">
        <f t="shared" si="1"/>
        <v>Advance</v>
      </c>
      <c r="K310" s="9">
        <v>36980.0</v>
      </c>
    </row>
    <row r="311" ht="15.75" customHeight="1">
      <c r="A311" s="5" t="s">
        <v>1344</v>
      </c>
      <c r="B311" s="5" t="s">
        <v>1345</v>
      </c>
      <c r="C311" s="5" t="s">
        <v>251</v>
      </c>
      <c r="D311" s="5" t="s">
        <v>45</v>
      </c>
      <c r="E311" s="5" t="s">
        <v>49</v>
      </c>
      <c r="F311" s="5" t="s">
        <v>34</v>
      </c>
      <c r="G311" s="6" t="s">
        <v>180</v>
      </c>
      <c r="H311" s="5">
        <v>15.5</v>
      </c>
      <c r="I311" s="5">
        <v>47.0</v>
      </c>
      <c r="J311" s="5" t="str">
        <f t="shared" si="1"/>
        <v>Advance</v>
      </c>
      <c r="K311" s="9">
        <v>6240.0</v>
      </c>
    </row>
    <row r="312" ht="15.75" customHeight="1">
      <c r="A312" s="5" t="s">
        <v>1347</v>
      </c>
      <c r="B312" s="5" t="s">
        <v>1348</v>
      </c>
      <c r="C312" s="5" t="s">
        <v>251</v>
      </c>
      <c r="D312" s="5" t="s">
        <v>45</v>
      </c>
      <c r="E312" s="5" t="s">
        <v>49</v>
      </c>
      <c r="F312" s="5" t="s">
        <v>53</v>
      </c>
      <c r="G312" s="6" t="s">
        <v>66</v>
      </c>
      <c r="H312" s="5">
        <v>11.33</v>
      </c>
      <c r="I312" s="5">
        <v>49.0</v>
      </c>
      <c r="J312" s="5" t="str">
        <f t="shared" si="1"/>
        <v>Advance</v>
      </c>
      <c r="K312" s="9">
        <v>44764.0</v>
      </c>
    </row>
    <row r="313" ht="15.75" customHeight="1">
      <c r="A313" s="5" t="s">
        <v>1351</v>
      </c>
      <c r="B313" s="5" t="s">
        <v>1352</v>
      </c>
      <c r="C313" s="5" t="s">
        <v>276</v>
      </c>
      <c r="D313" s="5" t="s">
        <v>45</v>
      </c>
      <c r="E313" s="5" t="s">
        <v>49</v>
      </c>
      <c r="F313" s="5" t="s">
        <v>53</v>
      </c>
      <c r="G313" s="6" t="s">
        <v>66</v>
      </c>
      <c r="H313" s="5">
        <v>16.92</v>
      </c>
      <c r="I313" s="5">
        <v>34.0</v>
      </c>
      <c r="J313" s="5" t="str">
        <f t="shared" si="1"/>
        <v>Advance</v>
      </c>
      <c r="K313" s="9">
        <v>45693.0</v>
      </c>
    </row>
    <row r="314" ht="15.75" customHeight="1">
      <c r="A314" s="5" t="s">
        <v>1354</v>
      </c>
      <c r="B314" s="5" t="s">
        <v>1356</v>
      </c>
      <c r="C314" s="5" t="s">
        <v>276</v>
      </c>
      <c r="D314" s="5" t="s">
        <v>20</v>
      </c>
      <c r="E314" s="5" t="s">
        <v>52</v>
      </c>
      <c r="F314" s="5" t="s">
        <v>34</v>
      </c>
      <c r="G314" s="6" t="s">
        <v>66</v>
      </c>
      <c r="H314" s="5">
        <v>21.25</v>
      </c>
      <c r="I314" s="5">
        <v>2.0</v>
      </c>
      <c r="J314" s="5" t="str">
        <f t="shared" si="1"/>
        <v>Last Minute</v>
      </c>
      <c r="K314" s="9">
        <v>12557.0</v>
      </c>
    </row>
    <row r="315" ht="15.75" customHeight="1">
      <c r="A315" s="5" t="s">
        <v>1359</v>
      </c>
      <c r="B315" s="5" t="s">
        <v>1360</v>
      </c>
      <c r="C315" s="5" t="s">
        <v>276</v>
      </c>
      <c r="D315" s="5" t="s">
        <v>20</v>
      </c>
      <c r="E315" s="5" t="s">
        <v>52</v>
      </c>
      <c r="F315" s="5" t="s">
        <v>34</v>
      </c>
      <c r="G315" s="6" t="s">
        <v>66</v>
      </c>
      <c r="H315" s="5">
        <v>23.42</v>
      </c>
      <c r="I315" s="5">
        <v>3.0</v>
      </c>
      <c r="J315" s="5" t="str">
        <f t="shared" si="1"/>
        <v>Last Minute</v>
      </c>
      <c r="K315" s="9">
        <v>9879.0</v>
      </c>
    </row>
    <row r="316" ht="15.75" customHeight="1">
      <c r="A316" s="5" t="s">
        <v>1362</v>
      </c>
      <c r="B316" s="5" t="s">
        <v>1363</v>
      </c>
      <c r="C316" s="5" t="s">
        <v>276</v>
      </c>
      <c r="D316" s="5" t="s">
        <v>20</v>
      </c>
      <c r="E316" s="5" t="s">
        <v>52</v>
      </c>
      <c r="F316" s="5" t="s">
        <v>34</v>
      </c>
      <c r="G316" s="6" t="s">
        <v>66</v>
      </c>
      <c r="H316" s="5">
        <v>21.92</v>
      </c>
      <c r="I316" s="5">
        <v>1.0</v>
      </c>
      <c r="J316" s="5" t="str">
        <f t="shared" si="1"/>
        <v>Last Minute</v>
      </c>
      <c r="K316" s="9">
        <v>12557.0</v>
      </c>
    </row>
    <row r="317" ht="15.75" customHeight="1">
      <c r="A317" s="5" t="s">
        <v>1366</v>
      </c>
      <c r="B317" s="5" t="s">
        <v>1367</v>
      </c>
      <c r="C317" s="5" t="s">
        <v>276</v>
      </c>
      <c r="D317" s="5" t="s">
        <v>20</v>
      </c>
      <c r="E317" s="5" t="s">
        <v>52</v>
      </c>
      <c r="F317" s="5" t="s">
        <v>53</v>
      </c>
      <c r="G317" s="6" t="s">
        <v>66</v>
      </c>
      <c r="H317" s="5">
        <v>15.17</v>
      </c>
      <c r="I317" s="5">
        <v>32.0</v>
      </c>
      <c r="J317" s="5" t="str">
        <f t="shared" si="1"/>
        <v>Advance</v>
      </c>
      <c r="K317" s="9">
        <v>60365.0</v>
      </c>
    </row>
    <row r="318" ht="15.75" customHeight="1">
      <c r="A318" s="5" t="s">
        <v>1368</v>
      </c>
      <c r="B318" s="5" t="s">
        <v>1370</v>
      </c>
      <c r="C318" s="5" t="s">
        <v>276</v>
      </c>
      <c r="D318" s="5" t="s">
        <v>20</v>
      </c>
      <c r="E318" s="5" t="s">
        <v>52</v>
      </c>
      <c r="F318" s="5" t="s">
        <v>53</v>
      </c>
      <c r="G318" s="6" t="s">
        <v>66</v>
      </c>
      <c r="H318" s="5">
        <v>22.5</v>
      </c>
      <c r="I318" s="5">
        <v>15.0</v>
      </c>
      <c r="J318" s="5" t="str">
        <f t="shared" si="1"/>
        <v>Short Notice</v>
      </c>
      <c r="K318" s="9">
        <v>60365.0</v>
      </c>
    </row>
    <row r="319" ht="15.75" customHeight="1">
      <c r="A319" s="5" t="s">
        <v>1374</v>
      </c>
      <c r="B319" s="5" t="s">
        <v>1375</v>
      </c>
      <c r="C319" s="5" t="s">
        <v>276</v>
      </c>
      <c r="D319" s="5" t="s">
        <v>20</v>
      </c>
      <c r="E319" s="5" t="s">
        <v>52</v>
      </c>
      <c r="F319" s="5" t="s">
        <v>34</v>
      </c>
      <c r="G319" s="6" t="s">
        <v>180</v>
      </c>
      <c r="H319" s="5">
        <v>10.75</v>
      </c>
      <c r="I319" s="5">
        <v>1.0</v>
      </c>
      <c r="J319" s="5" t="str">
        <f t="shared" si="1"/>
        <v>Last Minute</v>
      </c>
      <c r="K319" s="9">
        <v>25096.0</v>
      </c>
    </row>
    <row r="320" ht="15.75" customHeight="1">
      <c r="A320" s="5" t="s">
        <v>1377</v>
      </c>
      <c r="B320" s="5" t="s">
        <v>1378</v>
      </c>
      <c r="C320" s="5" t="s">
        <v>276</v>
      </c>
      <c r="D320" s="5" t="s">
        <v>45</v>
      </c>
      <c r="E320" s="5" t="s">
        <v>49</v>
      </c>
      <c r="F320" s="5" t="s">
        <v>53</v>
      </c>
      <c r="G320" s="6" t="s">
        <v>37</v>
      </c>
      <c r="H320" s="5">
        <v>1.33</v>
      </c>
      <c r="I320" s="5">
        <v>34.0</v>
      </c>
      <c r="J320" s="5" t="str">
        <f t="shared" si="1"/>
        <v>Advance</v>
      </c>
      <c r="K320" s="9">
        <v>17548.0</v>
      </c>
    </row>
    <row r="321" ht="15.75" customHeight="1">
      <c r="A321" s="5" t="s">
        <v>1380</v>
      </c>
      <c r="B321" s="5" t="s">
        <v>1381</v>
      </c>
      <c r="C321" s="5" t="s">
        <v>276</v>
      </c>
      <c r="D321" s="5" t="s">
        <v>45</v>
      </c>
      <c r="E321" s="5" t="s">
        <v>49</v>
      </c>
      <c r="F321" s="5" t="s">
        <v>34</v>
      </c>
      <c r="G321" s="6" t="s">
        <v>66</v>
      </c>
      <c r="H321" s="5">
        <v>9.5</v>
      </c>
      <c r="J321" s="5" t="str">
        <f t="shared" si="1"/>
        <v>Last Minute</v>
      </c>
      <c r="K321" s="9">
        <v>6941.0</v>
      </c>
    </row>
    <row r="322" ht="15.75" customHeight="1">
      <c r="A322" s="5" t="s">
        <v>1384</v>
      </c>
      <c r="B322" s="5" t="s">
        <v>1385</v>
      </c>
      <c r="C322" s="5" t="s">
        <v>276</v>
      </c>
      <c r="D322" s="5" t="s">
        <v>45</v>
      </c>
      <c r="E322" s="5" t="s">
        <v>49</v>
      </c>
      <c r="F322" s="5" t="s">
        <v>34</v>
      </c>
      <c r="G322" s="6" t="s">
        <v>66</v>
      </c>
      <c r="H322" s="5">
        <v>15.58</v>
      </c>
      <c r="I322" s="5">
        <v>43.0</v>
      </c>
      <c r="J322" s="5" t="str">
        <f t="shared" si="1"/>
        <v>Advance</v>
      </c>
      <c r="K322" s="9">
        <v>4173.0</v>
      </c>
    </row>
    <row r="323" ht="15.75" customHeight="1">
      <c r="A323" s="5" t="s">
        <v>1387</v>
      </c>
      <c r="B323" s="5" t="s">
        <v>1388</v>
      </c>
      <c r="C323" s="5" t="s">
        <v>276</v>
      </c>
      <c r="D323" s="5" t="s">
        <v>45</v>
      </c>
      <c r="E323" s="5" t="s">
        <v>49</v>
      </c>
      <c r="F323" s="5" t="s">
        <v>53</v>
      </c>
      <c r="G323" s="6" t="s">
        <v>66</v>
      </c>
      <c r="H323" s="5">
        <v>16.5</v>
      </c>
      <c r="I323" s="5">
        <v>33.0</v>
      </c>
      <c r="J323" s="5" t="str">
        <f t="shared" si="1"/>
        <v>Advance</v>
      </c>
      <c r="K323" s="9">
        <v>45693.0</v>
      </c>
    </row>
    <row r="324" ht="15.75" customHeight="1">
      <c r="A324" s="5" t="s">
        <v>1390</v>
      </c>
      <c r="B324" s="5" t="s">
        <v>1391</v>
      </c>
      <c r="C324" s="5" t="s">
        <v>276</v>
      </c>
      <c r="D324" s="5" t="s">
        <v>45</v>
      </c>
      <c r="E324" s="5" t="s">
        <v>49</v>
      </c>
      <c r="F324" s="5" t="s">
        <v>34</v>
      </c>
      <c r="G324" s="6" t="s">
        <v>66</v>
      </c>
      <c r="H324" s="5">
        <v>24.08</v>
      </c>
      <c r="I324" s="5">
        <v>49.0</v>
      </c>
      <c r="J324" s="5" t="str">
        <f t="shared" si="1"/>
        <v>Advance</v>
      </c>
      <c r="K324" s="9">
        <v>3833.0</v>
      </c>
    </row>
    <row r="325" ht="15.75" customHeight="1">
      <c r="A325" s="5" t="s">
        <v>1394</v>
      </c>
      <c r="B325" s="5" t="s">
        <v>1395</v>
      </c>
      <c r="C325" s="5" t="s">
        <v>276</v>
      </c>
      <c r="D325" s="5" t="s">
        <v>20</v>
      </c>
      <c r="E325" s="5" t="s">
        <v>52</v>
      </c>
      <c r="F325" s="5" t="s">
        <v>34</v>
      </c>
      <c r="G325" s="6" t="s">
        <v>66</v>
      </c>
      <c r="H325" s="5">
        <v>26.0</v>
      </c>
      <c r="I325" s="5">
        <v>3.0</v>
      </c>
      <c r="J325" s="5" t="str">
        <f t="shared" si="1"/>
        <v>Last Minute</v>
      </c>
      <c r="K325" s="9">
        <v>9879.0</v>
      </c>
    </row>
    <row r="326" ht="15.75" customHeight="1">
      <c r="A326" s="5" t="s">
        <v>1397</v>
      </c>
      <c r="B326" s="5" t="s">
        <v>1399</v>
      </c>
      <c r="C326" s="5" t="s">
        <v>276</v>
      </c>
      <c r="D326" s="5" t="s">
        <v>45</v>
      </c>
      <c r="E326" s="5" t="s">
        <v>49</v>
      </c>
      <c r="F326" s="5" t="s">
        <v>34</v>
      </c>
      <c r="G326" s="6" t="s">
        <v>66</v>
      </c>
      <c r="H326" s="5">
        <v>25.83</v>
      </c>
      <c r="I326" s="5">
        <v>2.0</v>
      </c>
      <c r="J326" s="5" t="str">
        <f t="shared" si="1"/>
        <v>Last Minute</v>
      </c>
      <c r="K326" s="9">
        <v>10777.0</v>
      </c>
    </row>
    <row r="327" ht="15.75" customHeight="1">
      <c r="A327" s="5" t="s">
        <v>1401</v>
      </c>
      <c r="B327" s="5" t="s">
        <v>1403</v>
      </c>
      <c r="C327" s="5" t="s">
        <v>276</v>
      </c>
      <c r="D327" s="5" t="s">
        <v>20</v>
      </c>
      <c r="E327" s="5" t="s">
        <v>52</v>
      </c>
      <c r="F327" s="5" t="s">
        <v>34</v>
      </c>
      <c r="G327" s="6" t="s">
        <v>66</v>
      </c>
      <c r="H327" s="5">
        <v>15.92</v>
      </c>
      <c r="I327" s="5">
        <v>3.0</v>
      </c>
      <c r="J327" s="5" t="str">
        <f t="shared" si="1"/>
        <v>Last Minute</v>
      </c>
      <c r="K327" s="9">
        <v>10058.0</v>
      </c>
    </row>
    <row r="328" ht="15.75" customHeight="1">
      <c r="A328" s="5" t="s">
        <v>1404</v>
      </c>
      <c r="B328" s="5" t="s">
        <v>1406</v>
      </c>
      <c r="C328" s="5" t="s">
        <v>276</v>
      </c>
      <c r="D328" s="5" t="s">
        <v>43</v>
      </c>
      <c r="E328" s="5" t="s">
        <v>68</v>
      </c>
      <c r="F328" s="5" t="s">
        <v>34</v>
      </c>
      <c r="G328" s="6" t="s">
        <v>66</v>
      </c>
      <c r="H328" s="5">
        <v>7.58</v>
      </c>
      <c r="I328" s="5">
        <v>39.0</v>
      </c>
      <c r="J328" s="5" t="str">
        <f t="shared" si="1"/>
        <v>Advance</v>
      </c>
      <c r="K328" s="9">
        <v>5310.0</v>
      </c>
    </row>
    <row r="329" ht="15.75" customHeight="1">
      <c r="A329" s="5" t="s">
        <v>1408</v>
      </c>
      <c r="B329" s="5" t="s">
        <v>1409</v>
      </c>
      <c r="C329" s="5" t="s">
        <v>276</v>
      </c>
      <c r="D329" s="5" t="s">
        <v>45</v>
      </c>
      <c r="E329" s="5" t="s">
        <v>49</v>
      </c>
      <c r="F329" s="5" t="s">
        <v>34</v>
      </c>
      <c r="G329" s="6" t="s">
        <v>66</v>
      </c>
      <c r="H329" s="5">
        <v>24.25</v>
      </c>
      <c r="I329" s="5">
        <v>3.0</v>
      </c>
      <c r="J329" s="5" t="str">
        <f t="shared" si="1"/>
        <v>Last Minute</v>
      </c>
      <c r="K329" s="9">
        <v>11460.0</v>
      </c>
    </row>
    <row r="330" ht="15.75" customHeight="1">
      <c r="A330" s="5" t="s">
        <v>1412</v>
      </c>
      <c r="B330" s="5" t="s">
        <v>1413</v>
      </c>
      <c r="C330" s="5" t="s">
        <v>276</v>
      </c>
      <c r="D330" s="5" t="s">
        <v>45</v>
      </c>
      <c r="E330" s="5" t="s">
        <v>49</v>
      </c>
      <c r="F330" s="5" t="s">
        <v>53</v>
      </c>
      <c r="G330" s="6" t="s">
        <v>66</v>
      </c>
      <c r="H330" s="5">
        <v>25.58</v>
      </c>
      <c r="I330" s="5">
        <v>5.0</v>
      </c>
      <c r="J330" s="5" t="str">
        <f t="shared" si="1"/>
        <v>Last Minute</v>
      </c>
      <c r="K330" s="9">
        <v>45693.0</v>
      </c>
    </row>
    <row r="331" ht="15.75" customHeight="1">
      <c r="A331" s="5" t="s">
        <v>1416</v>
      </c>
      <c r="B331" s="5" t="s">
        <v>1417</v>
      </c>
      <c r="C331" s="5" t="s">
        <v>276</v>
      </c>
      <c r="D331" s="5" t="s">
        <v>45</v>
      </c>
      <c r="E331" s="5" t="s">
        <v>49</v>
      </c>
      <c r="F331" s="5" t="s">
        <v>34</v>
      </c>
      <c r="G331" s="6" t="s">
        <v>66</v>
      </c>
      <c r="H331" s="5">
        <v>22.75</v>
      </c>
      <c r="I331" s="5">
        <v>5.0</v>
      </c>
      <c r="J331" s="5" t="str">
        <f t="shared" si="1"/>
        <v>Last Minute</v>
      </c>
      <c r="K331" s="9">
        <v>13086.0</v>
      </c>
    </row>
    <row r="332" ht="15.75" customHeight="1">
      <c r="A332" s="5" t="s">
        <v>1420</v>
      </c>
      <c r="B332" s="5" t="s">
        <v>1421</v>
      </c>
      <c r="C332" s="5" t="s">
        <v>276</v>
      </c>
      <c r="D332" s="5" t="s">
        <v>45</v>
      </c>
      <c r="E332" s="5" t="s">
        <v>49</v>
      </c>
      <c r="F332" s="5" t="s">
        <v>53</v>
      </c>
      <c r="G332" s="6" t="s">
        <v>66</v>
      </c>
      <c r="H332" s="5">
        <v>16.08</v>
      </c>
      <c r="I332" s="5">
        <v>48.0</v>
      </c>
      <c r="J332" s="5" t="str">
        <f t="shared" si="1"/>
        <v>Advance</v>
      </c>
      <c r="K332" s="9">
        <v>32230.0</v>
      </c>
    </row>
    <row r="333" ht="15.75" customHeight="1">
      <c r="A333" s="5" t="s">
        <v>1424</v>
      </c>
      <c r="B333" s="5" t="s">
        <v>1425</v>
      </c>
      <c r="C333" s="5" t="s">
        <v>276</v>
      </c>
      <c r="D333" s="5" t="s">
        <v>20</v>
      </c>
      <c r="E333" s="5" t="s">
        <v>52</v>
      </c>
      <c r="F333" s="5" t="s">
        <v>53</v>
      </c>
      <c r="G333" s="6" t="s">
        <v>66</v>
      </c>
      <c r="H333" s="5">
        <v>12.42</v>
      </c>
      <c r="I333" s="5">
        <v>33.0</v>
      </c>
      <c r="J333" s="5" t="str">
        <f t="shared" si="1"/>
        <v>Advance</v>
      </c>
      <c r="K333" s="9">
        <v>60365.0</v>
      </c>
    </row>
    <row r="334" ht="15.75" customHeight="1">
      <c r="A334" s="5" t="s">
        <v>1427</v>
      </c>
      <c r="B334" s="5" t="s">
        <v>1428</v>
      </c>
      <c r="C334" s="5" t="s">
        <v>276</v>
      </c>
      <c r="D334" s="5" t="s">
        <v>45</v>
      </c>
      <c r="E334" s="5" t="s">
        <v>49</v>
      </c>
      <c r="F334" s="5" t="s">
        <v>34</v>
      </c>
      <c r="G334" s="6" t="s">
        <v>66</v>
      </c>
      <c r="H334" s="5">
        <v>22.25</v>
      </c>
      <c r="I334" s="5">
        <v>9.0</v>
      </c>
      <c r="J334" s="5" t="str">
        <f t="shared" si="1"/>
        <v>Short Notice</v>
      </c>
      <c r="K334" s="9">
        <v>13086.0</v>
      </c>
    </row>
    <row r="335" ht="15.75" customHeight="1">
      <c r="A335" s="5" t="s">
        <v>1430</v>
      </c>
      <c r="B335" s="5" t="s">
        <v>1431</v>
      </c>
      <c r="C335" s="5" t="s">
        <v>276</v>
      </c>
      <c r="D335" s="5" t="s">
        <v>29</v>
      </c>
      <c r="E335" s="5" t="s">
        <v>32</v>
      </c>
      <c r="F335" s="5" t="s">
        <v>34</v>
      </c>
      <c r="G335" s="6" t="s">
        <v>180</v>
      </c>
      <c r="H335" s="5">
        <v>12.75</v>
      </c>
      <c r="I335" s="5">
        <v>36.0</v>
      </c>
      <c r="J335" s="5" t="str">
        <f t="shared" si="1"/>
        <v>Advance</v>
      </c>
      <c r="K335" s="9">
        <v>4995.0</v>
      </c>
    </row>
    <row r="336" ht="15.75" customHeight="1">
      <c r="A336" s="5" t="s">
        <v>1433</v>
      </c>
      <c r="B336" s="5" t="s">
        <v>1434</v>
      </c>
      <c r="C336" s="5" t="s">
        <v>276</v>
      </c>
      <c r="D336" s="5" t="s">
        <v>58</v>
      </c>
      <c r="E336" s="5" t="s">
        <v>59</v>
      </c>
      <c r="F336" s="5" t="s">
        <v>34</v>
      </c>
      <c r="G336" s="6" t="s">
        <v>66</v>
      </c>
      <c r="H336" s="5">
        <v>9.5</v>
      </c>
      <c r="I336" s="5">
        <v>13.0</v>
      </c>
      <c r="J336" s="5" t="str">
        <f t="shared" si="1"/>
        <v>Short Notice</v>
      </c>
      <c r="K336" s="9">
        <v>12873.0</v>
      </c>
    </row>
    <row r="337" ht="15.75" customHeight="1">
      <c r="A337" s="5" t="s">
        <v>1436</v>
      </c>
      <c r="B337" s="5" t="s">
        <v>1438</v>
      </c>
      <c r="C337" s="5" t="s">
        <v>276</v>
      </c>
      <c r="D337" s="5" t="s">
        <v>45</v>
      </c>
      <c r="E337" s="5" t="s">
        <v>49</v>
      </c>
      <c r="F337" s="5" t="s">
        <v>34</v>
      </c>
      <c r="G337" s="6" t="s">
        <v>66</v>
      </c>
      <c r="H337" s="5">
        <v>26.08</v>
      </c>
      <c r="I337" s="5">
        <v>16.0</v>
      </c>
      <c r="J337" s="5" t="str">
        <f t="shared" si="1"/>
        <v>Moderate</v>
      </c>
      <c r="K337" s="9">
        <v>8388.0</v>
      </c>
    </row>
    <row r="338" ht="15.75" customHeight="1">
      <c r="A338" s="5" t="s">
        <v>1440</v>
      </c>
      <c r="B338" s="5" t="s">
        <v>1441</v>
      </c>
      <c r="C338" s="5" t="s">
        <v>276</v>
      </c>
      <c r="D338" s="5" t="s">
        <v>45</v>
      </c>
      <c r="E338" s="5" t="s">
        <v>49</v>
      </c>
      <c r="F338" s="5" t="s">
        <v>34</v>
      </c>
      <c r="G338" s="6" t="s">
        <v>37</v>
      </c>
      <c r="H338" s="5">
        <v>1.5</v>
      </c>
      <c r="I338" s="5">
        <v>40.0</v>
      </c>
      <c r="J338" s="5" t="str">
        <f t="shared" si="1"/>
        <v>Advance</v>
      </c>
      <c r="K338" s="9">
        <v>2111.0</v>
      </c>
    </row>
    <row r="339" ht="15.75" customHeight="1">
      <c r="A339" s="5" t="s">
        <v>1443</v>
      </c>
      <c r="B339" s="5" t="s">
        <v>1444</v>
      </c>
      <c r="C339" s="5" t="s">
        <v>276</v>
      </c>
      <c r="D339" s="5" t="s">
        <v>45</v>
      </c>
      <c r="E339" s="5" t="s">
        <v>49</v>
      </c>
      <c r="F339" s="5" t="s">
        <v>34</v>
      </c>
      <c r="G339" s="6" t="s">
        <v>66</v>
      </c>
      <c r="H339" s="5">
        <v>26.92</v>
      </c>
      <c r="I339" s="5">
        <v>40.0</v>
      </c>
      <c r="J339" s="5" t="str">
        <f t="shared" si="1"/>
        <v>Advance</v>
      </c>
      <c r="K339" s="9">
        <v>5625.0</v>
      </c>
    </row>
    <row r="340" ht="15.75" customHeight="1">
      <c r="A340" s="5" t="s">
        <v>1446</v>
      </c>
      <c r="B340" s="5" t="s">
        <v>1447</v>
      </c>
      <c r="C340" s="5" t="s">
        <v>276</v>
      </c>
      <c r="D340" s="5" t="s">
        <v>58</v>
      </c>
      <c r="E340" s="5" t="s">
        <v>59</v>
      </c>
      <c r="F340" s="5" t="s">
        <v>34</v>
      </c>
      <c r="G340" s="6" t="s">
        <v>66</v>
      </c>
      <c r="H340" s="5">
        <v>9.83</v>
      </c>
      <c r="I340" s="5">
        <v>44.0</v>
      </c>
      <c r="J340" s="5" t="str">
        <f t="shared" si="1"/>
        <v>Advance</v>
      </c>
      <c r="K340" s="9">
        <v>7336.0</v>
      </c>
    </row>
    <row r="341" ht="15.75" customHeight="1">
      <c r="A341" s="5" t="s">
        <v>1449</v>
      </c>
      <c r="B341" s="5" t="s">
        <v>1451</v>
      </c>
      <c r="C341" s="5" t="s">
        <v>276</v>
      </c>
      <c r="D341" s="5" t="s">
        <v>45</v>
      </c>
      <c r="E341" s="5" t="s">
        <v>49</v>
      </c>
      <c r="F341" s="5" t="s">
        <v>53</v>
      </c>
      <c r="G341" s="6" t="s">
        <v>66</v>
      </c>
      <c r="H341" s="5">
        <v>14.0</v>
      </c>
      <c r="I341" s="5">
        <v>48.0</v>
      </c>
      <c r="J341" s="5" t="str">
        <f t="shared" si="1"/>
        <v>Advance</v>
      </c>
      <c r="K341" s="9">
        <v>45693.0</v>
      </c>
    </row>
    <row r="342" ht="15.75" customHeight="1">
      <c r="A342" s="5" t="s">
        <v>1453</v>
      </c>
      <c r="B342" s="5" t="s">
        <v>1454</v>
      </c>
      <c r="C342" s="5" t="s">
        <v>276</v>
      </c>
      <c r="D342" s="5" t="s">
        <v>45</v>
      </c>
      <c r="E342" s="5" t="s">
        <v>49</v>
      </c>
      <c r="F342" s="5" t="s">
        <v>53</v>
      </c>
      <c r="G342" s="6" t="s">
        <v>66</v>
      </c>
      <c r="H342" s="5">
        <v>17.42</v>
      </c>
      <c r="I342" s="5">
        <v>44.0</v>
      </c>
      <c r="J342" s="5" t="str">
        <f t="shared" si="1"/>
        <v>Advance</v>
      </c>
      <c r="K342" s="9">
        <v>45693.0</v>
      </c>
    </row>
    <row r="343" ht="15.75" customHeight="1">
      <c r="A343" s="5" t="s">
        <v>1457</v>
      </c>
      <c r="B343" s="5" t="s">
        <v>1458</v>
      </c>
      <c r="C343" s="5" t="s">
        <v>276</v>
      </c>
      <c r="D343" s="5" t="s">
        <v>43</v>
      </c>
      <c r="E343" s="5" t="s">
        <v>68</v>
      </c>
      <c r="F343" s="5" t="s">
        <v>34</v>
      </c>
      <c r="G343" s="6" t="s">
        <v>37</v>
      </c>
      <c r="H343" s="5">
        <v>1.67</v>
      </c>
      <c r="I343" s="5">
        <v>46.0</v>
      </c>
      <c r="J343" s="5" t="str">
        <f t="shared" si="1"/>
        <v>Advance</v>
      </c>
      <c r="K343" s="9">
        <v>7336.0</v>
      </c>
    </row>
    <row r="344" ht="15.75" customHeight="1">
      <c r="A344" s="5" t="s">
        <v>1460</v>
      </c>
      <c r="B344" s="5" t="s">
        <v>1461</v>
      </c>
      <c r="C344" s="5" t="s">
        <v>276</v>
      </c>
      <c r="D344" s="5" t="s">
        <v>43</v>
      </c>
      <c r="E344" s="5" t="s">
        <v>68</v>
      </c>
      <c r="F344" s="5" t="s">
        <v>34</v>
      </c>
      <c r="G344" s="6" t="s">
        <v>66</v>
      </c>
      <c r="H344" s="5">
        <v>10.58</v>
      </c>
      <c r="I344" s="5">
        <v>46.0</v>
      </c>
      <c r="J344" s="5" t="str">
        <f t="shared" si="1"/>
        <v>Advance</v>
      </c>
      <c r="K344" s="9">
        <v>3220.0</v>
      </c>
    </row>
    <row r="345" ht="15.75" customHeight="1">
      <c r="A345" s="5" t="s">
        <v>1464</v>
      </c>
      <c r="B345" s="5" t="s">
        <v>1465</v>
      </c>
      <c r="C345" s="5" t="s">
        <v>276</v>
      </c>
      <c r="D345" s="5" t="s">
        <v>45</v>
      </c>
      <c r="E345" s="5" t="s">
        <v>49</v>
      </c>
      <c r="F345" s="5" t="s">
        <v>53</v>
      </c>
      <c r="G345" s="6" t="s">
        <v>66</v>
      </c>
      <c r="H345" s="5">
        <v>8.17</v>
      </c>
      <c r="I345" s="5">
        <v>48.0</v>
      </c>
      <c r="J345" s="5" t="str">
        <f t="shared" si="1"/>
        <v>Advance</v>
      </c>
      <c r="K345" s="9">
        <v>45693.0</v>
      </c>
    </row>
    <row r="346" ht="15.75" customHeight="1">
      <c r="A346" s="5" t="s">
        <v>1468</v>
      </c>
      <c r="B346" s="5" t="s">
        <v>1469</v>
      </c>
      <c r="C346" s="5" t="s">
        <v>276</v>
      </c>
      <c r="D346" s="5" t="s">
        <v>58</v>
      </c>
      <c r="E346" s="5" t="s">
        <v>59</v>
      </c>
      <c r="F346" s="5" t="s">
        <v>34</v>
      </c>
      <c r="G346" s="6" t="s">
        <v>66</v>
      </c>
      <c r="H346" s="5">
        <v>9.33</v>
      </c>
      <c r="I346" s="5">
        <v>47.0</v>
      </c>
      <c r="J346" s="5" t="str">
        <f t="shared" si="1"/>
        <v>Advance</v>
      </c>
      <c r="K346" s="9">
        <v>3603.0</v>
      </c>
    </row>
    <row r="347" ht="15.75" customHeight="1">
      <c r="A347" s="5" t="s">
        <v>1472</v>
      </c>
      <c r="B347" s="5" t="s">
        <v>1473</v>
      </c>
      <c r="C347" s="5" t="s">
        <v>276</v>
      </c>
      <c r="D347" s="5" t="s">
        <v>20</v>
      </c>
      <c r="E347" s="5" t="s">
        <v>52</v>
      </c>
      <c r="F347" s="5" t="s">
        <v>34</v>
      </c>
      <c r="G347" s="6" t="s">
        <v>66</v>
      </c>
      <c r="H347" s="5">
        <v>13.83</v>
      </c>
      <c r="I347" s="5">
        <v>46.0</v>
      </c>
      <c r="J347" s="5" t="str">
        <f t="shared" si="1"/>
        <v>Advance</v>
      </c>
      <c r="K347" s="9">
        <v>4099.0</v>
      </c>
    </row>
    <row r="348" ht="15.75" customHeight="1">
      <c r="A348" s="5" t="s">
        <v>1475</v>
      </c>
      <c r="B348" s="5" t="s">
        <v>1476</v>
      </c>
      <c r="C348" s="5" t="s">
        <v>276</v>
      </c>
      <c r="D348" s="5" t="s">
        <v>45</v>
      </c>
      <c r="E348" s="5" t="s">
        <v>49</v>
      </c>
      <c r="F348" s="5" t="s">
        <v>53</v>
      </c>
      <c r="G348" s="6" t="s">
        <v>66</v>
      </c>
      <c r="H348" s="5">
        <v>15.92</v>
      </c>
      <c r="I348" s="5">
        <v>46.0</v>
      </c>
      <c r="J348" s="5" t="str">
        <f t="shared" si="1"/>
        <v>Advance</v>
      </c>
      <c r="K348" s="9">
        <v>50868.0</v>
      </c>
    </row>
    <row r="349" ht="15.75" customHeight="1">
      <c r="A349" s="5" t="s">
        <v>1479</v>
      </c>
      <c r="B349" s="5" t="s">
        <v>1480</v>
      </c>
      <c r="C349" s="5" t="s">
        <v>276</v>
      </c>
      <c r="D349" s="5" t="s">
        <v>45</v>
      </c>
      <c r="E349" s="5" t="s">
        <v>49</v>
      </c>
      <c r="F349" s="5" t="s">
        <v>34</v>
      </c>
      <c r="G349" s="6" t="s">
        <v>180</v>
      </c>
      <c r="H349" s="5">
        <v>13.42</v>
      </c>
      <c r="I349" s="5">
        <v>47.0</v>
      </c>
      <c r="J349" s="5" t="str">
        <f t="shared" si="1"/>
        <v>Advance</v>
      </c>
      <c r="K349" s="9">
        <v>5857.0</v>
      </c>
    </row>
    <row r="350" ht="15.75" customHeight="1">
      <c r="A350" s="5" t="s">
        <v>1483</v>
      </c>
      <c r="B350" s="5" t="s">
        <v>1484</v>
      </c>
      <c r="C350" s="5" t="s">
        <v>276</v>
      </c>
      <c r="D350" s="5" t="s">
        <v>58</v>
      </c>
      <c r="E350" s="5" t="s">
        <v>59</v>
      </c>
      <c r="F350" s="5" t="s">
        <v>34</v>
      </c>
      <c r="G350" s="6" t="s">
        <v>66</v>
      </c>
      <c r="H350" s="5">
        <v>14.58</v>
      </c>
      <c r="I350" s="5">
        <v>48.0</v>
      </c>
      <c r="J350" s="5" t="str">
        <f t="shared" si="1"/>
        <v>Advance</v>
      </c>
      <c r="K350" s="9">
        <v>3282.0</v>
      </c>
    </row>
    <row r="351" ht="15.75" customHeight="1">
      <c r="A351" s="5" t="s">
        <v>1486</v>
      </c>
      <c r="B351" s="5" t="s">
        <v>1487</v>
      </c>
      <c r="C351" s="5" t="s">
        <v>276</v>
      </c>
      <c r="D351" s="5" t="s">
        <v>45</v>
      </c>
      <c r="E351" s="5" t="s">
        <v>49</v>
      </c>
      <c r="F351" s="5" t="s">
        <v>53</v>
      </c>
      <c r="G351" s="6" t="s">
        <v>66</v>
      </c>
      <c r="H351" s="5">
        <v>16.67</v>
      </c>
      <c r="I351" s="5">
        <v>48.0</v>
      </c>
      <c r="J351" s="5" t="str">
        <f t="shared" si="1"/>
        <v>Advance</v>
      </c>
      <c r="K351" s="9">
        <v>38166.0</v>
      </c>
    </row>
    <row r="352" ht="15.75" customHeight="1">
      <c r="A352" s="5" t="s">
        <v>1489</v>
      </c>
      <c r="B352" s="5" t="s">
        <v>1490</v>
      </c>
      <c r="C352" s="5" t="s">
        <v>276</v>
      </c>
      <c r="D352" s="5" t="s">
        <v>45</v>
      </c>
      <c r="E352" s="5" t="s">
        <v>49</v>
      </c>
      <c r="F352" s="5" t="s">
        <v>53</v>
      </c>
      <c r="G352" s="6" t="s">
        <v>66</v>
      </c>
      <c r="H352" s="5">
        <v>26.67</v>
      </c>
      <c r="I352" s="5">
        <v>48.0</v>
      </c>
      <c r="J352" s="5" t="str">
        <f t="shared" si="1"/>
        <v>Advance</v>
      </c>
      <c r="K352" s="9">
        <v>32230.0</v>
      </c>
    </row>
    <row r="353" ht="15.75" customHeight="1">
      <c r="A353" s="5" t="s">
        <v>1492</v>
      </c>
      <c r="B353" s="5" t="s">
        <v>207</v>
      </c>
      <c r="C353" s="5" t="s">
        <v>163</v>
      </c>
      <c r="D353" s="5" t="s">
        <v>43</v>
      </c>
      <c r="E353" s="5" t="s">
        <v>68</v>
      </c>
      <c r="F353" s="5" t="s">
        <v>34</v>
      </c>
      <c r="G353" s="6" t="s">
        <v>66</v>
      </c>
      <c r="H353" s="5">
        <v>7.25</v>
      </c>
      <c r="I353" s="5">
        <v>38.0</v>
      </c>
      <c r="J353" s="5" t="str">
        <f t="shared" si="1"/>
        <v>Advance</v>
      </c>
      <c r="K353" s="9">
        <v>3734.0</v>
      </c>
    </row>
    <row r="354" ht="15.75" customHeight="1">
      <c r="A354" s="5" t="s">
        <v>1494</v>
      </c>
      <c r="B354" s="5" t="s">
        <v>223</v>
      </c>
      <c r="C354" s="5" t="s">
        <v>163</v>
      </c>
      <c r="D354" s="5" t="s">
        <v>45</v>
      </c>
      <c r="E354" s="5" t="s">
        <v>49</v>
      </c>
      <c r="F354" s="5" t="s">
        <v>34</v>
      </c>
      <c r="G354" s="6" t="s">
        <v>66</v>
      </c>
      <c r="H354" s="5">
        <v>27.42</v>
      </c>
      <c r="I354" s="5">
        <v>1.0</v>
      </c>
      <c r="J354" s="5" t="str">
        <f t="shared" si="1"/>
        <v>Last Minute</v>
      </c>
      <c r="K354" s="9">
        <v>9201.0</v>
      </c>
    </row>
    <row r="355" ht="15.75" customHeight="1">
      <c r="A355" s="5" t="s">
        <v>1497</v>
      </c>
      <c r="B355" s="5" t="s">
        <v>169</v>
      </c>
      <c r="C355" s="5" t="s">
        <v>163</v>
      </c>
      <c r="D355" s="5" t="s">
        <v>45</v>
      </c>
      <c r="E355" s="5" t="s">
        <v>49</v>
      </c>
      <c r="F355" s="5" t="s">
        <v>53</v>
      </c>
      <c r="G355" s="6" t="s">
        <v>66</v>
      </c>
      <c r="H355" s="5">
        <v>17.33</v>
      </c>
      <c r="I355" s="5">
        <v>34.0</v>
      </c>
      <c r="J355" s="5" t="str">
        <f t="shared" si="1"/>
        <v>Advance</v>
      </c>
      <c r="K355" s="9">
        <v>49613.0</v>
      </c>
    </row>
    <row r="356" ht="15.75" customHeight="1">
      <c r="A356" s="5" t="s">
        <v>1500</v>
      </c>
      <c r="B356" s="5" t="s">
        <v>277</v>
      </c>
      <c r="C356" s="5" t="s">
        <v>163</v>
      </c>
      <c r="D356" s="5" t="s">
        <v>20</v>
      </c>
      <c r="E356" s="5" t="s">
        <v>52</v>
      </c>
      <c r="F356" s="5" t="s">
        <v>34</v>
      </c>
      <c r="G356" s="6" t="s">
        <v>66</v>
      </c>
      <c r="H356" s="5">
        <v>27.92</v>
      </c>
      <c r="I356" s="5">
        <v>1.0</v>
      </c>
      <c r="J356" s="5" t="str">
        <f t="shared" si="1"/>
        <v>Last Minute</v>
      </c>
      <c r="K356" s="9">
        <v>11843.0</v>
      </c>
    </row>
    <row r="357" ht="15.75" customHeight="1">
      <c r="A357" s="5" t="s">
        <v>1502</v>
      </c>
      <c r="B357" s="5" t="s">
        <v>253</v>
      </c>
      <c r="C357" s="5" t="s">
        <v>163</v>
      </c>
      <c r="D357" s="5" t="s">
        <v>43</v>
      </c>
      <c r="E357" s="5" t="s">
        <v>68</v>
      </c>
      <c r="F357" s="5" t="s">
        <v>34</v>
      </c>
      <c r="G357" s="6">
        <v>1.0</v>
      </c>
      <c r="H357" s="5">
        <v>7.42</v>
      </c>
      <c r="I357" s="5">
        <v>38.0</v>
      </c>
      <c r="J357" s="5" t="str">
        <f t="shared" si="1"/>
        <v>Advance</v>
      </c>
      <c r="K357" s="9">
        <v>2730.0</v>
      </c>
    </row>
    <row r="358" ht="15.75" customHeight="1">
      <c r="A358" s="5" t="s">
        <v>1503</v>
      </c>
      <c r="B358" s="5" t="s">
        <v>166</v>
      </c>
      <c r="C358" s="5" t="s">
        <v>163</v>
      </c>
      <c r="D358" s="5" t="s">
        <v>20</v>
      </c>
      <c r="E358" s="5" t="s">
        <v>52</v>
      </c>
      <c r="F358" s="5" t="s">
        <v>53</v>
      </c>
      <c r="G358" s="6" t="s">
        <v>66</v>
      </c>
      <c r="H358" s="5">
        <v>8.08</v>
      </c>
      <c r="I358" s="5">
        <v>34.0</v>
      </c>
      <c r="J358" s="5" t="str">
        <f t="shared" si="1"/>
        <v>Advance</v>
      </c>
      <c r="K358" s="9">
        <v>69885.0</v>
      </c>
    </row>
    <row r="359" ht="15.75" customHeight="1">
      <c r="A359" s="5" t="s">
        <v>1505</v>
      </c>
      <c r="B359" s="5" t="s">
        <v>196</v>
      </c>
      <c r="C359" s="5" t="s">
        <v>163</v>
      </c>
      <c r="D359" s="5" t="s">
        <v>72</v>
      </c>
      <c r="E359" s="5" t="s">
        <v>266</v>
      </c>
      <c r="F359" s="5" t="s">
        <v>34</v>
      </c>
      <c r="G359" s="6" t="s">
        <v>37</v>
      </c>
      <c r="H359" s="5">
        <v>1.83</v>
      </c>
      <c r="I359" s="5">
        <v>1.0</v>
      </c>
      <c r="J359" s="5" t="str">
        <f t="shared" si="1"/>
        <v>Last Minute</v>
      </c>
      <c r="K359" s="9">
        <v>14238.0</v>
      </c>
    </row>
    <row r="360" ht="15.75" customHeight="1">
      <c r="A360" s="5" t="s">
        <v>1506</v>
      </c>
      <c r="B360" s="5" t="s">
        <v>258</v>
      </c>
      <c r="C360" s="5" t="s">
        <v>163</v>
      </c>
      <c r="D360" s="5" t="s">
        <v>43</v>
      </c>
      <c r="E360" s="5" t="s">
        <v>68</v>
      </c>
      <c r="F360" s="5" t="s">
        <v>34</v>
      </c>
      <c r="G360" s="6" t="s">
        <v>66</v>
      </c>
      <c r="H360" s="5">
        <v>4.33</v>
      </c>
      <c r="I360" s="5">
        <v>14.0</v>
      </c>
      <c r="J360" s="5" t="str">
        <f t="shared" si="1"/>
        <v>Short Notice</v>
      </c>
      <c r="K360" s="9">
        <v>8411.0</v>
      </c>
    </row>
    <row r="361" ht="15.75" customHeight="1">
      <c r="A361" s="5" t="s">
        <v>1508</v>
      </c>
      <c r="B361" s="5" t="s">
        <v>201</v>
      </c>
      <c r="C361" s="5" t="s">
        <v>163</v>
      </c>
      <c r="D361" s="5" t="s">
        <v>20</v>
      </c>
      <c r="E361" s="5" t="s">
        <v>52</v>
      </c>
      <c r="F361" s="5" t="s">
        <v>34</v>
      </c>
      <c r="G361" s="6" t="s">
        <v>66</v>
      </c>
      <c r="H361" s="5">
        <v>15.42</v>
      </c>
      <c r="I361" s="5">
        <v>47.0</v>
      </c>
      <c r="J361" s="5" t="str">
        <f t="shared" si="1"/>
        <v>Advance</v>
      </c>
      <c r="K361" s="9">
        <v>3998.0</v>
      </c>
    </row>
    <row r="362" ht="15.75" customHeight="1">
      <c r="A362" s="5" t="s">
        <v>1510</v>
      </c>
      <c r="B362" s="5" t="s">
        <v>175</v>
      </c>
      <c r="C362" s="5" t="s">
        <v>163</v>
      </c>
      <c r="D362" s="5" t="s">
        <v>43</v>
      </c>
      <c r="E362" s="5" t="s">
        <v>68</v>
      </c>
      <c r="F362" s="5" t="s">
        <v>34</v>
      </c>
      <c r="G362" s="6" t="s">
        <v>66</v>
      </c>
      <c r="H362" s="5">
        <v>4.75</v>
      </c>
      <c r="I362" s="5">
        <v>38.0</v>
      </c>
      <c r="J362" s="5" t="str">
        <f t="shared" si="1"/>
        <v>Advance</v>
      </c>
      <c r="K362" s="9">
        <v>5467.0</v>
      </c>
    </row>
    <row r="363" ht="15.75" customHeight="1">
      <c r="A363" s="5" t="s">
        <v>1512</v>
      </c>
      <c r="B363" s="5" t="s">
        <v>273</v>
      </c>
      <c r="C363" s="5" t="s">
        <v>163</v>
      </c>
      <c r="D363" s="5" t="s">
        <v>20</v>
      </c>
      <c r="E363" s="5" t="s">
        <v>52</v>
      </c>
      <c r="F363" s="5" t="s">
        <v>34</v>
      </c>
      <c r="G363" s="6" t="s">
        <v>180</v>
      </c>
      <c r="H363" s="5">
        <v>31.25</v>
      </c>
      <c r="I363" s="5">
        <v>1.0</v>
      </c>
      <c r="J363" s="5" t="str">
        <f t="shared" si="1"/>
        <v>Last Minute</v>
      </c>
      <c r="K363" s="9">
        <v>19235.0</v>
      </c>
    </row>
    <row r="364" ht="15.75" customHeight="1">
      <c r="A364" s="5" t="s">
        <v>1515</v>
      </c>
      <c r="B364" s="5" t="s">
        <v>230</v>
      </c>
      <c r="C364" s="5" t="s">
        <v>163</v>
      </c>
      <c r="D364" s="5" t="s">
        <v>20</v>
      </c>
      <c r="E364" s="5" t="s">
        <v>52</v>
      </c>
      <c r="F364" s="5" t="s">
        <v>34</v>
      </c>
      <c r="G364" s="6" t="s">
        <v>180</v>
      </c>
      <c r="H364" s="5">
        <v>37.25</v>
      </c>
      <c r="I364" s="5">
        <v>1.0</v>
      </c>
      <c r="J364" s="5" t="str">
        <f t="shared" si="1"/>
        <v>Last Minute</v>
      </c>
      <c r="K364" s="9">
        <v>20285.0</v>
      </c>
    </row>
    <row r="365" ht="15.75" customHeight="1">
      <c r="A365" s="5" t="s">
        <v>1517</v>
      </c>
      <c r="B365" s="5" t="s">
        <v>181</v>
      </c>
      <c r="C365" s="5" t="s">
        <v>163</v>
      </c>
      <c r="D365" s="5" t="s">
        <v>20</v>
      </c>
      <c r="E365" s="5" t="s">
        <v>52</v>
      </c>
      <c r="F365" s="5" t="s">
        <v>53</v>
      </c>
      <c r="G365" s="6" t="s">
        <v>66</v>
      </c>
      <c r="H365" s="5">
        <v>8.33</v>
      </c>
      <c r="I365" s="5">
        <v>34.0</v>
      </c>
      <c r="J365" s="5" t="str">
        <f t="shared" si="1"/>
        <v>Advance</v>
      </c>
      <c r="K365" s="9">
        <v>61933.0</v>
      </c>
    </row>
    <row r="366" ht="15.75" customHeight="1">
      <c r="A366" s="5" t="s">
        <v>1519</v>
      </c>
      <c r="B366" s="5" t="s">
        <v>218</v>
      </c>
      <c r="C366" s="5" t="s">
        <v>163</v>
      </c>
      <c r="D366" s="5" t="s">
        <v>20</v>
      </c>
      <c r="E366" s="5" t="s">
        <v>52</v>
      </c>
      <c r="F366" s="5" t="s">
        <v>34</v>
      </c>
      <c r="G366" s="6" t="s">
        <v>66</v>
      </c>
      <c r="H366" s="5">
        <v>13.25</v>
      </c>
      <c r="I366" s="5">
        <v>2.0</v>
      </c>
      <c r="J366" s="5" t="str">
        <f t="shared" si="1"/>
        <v>Last Minute</v>
      </c>
      <c r="K366" s="9">
        <v>13182.0</v>
      </c>
    </row>
    <row r="367" ht="15.75" customHeight="1">
      <c r="A367" s="5" t="s">
        <v>1522</v>
      </c>
      <c r="B367" s="5" t="s">
        <v>257</v>
      </c>
      <c r="C367" s="5" t="s">
        <v>163</v>
      </c>
      <c r="D367" s="5" t="s">
        <v>45</v>
      </c>
      <c r="E367" s="5" t="s">
        <v>49</v>
      </c>
      <c r="F367" s="5" t="s">
        <v>34</v>
      </c>
      <c r="G367" s="6" t="s">
        <v>66</v>
      </c>
      <c r="H367" s="5">
        <v>28.67</v>
      </c>
      <c r="I367" s="5">
        <v>48.0</v>
      </c>
      <c r="J367" s="5" t="str">
        <f t="shared" si="1"/>
        <v>Advance</v>
      </c>
      <c r="K367" s="9">
        <v>4417.0</v>
      </c>
    </row>
    <row r="368" ht="15.75" customHeight="1">
      <c r="A368" s="5" t="s">
        <v>1524</v>
      </c>
      <c r="B368" s="5" t="s">
        <v>270</v>
      </c>
      <c r="C368" s="5" t="s">
        <v>163</v>
      </c>
      <c r="D368" s="5" t="s">
        <v>43</v>
      </c>
      <c r="E368" s="5" t="s">
        <v>68</v>
      </c>
      <c r="F368" s="5" t="s">
        <v>34</v>
      </c>
      <c r="G368" s="6" t="s">
        <v>37</v>
      </c>
      <c r="H368" s="5">
        <v>2.0</v>
      </c>
      <c r="I368" s="5">
        <v>39.0</v>
      </c>
      <c r="J368" s="5" t="str">
        <f t="shared" si="1"/>
        <v>Advance</v>
      </c>
      <c r="K368" s="9">
        <v>3633.0</v>
      </c>
    </row>
    <row r="369" ht="15.75" customHeight="1">
      <c r="A369" s="5" t="s">
        <v>1526</v>
      </c>
      <c r="B369" s="5" t="s">
        <v>184</v>
      </c>
      <c r="C369" s="5" t="s">
        <v>163</v>
      </c>
      <c r="D369" s="5" t="s">
        <v>45</v>
      </c>
      <c r="E369" s="5" t="s">
        <v>49</v>
      </c>
      <c r="F369" s="5" t="s">
        <v>53</v>
      </c>
      <c r="G369" s="6" t="s">
        <v>66</v>
      </c>
      <c r="H369" s="5">
        <v>13.33</v>
      </c>
      <c r="I369" s="5">
        <v>5.0</v>
      </c>
      <c r="J369" s="5" t="str">
        <f t="shared" si="1"/>
        <v>Last Minute</v>
      </c>
      <c r="K369" s="9">
        <v>69407.0</v>
      </c>
    </row>
    <row r="370" ht="15.75" customHeight="1">
      <c r="A370" s="5" t="s">
        <v>1528</v>
      </c>
      <c r="B370" s="5" t="s">
        <v>189</v>
      </c>
      <c r="C370" s="5" t="s">
        <v>163</v>
      </c>
      <c r="D370" s="5" t="s">
        <v>45</v>
      </c>
      <c r="E370" s="5" t="s">
        <v>49</v>
      </c>
      <c r="F370" s="5" t="s">
        <v>34</v>
      </c>
      <c r="G370" s="6" t="s">
        <v>66</v>
      </c>
      <c r="H370" s="5">
        <v>13.58</v>
      </c>
      <c r="I370" s="5">
        <v>46.0</v>
      </c>
      <c r="J370" s="5" t="str">
        <f t="shared" si="1"/>
        <v>Advance</v>
      </c>
      <c r="K370" s="9">
        <v>4417.0</v>
      </c>
    </row>
    <row r="371" ht="15.75" customHeight="1">
      <c r="A371" s="5" t="s">
        <v>1530</v>
      </c>
      <c r="B371" s="5" t="s">
        <v>240</v>
      </c>
      <c r="C371" s="5" t="s">
        <v>163</v>
      </c>
      <c r="D371" s="5" t="s">
        <v>20</v>
      </c>
      <c r="E371" s="5" t="s">
        <v>52</v>
      </c>
      <c r="F371" s="5" t="s">
        <v>34</v>
      </c>
      <c r="G371" s="6" t="s">
        <v>66</v>
      </c>
      <c r="H371" s="5">
        <v>23.5</v>
      </c>
      <c r="I371" s="5">
        <v>49.0</v>
      </c>
      <c r="J371" s="5" t="str">
        <f t="shared" si="1"/>
        <v>Advance</v>
      </c>
      <c r="K371" s="9">
        <v>3998.0</v>
      </c>
    </row>
    <row r="372" ht="15.75" customHeight="1">
      <c r="A372" s="5" t="s">
        <v>1532</v>
      </c>
      <c r="B372" s="5" t="s">
        <v>280</v>
      </c>
      <c r="C372" s="5" t="s">
        <v>163</v>
      </c>
      <c r="D372" s="5" t="s">
        <v>20</v>
      </c>
      <c r="E372" s="5" t="s">
        <v>52</v>
      </c>
      <c r="F372" s="5" t="s">
        <v>34</v>
      </c>
      <c r="G372" s="6" t="s">
        <v>180</v>
      </c>
      <c r="H372" s="5">
        <v>22.42</v>
      </c>
      <c r="I372" s="5">
        <v>3.0</v>
      </c>
      <c r="J372" s="5" t="str">
        <f t="shared" si="1"/>
        <v>Last Minute</v>
      </c>
      <c r="K372" s="9">
        <v>16716.0</v>
      </c>
    </row>
    <row r="373" ht="15.75" customHeight="1">
      <c r="A373" s="5" t="s">
        <v>1534</v>
      </c>
      <c r="B373" s="5" t="s">
        <v>199</v>
      </c>
      <c r="C373" s="5" t="s">
        <v>163</v>
      </c>
      <c r="D373" s="5" t="s">
        <v>20</v>
      </c>
      <c r="E373" s="5" t="s">
        <v>52</v>
      </c>
      <c r="F373" s="5" t="s">
        <v>34</v>
      </c>
      <c r="G373" s="6" t="s">
        <v>180</v>
      </c>
      <c r="H373" s="5">
        <v>28.83</v>
      </c>
      <c r="I373" s="5">
        <v>3.0</v>
      </c>
      <c r="J373" s="5" t="str">
        <f t="shared" si="1"/>
        <v>Last Minute</v>
      </c>
      <c r="K373" s="9">
        <v>16716.0</v>
      </c>
    </row>
    <row r="374" ht="15.75" customHeight="1">
      <c r="A374" s="5" t="s">
        <v>1536</v>
      </c>
      <c r="B374" s="5" t="s">
        <v>203</v>
      </c>
      <c r="C374" s="5" t="s">
        <v>163</v>
      </c>
      <c r="D374" s="5" t="s">
        <v>45</v>
      </c>
      <c r="E374" s="5" t="s">
        <v>49</v>
      </c>
      <c r="F374" s="5" t="s">
        <v>34</v>
      </c>
      <c r="G374" s="6" t="s">
        <v>180</v>
      </c>
      <c r="H374" s="5">
        <v>33.83</v>
      </c>
      <c r="I374" s="5">
        <v>3.0</v>
      </c>
      <c r="J374" s="5" t="str">
        <f t="shared" si="1"/>
        <v>Last Minute</v>
      </c>
      <c r="K374" s="9">
        <v>18398.0</v>
      </c>
    </row>
    <row r="375" ht="15.75" customHeight="1">
      <c r="A375" s="5" t="s">
        <v>1537</v>
      </c>
      <c r="B375" s="5" t="s">
        <v>282</v>
      </c>
      <c r="C375" s="5" t="s">
        <v>163</v>
      </c>
      <c r="D375" s="5" t="s">
        <v>20</v>
      </c>
      <c r="E375" s="5" t="s">
        <v>52</v>
      </c>
      <c r="F375" s="5" t="s">
        <v>53</v>
      </c>
      <c r="G375" s="6" t="s">
        <v>66</v>
      </c>
      <c r="H375" s="5">
        <v>12.0</v>
      </c>
      <c r="I375" s="5">
        <v>39.0</v>
      </c>
      <c r="J375" s="5" t="str">
        <f t="shared" si="1"/>
        <v>Advance</v>
      </c>
      <c r="K375" s="9">
        <v>61933.0</v>
      </c>
    </row>
    <row r="376" ht="15.75" customHeight="1">
      <c r="A376" s="5" t="s">
        <v>1539</v>
      </c>
      <c r="B376" s="5" t="s">
        <v>226</v>
      </c>
      <c r="C376" s="5" t="s">
        <v>163</v>
      </c>
      <c r="D376" s="5" t="s">
        <v>20</v>
      </c>
      <c r="E376" s="5" t="s">
        <v>52</v>
      </c>
      <c r="F376" s="5" t="s">
        <v>53</v>
      </c>
      <c r="G376" s="6" t="s">
        <v>66</v>
      </c>
      <c r="H376" s="5">
        <v>15.25</v>
      </c>
      <c r="I376" s="5">
        <v>38.0</v>
      </c>
      <c r="J376" s="5" t="str">
        <f t="shared" si="1"/>
        <v>Advance</v>
      </c>
      <c r="K376" s="9">
        <v>7336.0</v>
      </c>
    </row>
    <row r="377" ht="15.75" customHeight="1">
      <c r="A377" s="5" t="s">
        <v>1541</v>
      </c>
      <c r="B377" s="5" t="s">
        <v>249</v>
      </c>
      <c r="C377" s="5" t="s">
        <v>163</v>
      </c>
      <c r="D377" s="5" t="s">
        <v>45</v>
      </c>
      <c r="E377" s="5" t="s">
        <v>49</v>
      </c>
      <c r="F377" s="5" t="s">
        <v>34</v>
      </c>
      <c r="G377" s="6" t="s">
        <v>66</v>
      </c>
      <c r="H377" s="5">
        <v>28.83</v>
      </c>
      <c r="I377" s="5">
        <v>7.0</v>
      </c>
      <c r="J377" s="5" t="str">
        <f t="shared" si="1"/>
        <v>Last Minute</v>
      </c>
      <c r="K377" s="9">
        <v>21211.0</v>
      </c>
    </row>
    <row r="378" ht="15.75" customHeight="1">
      <c r="A378" s="5" t="s">
        <v>1543</v>
      </c>
      <c r="B378" s="5" t="s">
        <v>246</v>
      </c>
      <c r="C378" s="5" t="s">
        <v>163</v>
      </c>
      <c r="D378" s="5" t="s">
        <v>45</v>
      </c>
      <c r="E378" s="5" t="s">
        <v>49</v>
      </c>
      <c r="F378" s="5" t="s">
        <v>34</v>
      </c>
      <c r="G378" s="6" t="s">
        <v>66</v>
      </c>
      <c r="H378" s="5">
        <v>27.08</v>
      </c>
      <c r="I378" s="5">
        <v>5.0</v>
      </c>
      <c r="J378" s="5" t="str">
        <f t="shared" si="1"/>
        <v>Last Minute</v>
      </c>
      <c r="K378" s="9">
        <v>21211.0</v>
      </c>
    </row>
    <row r="379" ht="15.75" customHeight="1">
      <c r="A379" s="5" t="s">
        <v>1545</v>
      </c>
      <c r="B379" s="5" t="s">
        <v>242</v>
      </c>
      <c r="C379" s="5" t="s">
        <v>163</v>
      </c>
      <c r="D379" s="5" t="s">
        <v>20</v>
      </c>
      <c r="E379" s="5" t="s">
        <v>52</v>
      </c>
      <c r="F379" s="5" t="s">
        <v>34</v>
      </c>
      <c r="G379" s="6" t="s">
        <v>66</v>
      </c>
      <c r="H379" s="5">
        <v>24.0</v>
      </c>
      <c r="I379" s="5">
        <v>44.0</v>
      </c>
      <c r="J379" s="5" t="str">
        <f t="shared" si="1"/>
        <v>Advance</v>
      </c>
      <c r="K379" s="9">
        <v>4249.0</v>
      </c>
    </row>
    <row r="380" ht="15.75" customHeight="1">
      <c r="A380" s="5" t="s">
        <v>1546</v>
      </c>
      <c r="B380" s="5" t="s">
        <v>210</v>
      </c>
      <c r="C380" s="5" t="s">
        <v>163</v>
      </c>
      <c r="D380" s="5" t="s">
        <v>45</v>
      </c>
      <c r="E380" s="5" t="s">
        <v>49</v>
      </c>
      <c r="F380" s="5" t="s">
        <v>53</v>
      </c>
      <c r="G380" s="6" t="s">
        <v>66</v>
      </c>
      <c r="H380" s="5">
        <v>11.75</v>
      </c>
      <c r="I380" s="5">
        <v>36.0</v>
      </c>
      <c r="J380" s="5" t="str">
        <f t="shared" si="1"/>
        <v>Advance</v>
      </c>
      <c r="K380" s="9">
        <v>51117.0</v>
      </c>
    </row>
    <row r="381" ht="15.75" customHeight="1">
      <c r="A381" s="5" t="s">
        <v>1547</v>
      </c>
      <c r="B381" s="5" t="s">
        <v>192</v>
      </c>
      <c r="C381" s="5" t="s">
        <v>163</v>
      </c>
      <c r="D381" s="5" t="s">
        <v>29</v>
      </c>
      <c r="E381" s="5" t="s">
        <v>32</v>
      </c>
      <c r="F381" s="5" t="s">
        <v>34</v>
      </c>
      <c r="G381" s="6" t="s">
        <v>66</v>
      </c>
      <c r="H381" s="5">
        <v>4.33</v>
      </c>
      <c r="I381" s="5">
        <v>29.0</v>
      </c>
      <c r="J381" s="5" t="str">
        <f t="shared" si="1"/>
        <v>Moderate</v>
      </c>
      <c r="K381" s="9">
        <v>1890.0</v>
      </c>
    </row>
    <row r="382" ht="15.75" customHeight="1">
      <c r="A382" s="5" t="s">
        <v>1550</v>
      </c>
      <c r="B382" s="5" t="s">
        <v>232</v>
      </c>
      <c r="C382" s="5" t="s">
        <v>163</v>
      </c>
      <c r="D382" s="5" t="s">
        <v>43</v>
      </c>
      <c r="E382" s="5" t="s">
        <v>68</v>
      </c>
      <c r="F382" s="5" t="s">
        <v>34</v>
      </c>
      <c r="G382" s="6" t="s">
        <v>66</v>
      </c>
      <c r="H382" s="5">
        <v>7.5</v>
      </c>
      <c r="I382" s="5">
        <v>9.0</v>
      </c>
      <c r="J382" s="5" t="str">
        <f t="shared" si="1"/>
        <v>Short Notice</v>
      </c>
      <c r="K382" s="9">
        <v>11141.0</v>
      </c>
    </row>
    <row r="383" ht="15.75" customHeight="1">
      <c r="A383" s="5" t="s">
        <v>1552</v>
      </c>
      <c r="B383" s="5" t="s">
        <v>178</v>
      </c>
      <c r="C383" s="5" t="s">
        <v>163</v>
      </c>
      <c r="D383" s="5" t="s">
        <v>20</v>
      </c>
      <c r="E383" s="5" t="s">
        <v>52</v>
      </c>
      <c r="F383" s="5" t="s">
        <v>34</v>
      </c>
      <c r="G383" s="6" t="s">
        <v>180</v>
      </c>
      <c r="H383" s="5">
        <v>16.42</v>
      </c>
      <c r="I383" s="5">
        <v>9.0</v>
      </c>
      <c r="J383" s="5" t="str">
        <f t="shared" si="1"/>
        <v>Short Notice</v>
      </c>
      <c r="K383" s="9">
        <v>17103.0</v>
      </c>
    </row>
    <row r="384" ht="15.75" customHeight="1">
      <c r="A384" s="5" t="s">
        <v>1554</v>
      </c>
      <c r="B384" s="5" t="s">
        <v>236</v>
      </c>
      <c r="C384" s="5" t="s">
        <v>163</v>
      </c>
      <c r="D384" s="5" t="s">
        <v>58</v>
      </c>
      <c r="E384" s="5" t="s">
        <v>59</v>
      </c>
      <c r="F384" s="5" t="s">
        <v>34</v>
      </c>
      <c r="G384" s="6" t="s">
        <v>66</v>
      </c>
      <c r="H384" s="5">
        <v>7.0</v>
      </c>
      <c r="J384" s="5" t="str">
        <f t="shared" si="1"/>
        <v>Last Minute</v>
      </c>
      <c r="K384" s="9">
        <v>4601.0</v>
      </c>
    </row>
    <row r="385" ht="15.75" customHeight="1">
      <c r="A385" s="5" t="s">
        <v>1555</v>
      </c>
      <c r="B385" s="5" t="s">
        <v>205</v>
      </c>
      <c r="C385" s="5" t="s">
        <v>163</v>
      </c>
      <c r="D385" s="5" t="s">
        <v>45</v>
      </c>
      <c r="E385" s="5" t="s">
        <v>49</v>
      </c>
      <c r="F385" s="5" t="s">
        <v>34</v>
      </c>
      <c r="G385" s="6" t="s">
        <v>180</v>
      </c>
      <c r="H385" s="5">
        <v>11.0</v>
      </c>
      <c r="I385" s="5">
        <v>15.0</v>
      </c>
      <c r="J385" s="5" t="str">
        <f t="shared" si="1"/>
        <v>Short Notice</v>
      </c>
      <c r="K385" s="9">
        <v>23583.0</v>
      </c>
    </row>
    <row r="386" ht="15.75" customHeight="1">
      <c r="A386" s="5" t="s">
        <v>1557</v>
      </c>
      <c r="B386" s="5" t="s">
        <v>267</v>
      </c>
      <c r="C386" s="5" t="s">
        <v>163</v>
      </c>
      <c r="D386" s="5" t="s">
        <v>43</v>
      </c>
      <c r="E386" s="5" t="s">
        <v>68</v>
      </c>
      <c r="F386" s="5" t="s">
        <v>34</v>
      </c>
      <c r="G386" s="6" t="s">
        <v>66</v>
      </c>
      <c r="H386" s="5">
        <v>4.92</v>
      </c>
      <c r="I386" s="5">
        <v>27.0</v>
      </c>
      <c r="J386" s="5" t="str">
        <f t="shared" si="1"/>
        <v>Moderate</v>
      </c>
      <c r="K386" s="9">
        <v>4069.0</v>
      </c>
    </row>
    <row r="387" ht="15.75" customHeight="1">
      <c r="A387" s="5" t="s">
        <v>1558</v>
      </c>
      <c r="B387" s="5" t="s">
        <v>187</v>
      </c>
      <c r="C387" s="5" t="s">
        <v>163</v>
      </c>
      <c r="D387" s="5" t="s">
        <v>45</v>
      </c>
      <c r="E387" s="5" t="s">
        <v>49</v>
      </c>
      <c r="F387" s="5" t="s">
        <v>34</v>
      </c>
      <c r="G387" s="6" t="s">
        <v>66</v>
      </c>
      <c r="H387" s="5">
        <v>25.08</v>
      </c>
      <c r="I387" s="5">
        <v>45.0</v>
      </c>
      <c r="J387" s="5" t="str">
        <f t="shared" si="1"/>
        <v>Advance</v>
      </c>
      <c r="K387" s="9">
        <v>5685.0</v>
      </c>
    </row>
    <row r="388" ht="15.75" customHeight="1">
      <c r="A388" s="5" t="s">
        <v>1559</v>
      </c>
      <c r="B388" s="5" t="s">
        <v>172</v>
      </c>
      <c r="C388" s="5" t="s">
        <v>163</v>
      </c>
      <c r="D388" s="5" t="s">
        <v>43</v>
      </c>
      <c r="E388" s="5" t="s">
        <v>68</v>
      </c>
      <c r="F388" s="5" t="s">
        <v>34</v>
      </c>
      <c r="G388" s="6" t="s">
        <v>66</v>
      </c>
      <c r="H388" s="5">
        <v>6.17</v>
      </c>
      <c r="I388" s="5">
        <v>46.0</v>
      </c>
      <c r="J388" s="5" t="str">
        <f t="shared" si="1"/>
        <v>Advance</v>
      </c>
      <c r="K388" s="9">
        <v>1890.0</v>
      </c>
    </row>
    <row r="389" ht="15.75" customHeight="1">
      <c r="A389" s="5" t="s">
        <v>1560</v>
      </c>
      <c r="B389" s="5" t="s">
        <v>161</v>
      </c>
      <c r="C389" s="5" t="s">
        <v>163</v>
      </c>
      <c r="D389" s="5" t="s">
        <v>29</v>
      </c>
      <c r="E389" s="5" t="s">
        <v>32</v>
      </c>
      <c r="F389" s="5" t="s">
        <v>34</v>
      </c>
      <c r="G389" s="6" t="s">
        <v>66</v>
      </c>
      <c r="H389" s="5">
        <v>12.33</v>
      </c>
      <c r="I389" s="5">
        <v>46.0</v>
      </c>
      <c r="J389" s="5" t="str">
        <f t="shared" si="1"/>
        <v>Advance</v>
      </c>
      <c r="K389" s="9">
        <v>1890.0</v>
      </c>
    </row>
    <row r="390" ht="15.75" customHeight="1">
      <c r="A390" s="5" t="s">
        <v>1561</v>
      </c>
      <c r="B390" s="5" t="s">
        <v>214</v>
      </c>
      <c r="C390" s="5" t="s">
        <v>163</v>
      </c>
      <c r="D390" s="5" t="s">
        <v>43</v>
      </c>
      <c r="E390" s="5" t="s">
        <v>68</v>
      </c>
      <c r="F390" s="5" t="s">
        <v>34</v>
      </c>
      <c r="G390" s="6" t="s">
        <v>37</v>
      </c>
      <c r="H390" s="5">
        <v>2.08</v>
      </c>
      <c r="I390" s="5">
        <v>46.0</v>
      </c>
      <c r="J390" s="5" t="str">
        <f t="shared" si="1"/>
        <v>Advance</v>
      </c>
      <c r="K390" s="9">
        <v>3000.0</v>
      </c>
    </row>
    <row r="391" ht="15.75" customHeight="1">
      <c r="A391" s="5" t="s">
        <v>1563</v>
      </c>
      <c r="B391" s="5" t="s">
        <v>262</v>
      </c>
      <c r="C391" s="5" t="s">
        <v>163</v>
      </c>
      <c r="D391" s="5" t="s">
        <v>45</v>
      </c>
      <c r="E391" s="5" t="s">
        <v>49</v>
      </c>
      <c r="F391" s="5" t="s">
        <v>34</v>
      </c>
      <c r="G391" s="6" t="s">
        <v>66</v>
      </c>
      <c r="H391" s="5">
        <v>27.58</v>
      </c>
      <c r="I391" s="5">
        <v>48.0</v>
      </c>
      <c r="J391" s="5" t="str">
        <f t="shared" si="1"/>
        <v>Advance</v>
      </c>
      <c r="K391" s="9">
        <v>5685.0</v>
      </c>
    </row>
    <row r="392" ht="15.75" customHeight="1">
      <c r="A392" s="5" t="s">
        <v>1565</v>
      </c>
      <c r="B392" s="5" t="s">
        <v>252</v>
      </c>
      <c r="C392" s="5" t="s">
        <v>163</v>
      </c>
      <c r="D392" s="5" t="s">
        <v>45</v>
      </c>
      <c r="E392" s="5" t="s">
        <v>49</v>
      </c>
      <c r="F392" s="5" t="s">
        <v>34</v>
      </c>
      <c r="G392" s="6" t="s">
        <v>66</v>
      </c>
      <c r="H392" s="5">
        <v>17.75</v>
      </c>
      <c r="I392" s="5">
        <v>48.0</v>
      </c>
      <c r="J392" s="5" t="str">
        <f t="shared" si="1"/>
        <v>Advance</v>
      </c>
      <c r="K392" s="9">
        <v>5859.0</v>
      </c>
    </row>
    <row r="393" ht="15.75" customHeight="1">
      <c r="A393" s="5" t="s">
        <v>1567</v>
      </c>
      <c r="B393" s="5" t="s">
        <v>334</v>
      </c>
      <c r="C393" s="5" t="s">
        <v>288</v>
      </c>
      <c r="D393" s="5" t="s">
        <v>20</v>
      </c>
      <c r="E393" s="5" t="s">
        <v>52</v>
      </c>
      <c r="F393" s="5" t="s">
        <v>53</v>
      </c>
      <c r="G393" s="6" t="s">
        <v>37</v>
      </c>
      <c r="H393" s="5">
        <v>2.75</v>
      </c>
      <c r="I393" s="5">
        <v>15.0</v>
      </c>
      <c r="J393" s="5" t="str">
        <f t="shared" si="1"/>
        <v>Short Notice</v>
      </c>
      <c r="K393" s="9">
        <v>40360.0</v>
      </c>
    </row>
    <row r="394" ht="15.75" customHeight="1">
      <c r="A394" s="5" t="s">
        <v>1569</v>
      </c>
      <c r="B394" s="5" t="s">
        <v>389</v>
      </c>
      <c r="C394" s="5" t="s">
        <v>288</v>
      </c>
      <c r="D394" s="5" t="s">
        <v>45</v>
      </c>
      <c r="E394" s="5" t="s">
        <v>49</v>
      </c>
      <c r="F394" s="5" t="s">
        <v>34</v>
      </c>
      <c r="G394" s="6" t="s">
        <v>66</v>
      </c>
      <c r="H394" s="5">
        <v>27.5</v>
      </c>
      <c r="I394" s="5">
        <v>2.0</v>
      </c>
      <c r="J394" s="5" t="str">
        <f t="shared" si="1"/>
        <v>Last Minute</v>
      </c>
      <c r="K394" s="9">
        <v>10744.0</v>
      </c>
    </row>
    <row r="395" ht="15.75" customHeight="1">
      <c r="A395" s="5" t="s">
        <v>1571</v>
      </c>
      <c r="B395" s="5" t="s">
        <v>286</v>
      </c>
      <c r="C395" s="5" t="s">
        <v>288</v>
      </c>
      <c r="D395" s="5" t="s">
        <v>45</v>
      </c>
      <c r="E395" s="5" t="s">
        <v>49</v>
      </c>
      <c r="F395" s="5" t="s">
        <v>34</v>
      </c>
      <c r="G395" s="6" t="s">
        <v>66</v>
      </c>
      <c r="H395" s="5">
        <v>7.92</v>
      </c>
      <c r="I395" s="5">
        <v>29.0</v>
      </c>
      <c r="J395" s="5" t="str">
        <f t="shared" si="1"/>
        <v>Moderate</v>
      </c>
      <c r="K395" s="9">
        <v>18560.0</v>
      </c>
    </row>
    <row r="396" ht="15.75" customHeight="1">
      <c r="A396" s="5" t="s">
        <v>1573</v>
      </c>
      <c r="B396" s="5" t="s">
        <v>366</v>
      </c>
      <c r="C396" s="5" t="s">
        <v>288</v>
      </c>
      <c r="D396" s="5" t="s">
        <v>29</v>
      </c>
      <c r="E396" s="5" t="s">
        <v>32</v>
      </c>
      <c r="F396" s="5" t="s">
        <v>34</v>
      </c>
      <c r="G396" s="6" t="s">
        <v>66</v>
      </c>
      <c r="H396" s="5">
        <v>17.33</v>
      </c>
      <c r="I396" s="5">
        <v>9.0</v>
      </c>
      <c r="J396" s="5" t="str">
        <f t="shared" si="1"/>
        <v>Short Notice</v>
      </c>
      <c r="K396" s="9">
        <v>7484.0</v>
      </c>
    </row>
    <row r="397" ht="15.75" customHeight="1">
      <c r="A397" s="5" t="s">
        <v>1575</v>
      </c>
      <c r="B397" s="5" t="s">
        <v>400</v>
      </c>
      <c r="C397" s="5" t="s">
        <v>288</v>
      </c>
      <c r="D397" s="5" t="s">
        <v>20</v>
      </c>
      <c r="E397" s="5" t="s">
        <v>52</v>
      </c>
      <c r="F397" s="5" t="s">
        <v>53</v>
      </c>
      <c r="G397" s="6" t="s">
        <v>66</v>
      </c>
      <c r="H397" s="5">
        <v>7.42</v>
      </c>
      <c r="I397" s="5">
        <v>15.0</v>
      </c>
      <c r="J397" s="5" t="str">
        <f t="shared" si="1"/>
        <v>Short Notice</v>
      </c>
      <c r="K397" s="9">
        <v>54841.0</v>
      </c>
    </row>
    <row r="398" ht="15.75" customHeight="1">
      <c r="A398" s="5" t="s">
        <v>1578</v>
      </c>
      <c r="B398" s="5" t="s">
        <v>358</v>
      </c>
      <c r="C398" s="5" t="s">
        <v>288</v>
      </c>
      <c r="D398" s="5" t="s">
        <v>20</v>
      </c>
      <c r="E398" s="5" t="s">
        <v>52</v>
      </c>
      <c r="F398" s="5" t="s">
        <v>34</v>
      </c>
      <c r="G398" s="6" t="s">
        <v>66</v>
      </c>
      <c r="H398" s="5">
        <v>12.42</v>
      </c>
      <c r="I398" s="5">
        <v>45.0</v>
      </c>
      <c r="J398" s="5" t="str">
        <f t="shared" si="1"/>
        <v>Advance</v>
      </c>
      <c r="K398" s="9">
        <v>4111.0</v>
      </c>
    </row>
    <row r="399" ht="15.75" customHeight="1">
      <c r="A399" s="5" t="s">
        <v>1580</v>
      </c>
      <c r="B399" s="5" t="s">
        <v>297</v>
      </c>
      <c r="C399" s="5" t="s">
        <v>288</v>
      </c>
      <c r="D399" s="5" t="s">
        <v>43</v>
      </c>
      <c r="E399" s="5" t="s">
        <v>68</v>
      </c>
      <c r="F399" s="5" t="s">
        <v>34</v>
      </c>
      <c r="G399" s="6" t="s">
        <v>66</v>
      </c>
      <c r="H399" s="5">
        <v>6.67</v>
      </c>
      <c r="I399" s="5">
        <v>39.0</v>
      </c>
      <c r="J399" s="5" t="str">
        <f t="shared" si="1"/>
        <v>Advance</v>
      </c>
      <c r="K399" s="9">
        <v>5111.0</v>
      </c>
    </row>
    <row r="400" ht="15.75" customHeight="1">
      <c r="A400" s="5" t="s">
        <v>1582</v>
      </c>
      <c r="B400" s="5" t="s">
        <v>305</v>
      </c>
      <c r="C400" s="5" t="s">
        <v>288</v>
      </c>
      <c r="D400" s="5" t="s">
        <v>20</v>
      </c>
      <c r="E400" s="5" t="s">
        <v>52</v>
      </c>
      <c r="F400" s="5" t="s">
        <v>34</v>
      </c>
      <c r="G400" s="6" t="s">
        <v>66</v>
      </c>
      <c r="H400" s="5">
        <v>13.5</v>
      </c>
      <c r="I400" s="5">
        <v>45.0</v>
      </c>
      <c r="J400" s="5" t="str">
        <f t="shared" si="1"/>
        <v>Advance</v>
      </c>
      <c r="K400" s="9">
        <v>4111.0</v>
      </c>
    </row>
    <row r="401" ht="15.75" customHeight="1">
      <c r="A401" s="5" t="s">
        <v>1585</v>
      </c>
      <c r="B401" s="5" t="s">
        <v>402</v>
      </c>
      <c r="C401" s="5" t="s">
        <v>288</v>
      </c>
      <c r="D401" s="5" t="s">
        <v>20</v>
      </c>
      <c r="E401" s="5" t="s">
        <v>52</v>
      </c>
      <c r="F401" s="5" t="s">
        <v>34</v>
      </c>
      <c r="G401" s="6" t="s">
        <v>66</v>
      </c>
      <c r="H401" s="5">
        <v>6.83</v>
      </c>
      <c r="I401" s="5">
        <v>46.0</v>
      </c>
      <c r="J401" s="5" t="str">
        <f t="shared" si="1"/>
        <v>Advance</v>
      </c>
      <c r="K401" s="9">
        <v>7762.0</v>
      </c>
    </row>
    <row r="402" ht="15.75" customHeight="1">
      <c r="A402" s="5" t="s">
        <v>1587</v>
      </c>
      <c r="B402" s="5" t="s">
        <v>332</v>
      </c>
      <c r="C402" s="5" t="s">
        <v>288</v>
      </c>
      <c r="D402" s="5" t="s">
        <v>72</v>
      </c>
      <c r="E402" s="5" t="s">
        <v>266</v>
      </c>
      <c r="F402" s="5" t="s">
        <v>34</v>
      </c>
      <c r="G402" s="6" t="s">
        <v>66</v>
      </c>
      <c r="H402" s="5">
        <v>17.83</v>
      </c>
      <c r="I402" s="5">
        <v>3.0</v>
      </c>
      <c r="J402" s="5" t="str">
        <f t="shared" si="1"/>
        <v>Last Minute</v>
      </c>
      <c r="K402" s="9">
        <v>7336.0</v>
      </c>
    </row>
    <row r="403" ht="15.75" customHeight="1">
      <c r="A403" s="5" t="s">
        <v>1589</v>
      </c>
      <c r="B403" s="5" t="s">
        <v>413</v>
      </c>
      <c r="C403" s="5" t="s">
        <v>288</v>
      </c>
      <c r="D403" s="5" t="s">
        <v>20</v>
      </c>
      <c r="E403" s="5" t="s">
        <v>52</v>
      </c>
      <c r="F403" s="5" t="s">
        <v>34</v>
      </c>
      <c r="G403" s="6" t="s">
        <v>66</v>
      </c>
      <c r="H403" s="5">
        <v>18.25</v>
      </c>
      <c r="I403" s="5">
        <v>2.0</v>
      </c>
      <c r="J403" s="5" t="str">
        <f t="shared" si="1"/>
        <v>Last Minute</v>
      </c>
      <c r="K403" s="9">
        <v>12792.0</v>
      </c>
    </row>
    <row r="404" ht="15.75" customHeight="1">
      <c r="A404" s="5" t="s">
        <v>1591</v>
      </c>
      <c r="B404" s="5" t="s">
        <v>393</v>
      </c>
      <c r="C404" s="5" t="s">
        <v>288</v>
      </c>
      <c r="D404" s="5" t="s">
        <v>43</v>
      </c>
      <c r="E404" s="5" t="s">
        <v>68</v>
      </c>
      <c r="F404" s="5" t="s">
        <v>34</v>
      </c>
      <c r="G404" s="6" t="s">
        <v>66</v>
      </c>
      <c r="H404" s="5">
        <v>6.75</v>
      </c>
      <c r="I404" s="5">
        <v>16.0</v>
      </c>
      <c r="J404" s="5" t="str">
        <f t="shared" si="1"/>
        <v>Moderate</v>
      </c>
      <c r="K404" s="9">
        <v>5333.0</v>
      </c>
    </row>
    <row r="405" ht="15.75" customHeight="1">
      <c r="A405" s="5" t="s">
        <v>1594</v>
      </c>
      <c r="B405" s="5" t="s">
        <v>408</v>
      </c>
      <c r="C405" s="5" t="s">
        <v>288</v>
      </c>
      <c r="D405" s="5" t="s">
        <v>29</v>
      </c>
      <c r="E405" s="5" t="s">
        <v>32</v>
      </c>
      <c r="F405" s="5" t="s">
        <v>34</v>
      </c>
      <c r="G405" s="6" t="s">
        <v>66</v>
      </c>
      <c r="H405" s="5">
        <v>9.17</v>
      </c>
      <c r="I405" s="5">
        <v>43.0</v>
      </c>
      <c r="J405" s="5" t="str">
        <f t="shared" si="1"/>
        <v>Advance</v>
      </c>
      <c r="K405" s="9">
        <v>3467.0</v>
      </c>
    </row>
    <row r="406" ht="15.75" customHeight="1">
      <c r="A406" s="5" t="s">
        <v>1598</v>
      </c>
      <c r="B406" s="5" t="s">
        <v>346</v>
      </c>
      <c r="C406" s="5" t="s">
        <v>288</v>
      </c>
      <c r="D406" s="5" t="s">
        <v>58</v>
      </c>
      <c r="E406" s="5" t="s">
        <v>59</v>
      </c>
      <c r="F406" s="5" t="s">
        <v>34</v>
      </c>
      <c r="G406" s="6" t="s">
        <v>66</v>
      </c>
      <c r="H406" s="5">
        <v>7.5</v>
      </c>
      <c r="I406" s="5">
        <v>3.0</v>
      </c>
      <c r="J406" s="5" t="str">
        <f t="shared" si="1"/>
        <v>Last Minute</v>
      </c>
      <c r="K406" s="9">
        <v>17775.0</v>
      </c>
    </row>
    <row r="407" ht="15.75" customHeight="1">
      <c r="A407" s="5" t="s">
        <v>1600</v>
      </c>
      <c r="B407" s="5" t="s">
        <v>417</v>
      </c>
      <c r="C407" s="5" t="s">
        <v>288</v>
      </c>
      <c r="D407" s="5" t="s">
        <v>20</v>
      </c>
      <c r="E407" s="5" t="s">
        <v>52</v>
      </c>
      <c r="F407" s="5" t="s">
        <v>53</v>
      </c>
      <c r="G407" s="6" t="s">
        <v>66</v>
      </c>
      <c r="H407" s="5">
        <v>22.17</v>
      </c>
      <c r="I407" s="5">
        <v>4.0</v>
      </c>
      <c r="J407" s="5" t="str">
        <f t="shared" si="1"/>
        <v>Last Minute</v>
      </c>
      <c r="K407" s="9">
        <v>7336.0</v>
      </c>
    </row>
    <row r="408" ht="15.75" customHeight="1">
      <c r="A408" s="5" t="s">
        <v>1602</v>
      </c>
      <c r="B408" s="5" t="s">
        <v>370</v>
      </c>
      <c r="C408" s="5" t="s">
        <v>288</v>
      </c>
      <c r="D408" s="5" t="s">
        <v>45</v>
      </c>
      <c r="E408" s="5" t="s">
        <v>49</v>
      </c>
      <c r="F408" s="5" t="s">
        <v>53</v>
      </c>
      <c r="G408" s="6" t="s">
        <v>66</v>
      </c>
      <c r="H408" s="5">
        <v>15.08</v>
      </c>
      <c r="I408" s="5">
        <v>20.0</v>
      </c>
      <c r="J408" s="5" t="str">
        <f t="shared" si="1"/>
        <v>Moderate</v>
      </c>
      <c r="K408" s="9">
        <v>42521.0</v>
      </c>
    </row>
    <row r="409" ht="15.75" customHeight="1">
      <c r="A409" s="5" t="s">
        <v>1607</v>
      </c>
      <c r="B409" s="5" t="s">
        <v>338</v>
      </c>
      <c r="C409" s="5" t="s">
        <v>288</v>
      </c>
      <c r="D409" s="5" t="s">
        <v>45</v>
      </c>
      <c r="E409" s="5" t="s">
        <v>49</v>
      </c>
      <c r="F409" s="5" t="s">
        <v>34</v>
      </c>
      <c r="G409" s="6" t="s">
        <v>66</v>
      </c>
      <c r="H409" s="5">
        <v>25.25</v>
      </c>
      <c r="I409" s="5">
        <v>4.0</v>
      </c>
      <c r="J409" s="5" t="str">
        <f t="shared" si="1"/>
        <v>Last Minute</v>
      </c>
      <c r="K409" s="9">
        <v>10744.0</v>
      </c>
    </row>
    <row r="410" ht="15.75" customHeight="1">
      <c r="A410" s="5" t="s">
        <v>1609</v>
      </c>
      <c r="B410" s="5" t="s">
        <v>330</v>
      </c>
      <c r="C410" s="5" t="s">
        <v>288</v>
      </c>
      <c r="D410" s="5" t="s">
        <v>20</v>
      </c>
      <c r="E410" s="5" t="s">
        <v>52</v>
      </c>
      <c r="F410" s="5" t="s">
        <v>34</v>
      </c>
      <c r="G410" s="6" t="s">
        <v>66</v>
      </c>
      <c r="H410" s="5">
        <v>23.92</v>
      </c>
      <c r="I410" s="5">
        <v>6.0</v>
      </c>
      <c r="J410" s="5" t="str">
        <f t="shared" si="1"/>
        <v>Last Minute</v>
      </c>
      <c r="K410" s="9">
        <v>13938.0</v>
      </c>
    </row>
    <row r="411" ht="15.75" customHeight="1">
      <c r="A411" s="5" t="s">
        <v>1613</v>
      </c>
      <c r="B411" s="5" t="s">
        <v>362</v>
      </c>
      <c r="C411" s="5" t="s">
        <v>288</v>
      </c>
      <c r="D411" s="5" t="s">
        <v>20</v>
      </c>
      <c r="E411" s="5" t="s">
        <v>52</v>
      </c>
      <c r="F411" s="5" t="s">
        <v>34</v>
      </c>
      <c r="G411" s="6" t="s">
        <v>37</v>
      </c>
      <c r="H411" s="5">
        <v>2.58</v>
      </c>
      <c r="I411" s="5">
        <v>45.0</v>
      </c>
      <c r="J411" s="5" t="str">
        <f t="shared" si="1"/>
        <v>Advance</v>
      </c>
      <c r="K411" s="9">
        <v>4502.0</v>
      </c>
    </row>
    <row r="412" ht="15.75" customHeight="1">
      <c r="A412" s="5" t="s">
        <v>1615</v>
      </c>
      <c r="B412" s="5" t="s">
        <v>375</v>
      </c>
      <c r="C412" s="5" t="s">
        <v>288</v>
      </c>
      <c r="D412" s="5" t="s">
        <v>20</v>
      </c>
      <c r="E412" s="5" t="s">
        <v>52</v>
      </c>
      <c r="F412" s="5" t="s">
        <v>53</v>
      </c>
      <c r="G412" s="6" t="s">
        <v>37</v>
      </c>
      <c r="H412" s="5">
        <v>2.92</v>
      </c>
      <c r="I412" s="5">
        <v>37.0</v>
      </c>
      <c r="J412" s="5" t="str">
        <f t="shared" si="1"/>
        <v>Advance</v>
      </c>
      <c r="K412" s="9">
        <v>32923.0</v>
      </c>
    </row>
    <row r="413" ht="15.75" customHeight="1">
      <c r="A413" s="5" t="s">
        <v>1619</v>
      </c>
      <c r="B413" s="5" t="s">
        <v>311</v>
      </c>
      <c r="C413" s="5" t="s">
        <v>288</v>
      </c>
      <c r="D413" s="5" t="s">
        <v>20</v>
      </c>
      <c r="E413" s="5" t="s">
        <v>52</v>
      </c>
      <c r="F413" s="5" t="s">
        <v>34</v>
      </c>
      <c r="G413" s="6" t="s">
        <v>66</v>
      </c>
      <c r="H413" s="5">
        <v>8.58</v>
      </c>
      <c r="I413" s="5">
        <v>45.0</v>
      </c>
      <c r="J413" s="5" t="str">
        <f t="shared" si="1"/>
        <v>Advance</v>
      </c>
      <c r="K413" s="9">
        <v>4111.0</v>
      </c>
    </row>
    <row r="414" ht="15.75" customHeight="1">
      <c r="A414" s="5" t="s">
        <v>1621</v>
      </c>
      <c r="B414" s="5" t="s">
        <v>323</v>
      </c>
      <c r="C414" s="5" t="s">
        <v>288</v>
      </c>
      <c r="D414" s="5" t="s">
        <v>45</v>
      </c>
      <c r="E414" s="5" t="s">
        <v>49</v>
      </c>
      <c r="F414" s="5" t="s">
        <v>34</v>
      </c>
      <c r="G414" s="6" t="s">
        <v>66</v>
      </c>
      <c r="H414" s="5">
        <v>16.92</v>
      </c>
      <c r="I414" s="5">
        <v>5.0</v>
      </c>
      <c r="J414" s="5" t="str">
        <f t="shared" si="1"/>
        <v>Last Minute</v>
      </c>
      <c r="K414" s="9">
        <v>11847.0</v>
      </c>
    </row>
    <row r="415" ht="15.75" customHeight="1">
      <c r="A415" s="5" t="s">
        <v>1622</v>
      </c>
      <c r="B415" s="5" t="s">
        <v>303</v>
      </c>
      <c r="C415" s="5" t="s">
        <v>288</v>
      </c>
      <c r="D415" s="5" t="s">
        <v>29</v>
      </c>
      <c r="E415" s="5" t="s">
        <v>32</v>
      </c>
      <c r="F415" s="5" t="s">
        <v>34</v>
      </c>
      <c r="G415" s="6" t="s">
        <v>37</v>
      </c>
      <c r="H415" s="5">
        <v>2.92</v>
      </c>
      <c r="I415" s="5">
        <v>37.0</v>
      </c>
      <c r="J415" s="5" t="str">
        <f t="shared" si="1"/>
        <v>Advance</v>
      </c>
      <c r="K415" s="9">
        <v>4498.0</v>
      </c>
    </row>
    <row r="416" ht="15.75" customHeight="1">
      <c r="A416" s="5" t="s">
        <v>1623</v>
      </c>
      <c r="B416" s="5" t="s">
        <v>317</v>
      </c>
      <c r="C416" s="5" t="s">
        <v>288</v>
      </c>
      <c r="D416" s="5" t="s">
        <v>20</v>
      </c>
      <c r="E416" s="5" t="s">
        <v>52</v>
      </c>
      <c r="F416" s="5" t="s">
        <v>34</v>
      </c>
      <c r="G416" s="6" t="s">
        <v>66</v>
      </c>
      <c r="H416" s="5">
        <v>26.92</v>
      </c>
      <c r="I416" s="5">
        <v>35.0</v>
      </c>
      <c r="J416" s="5" t="str">
        <f t="shared" si="1"/>
        <v>Advance</v>
      </c>
      <c r="K416" s="9">
        <v>8014.0</v>
      </c>
    </row>
    <row r="417" ht="15.75" customHeight="1">
      <c r="A417" s="5" t="s">
        <v>1625</v>
      </c>
      <c r="B417" s="5" t="s">
        <v>410</v>
      </c>
      <c r="C417" s="5" t="s">
        <v>288</v>
      </c>
      <c r="D417" s="5" t="s">
        <v>20</v>
      </c>
      <c r="E417" s="5" t="s">
        <v>52</v>
      </c>
      <c r="F417" s="5" t="s">
        <v>34</v>
      </c>
      <c r="G417" s="6" t="s">
        <v>66</v>
      </c>
      <c r="H417" s="5">
        <v>16.75</v>
      </c>
      <c r="I417" s="5">
        <v>43.0</v>
      </c>
      <c r="J417" s="5" t="str">
        <f t="shared" si="1"/>
        <v>Advance</v>
      </c>
      <c r="K417" s="9">
        <v>3811.0</v>
      </c>
    </row>
    <row r="418" ht="15.75" customHeight="1">
      <c r="A418" s="5" t="s">
        <v>1628</v>
      </c>
      <c r="B418" s="5" t="s">
        <v>314</v>
      </c>
      <c r="C418" s="5" t="s">
        <v>288</v>
      </c>
      <c r="D418" s="5" t="s">
        <v>45</v>
      </c>
      <c r="E418" s="5" t="s">
        <v>49</v>
      </c>
      <c r="F418" s="5" t="s">
        <v>34</v>
      </c>
      <c r="G418" s="6" t="s">
        <v>66</v>
      </c>
      <c r="H418" s="5">
        <v>24.08</v>
      </c>
      <c r="I418" s="5">
        <v>9.0</v>
      </c>
      <c r="J418" s="5" t="str">
        <f t="shared" si="1"/>
        <v>Short Notice</v>
      </c>
      <c r="K418" s="9">
        <v>12424.0</v>
      </c>
    </row>
    <row r="419" ht="15.75" customHeight="1">
      <c r="A419" s="5" t="s">
        <v>1630</v>
      </c>
      <c r="B419" s="5" t="s">
        <v>354</v>
      </c>
      <c r="C419" s="5" t="s">
        <v>288</v>
      </c>
      <c r="D419" s="5" t="s">
        <v>29</v>
      </c>
      <c r="E419" s="5" t="s">
        <v>32</v>
      </c>
      <c r="F419" s="5" t="s">
        <v>34</v>
      </c>
      <c r="G419" s="6" t="s">
        <v>66</v>
      </c>
      <c r="H419" s="5">
        <v>12.0</v>
      </c>
      <c r="I419" s="5">
        <v>48.0</v>
      </c>
      <c r="J419" s="5" t="str">
        <f t="shared" si="1"/>
        <v>Advance</v>
      </c>
      <c r="K419" s="9">
        <v>2723.0</v>
      </c>
    </row>
    <row r="420" ht="15.75" customHeight="1">
      <c r="A420" s="5" t="s">
        <v>1632</v>
      </c>
      <c r="B420" s="5" t="s">
        <v>397</v>
      </c>
      <c r="C420" s="5" t="s">
        <v>288</v>
      </c>
      <c r="D420" s="5" t="s">
        <v>58</v>
      </c>
      <c r="E420" s="5" t="s">
        <v>59</v>
      </c>
      <c r="F420" s="5" t="s">
        <v>34</v>
      </c>
      <c r="G420" s="6" t="s">
        <v>66</v>
      </c>
      <c r="H420" s="5">
        <v>5.75</v>
      </c>
      <c r="I420" s="5">
        <v>26.0</v>
      </c>
      <c r="J420" s="5" t="str">
        <f t="shared" si="1"/>
        <v>Moderate</v>
      </c>
      <c r="K420" s="9">
        <v>4028.0</v>
      </c>
    </row>
    <row r="421" ht="15.75" customHeight="1">
      <c r="A421" s="5" t="s">
        <v>1634</v>
      </c>
      <c r="B421" s="5" t="s">
        <v>379</v>
      </c>
      <c r="C421" s="5" t="s">
        <v>288</v>
      </c>
      <c r="D421" s="5" t="s">
        <v>58</v>
      </c>
      <c r="E421" s="5" t="s">
        <v>59</v>
      </c>
      <c r="F421" s="5" t="s">
        <v>34</v>
      </c>
      <c r="G421" s="6" t="s">
        <v>66</v>
      </c>
      <c r="H421" s="5">
        <v>6.33</v>
      </c>
      <c r="I421" s="5">
        <v>26.0</v>
      </c>
      <c r="J421" s="5" t="str">
        <f t="shared" si="1"/>
        <v>Moderate</v>
      </c>
      <c r="K421" s="9">
        <v>4028.0</v>
      </c>
    </row>
    <row r="422" ht="15.75" customHeight="1">
      <c r="A422" s="5" t="s">
        <v>1636</v>
      </c>
      <c r="B422" s="5" t="s">
        <v>350</v>
      </c>
      <c r="C422" s="5" t="s">
        <v>288</v>
      </c>
      <c r="D422" s="5" t="s">
        <v>58</v>
      </c>
      <c r="E422" s="5" t="s">
        <v>59</v>
      </c>
      <c r="F422" s="5" t="s">
        <v>34</v>
      </c>
      <c r="G422" s="6" t="s">
        <v>66</v>
      </c>
      <c r="H422" s="5">
        <v>10.17</v>
      </c>
      <c r="I422" s="5">
        <v>37.0</v>
      </c>
      <c r="J422" s="5" t="str">
        <f t="shared" si="1"/>
        <v>Advance</v>
      </c>
      <c r="K422" s="9">
        <v>4028.0</v>
      </c>
    </row>
    <row r="423" ht="15.75" customHeight="1">
      <c r="A423" s="5" t="s">
        <v>1639</v>
      </c>
      <c r="B423" s="5" t="s">
        <v>405</v>
      </c>
      <c r="C423" s="5" t="s">
        <v>288</v>
      </c>
      <c r="D423" s="5" t="s">
        <v>58</v>
      </c>
      <c r="E423" s="5" t="s">
        <v>59</v>
      </c>
      <c r="F423" s="5" t="s">
        <v>34</v>
      </c>
      <c r="G423" s="6" t="s">
        <v>66</v>
      </c>
      <c r="H423" s="5">
        <v>4.83</v>
      </c>
      <c r="I423" s="5">
        <v>42.0</v>
      </c>
      <c r="J423" s="5" t="str">
        <f t="shared" si="1"/>
        <v>Advance</v>
      </c>
      <c r="K423" s="9">
        <v>6235.0</v>
      </c>
    </row>
    <row r="424" ht="15.75" customHeight="1">
      <c r="A424" s="5" t="s">
        <v>1641</v>
      </c>
      <c r="B424" s="5" t="s">
        <v>344</v>
      </c>
      <c r="C424" s="5" t="s">
        <v>288</v>
      </c>
      <c r="D424" s="5" t="s">
        <v>43</v>
      </c>
      <c r="E424" s="5" t="s">
        <v>68</v>
      </c>
      <c r="F424" s="5" t="s">
        <v>34</v>
      </c>
      <c r="G424" s="6" t="s">
        <v>66</v>
      </c>
      <c r="H424" s="5">
        <v>9.0</v>
      </c>
      <c r="I424" s="5">
        <v>27.0</v>
      </c>
      <c r="J424" s="5" t="str">
        <f t="shared" si="1"/>
        <v>Moderate</v>
      </c>
      <c r="K424" s="9">
        <v>3788.0</v>
      </c>
    </row>
    <row r="425" ht="15.75" customHeight="1">
      <c r="A425" s="5" t="s">
        <v>1644</v>
      </c>
      <c r="B425" s="5" t="s">
        <v>327</v>
      </c>
      <c r="C425" s="5" t="s">
        <v>288</v>
      </c>
      <c r="D425" s="5" t="s">
        <v>58</v>
      </c>
      <c r="E425" s="5" t="s">
        <v>59</v>
      </c>
      <c r="F425" s="5" t="s">
        <v>34</v>
      </c>
      <c r="G425" s="6" t="s">
        <v>66</v>
      </c>
      <c r="H425" s="5">
        <v>6.67</v>
      </c>
      <c r="I425" s="5">
        <v>46.0</v>
      </c>
      <c r="J425" s="5" t="str">
        <f t="shared" si="1"/>
        <v>Advance</v>
      </c>
      <c r="K425" s="9">
        <v>4028.0</v>
      </c>
    </row>
    <row r="426" ht="15.75" customHeight="1">
      <c r="A426" s="5" t="s">
        <v>1646</v>
      </c>
      <c r="B426" s="5" t="s">
        <v>383</v>
      </c>
      <c r="C426" s="5" t="s">
        <v>288</v>
      </c>
      <c r="D426" s="5" t="s">
        <v>43</v>
      </c>
      <c r="E426" s="5" t="s">
        <v>68</v>
      </c>
      <c r="F426" s="5" t="s">
        <v>34</v>
      </c>
      <c r="G426" s="6" t="s">
        <v>66</v>
      </c>
      <c r="H426" s="5">
        <v>5.33</v>
      </c>
      <c r="I426" s="5">
        <v>46.0</v>
      </c>
      <c r="J426" s="5" t="str">
        <f t="shared" si="1"/>
        <v>Advance</v>
      </c>
      <c r="K426" s="9">
        <v>3245.0</v>
      </c>
    </row>
    <row r="427" ht="15.75" customHeight="1">
      <c r="A427" s="5" t="s">
        <v>1649</v>
      </c>
      <c r="B427" s="5" t="s">
        <v>372</v>
      </c>
      <c r="C427" s="5" t="s">
        <v>288</v>
      </c>
      <c r="D427" s="5" t="s">
        <v>58</v>
      </c>
      <c r="E427" s="5" t="s">
        <v>59</v>
      </c>
      <c r="F427" s="5" t="s">
        <v>34</v>
      </c>
      <c r="G427" s="6" t="s">
        <v>66</v>
      </c>
      <c r="H427" s="5">
        <v>5.42</v>
      </c>
      <c r="I427" s="5">
        <v>46.0</v>
      </c>
      <c r="J427" s="5" t="str">
        <f t="shared" si="1"/>
        <v>Advance</v>
      </c>
      <c r="K427" s="9">
        <v>4456.0</v>
      </c>
    </row>
    <row r="428" ht="15.75" customHeight="1">
      <c r="A428" s="5" t="s">
        <v>1653</v>
      </c>
      <c r="B428" s="5" t="s">
        <v>321</v>
      </c>
      <c r="C428" s="5" t="s">
        <v>288</v>
      </c>
      <c r="D428" s="5" t="s">
        <v>43</v>
      </c>
      <c r="E428" s="5" t="s">
        <v>68</v>
      </c>
      <c r="F428" s="5" t="s">
        <v>34</v>
      </c>
      <c r="G428" s="6" t="s">
        <v>37</v>
      </c>
      <c r="H428" s="5">
        <v>2.83</v>
      </c>
      <c r="I428" s="5">
        <v>46.0</v>
      </c>
      <c r="J428" s="5" t="str">
        <f t="shared" si="1"/>
        <v>Advance</v>
      </c>
      <c r="K428" s="9">
        <v>4500.0</v>
      </c>
    </row>
    <row r="429" ht="15.75" customHeight="1">
      <c r="A429" s="5" t="s">
        <v>1655</v>
      </c>
      <c r="B429" s="5" t="s">
        <v>385</v>
      </c>
      <c r="C429" s="5" t="s">
        <v>288</v>
      </c>
      <c r="D429" s="5" t="s">
        <v>58</v>
      </c>
      <c r="E429" s="5" t="s">
        <v>59</v>
      </c>
      <c r="F429" s="5" t="s">
        <v>34</v>
      </c>
      <c r="G429" s="6" t="s">
        <v>66</v>
      </c>
      <c r="H429" s="5">
        <v>5.58</v>
      </c>
      <c r="I429" s="5">
        <v>46.0</v>
      </c>
      <c r="J429" s="5" t="str">
        <f t="shared" si="1"/>
        <v>Advance</v>
      </c>
      <c r="K429" s="9">
        <v>5696.0</v>
      </c>
    </row>
    <row r="430" ht="15.75" customHeight="1">
      <c r="A430" s="5" t="s">
        <v>1657</v>
      </c>
      <c r="B430" s="5" t="s">
        <v>340</v>
      </c>
      <c r="C430" s="5" t="s">
        <v>288</v>
      </c>
      <c r="D430" s="5" t="s">
        <v>45</v>
      </c>
      <c r="E430" s="5" t="s">
        <v>49</v>
      </c>
      <c r="F430" s="5" t="s">
        <v>34</v>
      </c>
      <c r="G430" s="6" t="s">
        <v>66</v>
      </c>
      <c r="H430" s="5">
        <v>12.42</v>
      </c>
      <c r="I430" s="5">
        <v>48.0</v>
      </c>
      <c r="J430" s="5" t="str">
        <f t="shared" si="1"/>
        <v>Advance</v>
      </c>
      <c r="K430" s="9">
        <v>4294.0</v>
      </c>
    </row>
    <row r="431" ht="15.75" customHeight="1">
      <c r="A431" s="5" t="s">
        <v>1661</v>
      </c>
      <c r="B431" s="5" t="s">
        <v>293</v>
      </c>
      <c r="C431" s="5" t="s">
        <v>288</v>
      </c>
      <c r="D431" s="5" t="s">
        <v>45</v>
      </c>
      <c r="E431" s="5" t="s">
        <v>49</v>
      </c>
      <c r="F431" s="5" t="s">
        <v>34</v>
      </c>
      <c r="G431" s="6" t="s">
        <v>66</v>
      </c>
      <c r="H431" s="5">
        <v>11.67</v>
      </c>
      <c r="I431" s="5">
        <v>46.0</v>
      </c>
      <c r="J431" s="5" t="str">
        <f t="shared" si="1"/>
        <v>Advance</v>
      </c>
      <c r="K431" s="9">
        <v>5906.0</v>
      </c>
    </row>
    <row r="432" ht="15.75" customHeight="1">
      <c r="A432" s="5" t="s">
        <v>1666</v>
      </c>
      <c r="B432" s="5" t="s">
        <v>541</v>
      </c>
      <c r="C432" s="5" t="s">
        <v>361</v>
      </c>
      <c r="D432" s="5" t="s">
        <v>20</v>
      </c>
      <c r="E432" s="5" t="s">
        <v>52</v>
      </c>
      <c r="F432" s="5" t="s">
        <v>53</v>
      </c>
      <c r="G432" s="6" t="s">
        <v>37</v>
      </c>
      <c r="H432" s="5">
        <v>1.92</v>
      </c>
      <c r="I432" s="5">
        <v>15.0</v>
      </c>
      <c r="J432" s="5" t="str">
        <f t="shared" si="1"/>
        <v>Short Notice</v>
      </c>
      <c r="K432" s="9">
        <v>20760.0</v>
      </c>
    </row>
    <row r="433" ht="15.75" customHeight="1">
      <c r="A433" s="5" t="s">
        <v>1671</v>
      </c>
      <c r="B433" s="5" t="s">
        <v>534</v>
      </c>
      <c r="C433" s="5" t="s">
        <v>361</v>
      </c>
      <c r="D433" s="5" t="s">
        <v>45</v>
      </c>
      <c r="E433" s="5" t="s">
        <v>49</v>
      </c>
      <c r="F433" s="5" t="s">
        <v>34</v>
      </c>
      <c r="G433" s="6" t="s">
        <v>66</v>
      </c>
      <c r="H433" s="5">
        <v>8.25</v>
      </c>
      <c r="I433" s="5">
        <v>39.0</v>
      </c>
      <c r="J433" s="5" t="str">
        <f t="shared" si="1"/>
        <v>Advance</v>
      </c>
      <c r="K433" s="9">
        <v>6578.0</v>
      </c>
    </row>
    <row r="434" ht="15.75" customHeight="1">
      <c r="A434" s="5" t="s">
        <v>1673</v>
      </c>
      <c r="B434" s="5" t="s">
        <v>440</v>
      </c>
      <c r="C434" s="5" t="s">
        <v>361</v>
      </c>
      <c r="D434" s="5" t="s">
        <v>45</v>
      </c>
      <c r="E434" s="5" t="s">
        <v>49</v>
      </c>
      <c r="F434" s="5" t="s">
        <v>34</v>
      </c>
      <c r="G434" s="6" t="s">
        <v>66</v>
      </c>
      <c r="H434" s="5">
        <v>27.42</v>
      </c>
      <c r="I434" s="5">
        <v>1.0</v>
      </c>
      <c r="J434" s="5" t="str">
        <f t="shared" si="1"/>
        <v>Last Minute</v>
      </c>
      <c r="K434" s="9">
        <v>9277.0</v>
      </c>
    </row>
    <row r="435" ht="15.75" customHeight="1">
      <c r="A435" s="5" t="s">
        <v>1676</v>
      </c>
      <c r="B435" s="5" t="s">
        <v>530</v>
      </c>
      <c r="C435" s="5" t="s">
        <v>361</v>
      </c>
      <c r="D435" s="5" t="s">
        <v>20</v>
      </c>
      <c r="E435" s="5" t="s">
        <v>52</v>
      </c>
      <c r="F435" s="5" t="s">
        <v>53</v>
      </c>
      <c r="G435" s="6" t="s">
        <v>66</v>
      </c>
      <c r="H435" s="5">
        <v>7.0</v>
      </c>
      <c r="I435" s="5">
        <v>23.0</v>
      </c>
      <c r="J435" s="5" t="str">
        <f t="shared" si="1"/>
        <v>Moderate</v>
      </c>
      <c r="K435" s="9">
        <v>61404.0</v>
      </c>
    </row>
    <row r="436" ht="15.75" customHeight="1">
      <c r="A436" s="5" t="s">
        <v>1679</v>
      </c>
      <c r="B436" s="5" t="s">
        <v>420</v>
      </c>
      <c r="C436" s="5" t="s">
        <v>361</v>
      </c>
      <c r="D436" s="5" t="s">
        <v>20</v>
      </c>
      <c r="E436" s="5" t="s">
        <v>52</v>
      </c>
      <c r="F436" s="5" t="s">
        <v>34</v>
      </c>
      <c r="G436" s="6" t="s">
        <v>66</v>
      </c>
      <c r="H436" s="5">
        <v>28.17</v>
      </c>
      <c r="I436" s="5">
        <v>1.0</v>
      </c>
      <c r="J436" s="5" t="str">
        <f t="shared" si="1"/>
        <v>Last Minute</v>
      </c>
      <c r="K436" s="9">
        <v>19400.0</v>
      </c>
    </row>
    <row r="437" ht="15.75" customHeight="1">
      <c r="A437" s="5" t="s">
        <v>1683</v>
      </c>
      <c r="B437" s="5" t="s">
        <v>508</v>
      </c>
      <c r="C437" s="5" t="s">
        <v>361</v>
      </c>
      <c r="D437" s="5" t="s">
        <v>43</v>
      </c>
      <c r="E437" s="5" t="s">
        <v>68</v>
      </c>
      <c r="F437" s="5" t="s">
        <v>34</v>
      </c>
      <c r="G437" s="6" t="s">
        <v>66</v>
      </c>
      <c r="H437" s="5">
        <v>5.08</v>
      </c>
      <c r="J437" s="5" t="str">
        <f t="shared" si="1"/>
        <v>Last Minute</v>
      </c>
      <c r="K437" s="9">
        <v>4190.0</v>
      </c>
    </row>
    <row r="438" ht="15.75" customHeight="1">
      <c r="A438" s="5" t="s">
        <v>1686</v>
      </c>
      <c r="B438" s="5" t="s">
        <v>483</v>
      </c>
      <c r="C438" s="5" t="s">
        <v>361</v>
      </c>
      <c r="D438" s="5" t="s">
        <v>43</v>
      </c>
      <c r="E438" s="5" t="s">
        <v>68</v>
      </c>
      <c r="F438" s="5" t="s">
        <v>34</v>
      </c>
      <c r="G438" s="6" t="s">
        <v>66</v>
      </c>
      <c r="H438" s="5">
        <v>9.42</v>
      </c>
      <c r="I438" s="5">
        <v>15.0</v>
      </c>
      <c r="J438" s="5" t="str">
        <f t="shared" si="1"/>
        <v>Short Notice</v>
      </c>
      <c r="K438" s="9">
        <v>5178.0</v>
      </c>
    </row>
    <row r="439" ht="15.75" customHeight="1">
      <c r="A439" s="5" t="s">
        <v>1690</v>
      </c>
      <c r="B439" s="5" t="s">
        <v>496</v>
      </c>
      <c r="C439" s="5" t="s">
        <v>361</v>
      </c>
      <c r="D439" s="5" t="s">
        <v>20</v>
      </c>
      <c r="E439" s="5" t="s">
        <v>52</v>
      </c>
      <c r="F439" s="5" t="s">
        <v>34</v>
      </c>
      <c r="G439" s="6" t="s">
        <v>66</v>
      </c>
      <c r="H439" s="5">
        <v>16.0</v>
      </c>
      <c r="I439" s="5">
        <v>1.0</v>
      </c>
      <c r="J439" s="5" t="str">
        <f t="shared" si="1"/>
        <v>Last Minute</v>
      </c>
      <c r="K439" s="9">
        <v>19421.0</v>
      </c>
    </row>
    <row r="440" ht="15.75" customHeight="1">
      <c r="A440" s="5" t="s">
        <v>1695</v>
      </c>
      <c r="B440" s="5" t="s">
        <v>444</v>
      </c>
      <c r="C440" s="5" t="s">
        <v>361</v>
      </c>
      <c r="D440" s="5" t="s">
        <v>43</v>
      </c>
      <c r="E440" s="5" t="s">
        <v>68</v>
      </c>
      <c r="F440" s="5" t="s">
        <v>34</v>
      </c>
      <c r="G440" s="6" t="s">
        <v>66</v>
      </c>
      <c r="H440" s="5">
        <v>8.67</v>
      </c>
      <c r="I440" s="5">
        <v>11.0</v>
      </c>
      <c r="J440" s="5" t="str">
        <f t="shared" si="1"/>
        <v>Short Notice</v>
      </c>
      <c r="K440" s="9">
        <v>5178.0</v>
      </c>
    </row>
    <row r="441" ht="15.75" customHeight="1">
      <c r="A441" s="5" t="s">
        <v>1698</v>
      </c>
      <c r="B441" s="5" t="s">
        <v>466</v>
      </c>
      <c r="C441" s="5" t="s">
        <v>361</v>
      </c>
      <c r="D441" s="5" t="s">
        <v>20</v>
      </c>
      <c r="E441" s="5" t="s">
        <v>52</v>
      </c>
      <c r="F441" s="5" t="s">
        <v>53</v>
      </c>
      <c r="G441" s="6" t="s">
        <v>66</v>
      </c>
      <c r="H441" s="5">
        <v>14.0</v>
      </c>
      <c r="I441" s="5">
        <v>39.0</v>
      </c>
      <c r="J441" s="5" t="str">
        <f t="shared" si="1"/>
        <v>Advance</v>
      </c>
      <c r="K441" s="9">
        <v>74844.0</v>
      </c>
    </row>
    <row r="442" ht="15.75" customHeight="1">
      <c r="A442" s="5" t="s">
        <v>1700</v>
      </c>
      <c r="B442" s="5" t="s">
        <v>545</v>
      </c>
      <c r="C442" s="5" t="s">
        <v>361</v>
      </c>
      <c r="D442" s="5" t="s">
        <v>20</v>
      </c>
      <c r="E442" s="5" t="s">
        <v>52</v>
      </c>
      <c r="F442" s="5" t="s">
        <v>34</v>
      </c>
      <c r="G442" s="6" t="s">
        <v>66</v>
      </c>
      <c r="H442" s="5">
        <v>12.08</v>
      </c>
      <c r="I442" s="5">
        <v>44.0</v>
      </c>
      <c r="J442" s="5" t="str">
        <f t="shared" si="1"/>
        <v>Advance</v>
      </c>
      <c r="K442" s="9">
        <v>7212.0</v>
      </c>
    </row>
    <row r="443" ht="15.75" customHeight="1">
      <c r="A443" s="5" t="s">
        <v>1703</v>
      </c>
      <c r="B443" s="5" t="s">
        <v>476</v>
      </c>
      <c r="C443" s="5" t="s">
        <v>361</v>
      </c>
      <c r="D443" s="5" t="s">
        <v>20</v>
      </c>
      <c r="E443" s="5" t="s">
        <v>52</v>
      </c>
      <c r="F443" s="5" t="s">
        <v>53</v>
      </c>
      <c r="G443" s="6" t="s">
        <v>66</v>
      </c>
      <c r="H443" s="5">
        <v>13.25</v>
      </c>
      <c r="I443" s="5">
        <v>38.0</v>
      </c>
      <c r="J443" s="5" t="str">
        <f t="shared" si="1"/>
        <v>Advance</v>
      </c>
      <c r="K443" s="9">
        <v>69244.0</v>
      </c>
    </row>
    <row r="444" ht="15.75" customHeight="1">
      <c r="A444" s="5" t="s">
        <v>1707</v>
      </c>
      <c r="B444" s="5" t="s">
        <v>424</v>
      </c>
      <c r="C444" s="5" t="s">
        <v>361</v>
      </c>
      <c r="D444" s="5" t="s">
        <v>45</v>
      </c>
      <c r="E444" s="5" t="s">
        <v>49</v>
      </c>
      <c r="F444" s="5" t="s">
        <v>34</v>
      </c>
      <c r="G444" s="6" t="s">
        <v>66</v>
      </c>
      <c r="H444" s="5">
        <v>6.67</v>
      </c>
      <c r="J444" s="5" t="str">
        <f t="shared" si="1"/>
        <v>Last Minute</v>
      </c>
      <c r="K444" s="9">
        <v>9277.0</v>
      </c>
    </row>
    <row r="445" ht="15.75" customHeight="1">
      <c r="A445" s="5" t="s">
        <v>1709</v>
      </c>
      <c r="B445" s="5" t="s">
        <v>472</v>
      </c>
      <c r="C445" s="5" t="s">
        <v>361</v>
      </c>
      <c r="D445" s="5" t="s">
        <v>29</v>
      </c>
      <c r="E445" s="5" t="s">
        <v>32</v>
      </c>
      <c r="F445" s="5" t="s">
        <v>34</v>
      </c>
      <c r="G445" s="6" t="s">
        <v>66</v>
      </c>
      <c r="H445" s="5">
        <v>6.67</v>
      </c>
      <c r="I445" s="5">
        <v>46.0</v>
      </c>
      <c r="J445" s="5" t="str">
        <f t="shared" si="1"/>
        <v>Advance</v>
      </c>
      <c r="K445" s="9">
        <v>7336.0</v>
      </c>
    </row>
    <row r="446" ht="15.75" customHeight="1">
      <c r="A446" s="5" t="s">
        <v>1712</v>
      </c>
      <c r="B446" s="5" t="s">
        <v>438</v>
      </c>
      <c r="C446" s="5" t="s">
        <v>361</v>
      </c>
      <c r="D446" s="5" t="s">
        <v>20</v>
      </c>
      <c r="E446" s="5" t="s">
        <v>52</v>
      </c>
      <c r="F446" s="5" t="s">
        <v>34</v>
      </c>
      <c r="G446" s="6" t="s">
        <v>180</v>
      </c>
      <c r="H446" s="5">
        <v>8.58</v>
      </c>
      <c r="I446" s="5">
        <v>3.0</v>
      </c>
      <c r="J446" s="5" t="str">
        <f t="shared" si="1"/>
        <v>Last Minute</v>
      </c>
      <c r="K446" s="9">
        <v>19197.0</v>
      </c>
    </row>
    <row r="447" ht="15.75" customHeight="1">
      <c r="A447" s="5" t="s">
        <v>1714</v>
      </c>
      <c r="B447" s="5" t="s">
        <v>537</v>
      </c>
      <c r="C447" s="5" t="s">
        <v>361</v>
      </c>
      <c r="D447" s="5" t="s">
        <v>45</v>
      </c>
      <c r="E447" s="5" t="s">
        <v>49</v>
      </c>
      <c r="F447" s="5" t="s">
        <v>53</v>
      </c>
      <c r="G447" s="6" t="s">
        <v>66</v>
      </c>
      <c r="H447" s="5">
        <v>9.08</v>
      </c>
      <c r="I447" s="5">
        <v>24.0</v>
      </c>
      <c r="J447" s="5" t="str">
        <f t="shared" si="1"/>
        <v>Moderate</v>
      </c>
      <c r="K447" s="9">
        <v>42622.0</v>
      </c>
    </row>
    <row r="448" ht="15.75" customHeight="1">
      <c r="A448" s="5" t="s">
        <v>1715</v>
      </c>
      <c r="B448" s="5" t="s">
        <v>525</v>
      </c>
      <c r="C448" s="5" t="s">
        <v>361</v>
      </c>
      <c r="D448" s="5" t="s">
        <v>20</v>
      </c>
      <c r="E448" s="5" t="s">
        <v>52</v>
      </c>
      <c r="F448" s="5" t="s">
        <v>34</v>
      </c>
      <c r="G448" s="6" t="s">
        <v>66</v>
      </c>
      <c r="H448" s="5">
        <v>6.58</v>
      </c>
      <c r="I448" s="5">
        <v>44.0</v>
      </c>
      <c r="J448" s="5" t="str">
        <f t="shared" si="1"/>
        <v>Advance</v>
      </c>
      <c r="K448" s="9">
        <v>4792.0</v>
      </c>
    </row>
    <row r="449" ht="15.75" customHeight="1">
      <c r="A449" s="5" t="s">
        <v>1718</v>
      </c>
      <c r="B449" s="5" t="s">
        <v>505</v>
      </c>
      <c r="C449" s="5" t="s">
        <v>361</v>
      </c>
      <c r="D449" s="5" t="s">
        <v>20</v>
      </c>
      <c r="E449" s="5" t="s">
        <v>52</v>
      </c>
      <c r="F449" s="5" t="s">
        <v>34</v>
      </c>
      <c r="G449" s="6" t="s">
        <v>66</v>
      </c>
      <c r="H449" s="5">
        <v>26.08</v>
      </c>
      <c r="I449" s="5">
        <v>44.0</v>
      </c>
      <c r="J449" s="5" t="str">
        <f t="shared" si="1"/>
        <v>Advance</v>
      </c>
      <c r="K449" s="9">
        <v>4792.0</v>
      </c>
    </row>
    <row r="450" ht="15.75" customHeight="1">
      <c r="A450" s="5" t="s">
        <v>1720</v>
      </c>
      <c r="B450" s="5" t="s">
        <v>498</v>
      </c>
      <c r="C450" s="5" t="s">
        <v>361</v>
      </c>
      <c r="D450" s="5" t="s">
        <v>45</v>
      </c>
      <c r="E450" s="5" t="s">
        <v>49</v>
      </c>
      <c r="F450" s="5" t="s">
        <v>53</v>
      </c>
      <c r="G450" s="6" t="s">
        <v>66</v>
      </c>
      <c r="H450" s="5">
        <v>15.83</v>
      </c>
      <c r="I450" s="5">
        <v>19.0</v>
      </c>
      <c r="J450" s="5" t="str">
        <f t="shared" si="1"/>
        <v>Moderate</v>
      </c>
      <c r="K450" s="9">
        <v>54684.0</v>
      </c>
    </row>
    <row r="451" ht="15.75" customHeight="1">
      <c r="A451" s="5" t="s">
        <v>1722</v>
      </c>
      <c r="B451" s="5" t="s">
        <v>470</v>
      </c>
      <c r="C451" s="5" t="s">
        <v>361</v>
      </c>
      <c r="D451" s="5" t="s">
        <v>20</v>
      </c>
      <c r="E451" s="5" t="s">
        <v>52</v>
      </c>
      <c r="F451" s="5" t="s">
        <v>53</v>
      </c>
      <c r="G451" s="6" t="s">
        <v>66</v>
      </c>
      <c r="H451" s="5">
        <v>9.33</v>
      </c>
      <c r="I451" s="5">
        <v>38.0</v>
      </c>
      <c r="J451" s="5" t="str">
        <f t="shared" si="1"/>
        <v>Advance</v>
      </c>
      <c r="K451" s="9">
        <v>62524.0</v>
      </c>
    </row>
    <row r="452" ht="15.75" customHeight="1">
      <c r="A452" s="5" t="s">
        <v>1723</v>
      </c>
      <c r="B452" s="5" t="s">
        <v>454</v>
      </c>
      <c r="C452" s="5" t="s">
        <v>361</v>
      </c>
      <c r="D452" s="5" t="s">
        <v>20</v>
      </c>
      <c r="E452" s="5" t="s">
        <v>52</v>
      </c>
      <c r="F452" s="5" t="s">
        <v>34</v>
      </c>
      <c r="G452" s="6" t="s">
        <v>66</v>
      </c>
      <c r="H452" s="5">
        <v>25.75</v>
      </c>
      <c r="I452" s="5">
        <v>8.0</v>
      </c>
      <c r="J452" s="5" t="str">
        <f t="shared" si="1"/>
        <v>Short Notice</v>
      </c>
      <c r="K452" s="9">
        <v>14733.0</v>
      </c>
    </row>
    <row r="453" ht="15.75" customHeight="1">
      <c r="A453" s="5" t="s">
        <v>1726</v>
      </c>
      <c r="B453" s="5" t="s">
        <v>479</v>
      </c>
      <c r="C453" s="5" t="s">
        <v>361</v>
      </c>
      <c r="D453" s="5" t="s">
        <v>20</v>
      </c>
      <c r="E453" s="5" t="s">
        <v>52</v>
      </c>
      <c r="F453" s="5" t="s">
        <v>34</v>
      </c>
      <c r="G453" s="6" t="s">
        <v>66</v>
      </c>
      <c r="H453" s="5">
        <v>28.5</v>
      </c>
      <c r="I453" s="5">
        <v>8.0</v>
      </c>
      <c r="J453" s="5" t="str">
        <f t="shared" si="1"/>
        <v>Short Notice</v>
      </c>
      <c r="K453" s="9">
        <v>14733.0</v>
      </c>
    </row>
    <row r="454" ht="15.75" customHeight="1">
      <c r="A454" s="5" t="s">
        <v>1729</v>
      </c>
      <c r="B454" s="5" t="s">
        <v>460</v>
      </c>
      <c r="C454" s="5" t="s">
        <v>361</v>
      </c>
      <c r="D454" s="5" t="s">
        <v>58</v>
      </c>
      <c r="E454" s="5" t="s">
        <v>59</v>
      </c>
      <c r="F454" s="5" t="s">
        <v>34</v>
      </c>
      <c r="G454" s="6" t="s">
        <v>66</v>
      </c>
      <c r="H454" s="5">
        <v>6.33</v>
      </c>
      <c r="I454" s="5">
        <v>33.0</v>
      </c>
      <c r="J454" s="5" t="str">
        <f t="shared" si="1"/>
        <v>Advance</v>
      </c>
      <c r="K454" s="9">
        <v>7336.0</v>
      </c>
    </row>
    <row r="455" ht="15.75" customHeight="1">
      <c r="A455" s="5" t="s">
        <v>1732</v>
      </c>
      <c r="B455" s="5" t="s">
        <v>447</v>
      </c>
      <c r="C455" s="5" t="s">
        <v>361</v>
      </c>
      <c r="D455" s="5" t="s">
        <v>20</v>
      </c>
      <c r="E455" s="5" t="s">
        <v>52</v>
      </c>
      <c r="F455" s="5" t="s">
        <v>34</v>
      </c>
      <c r="G455" s="6" t="s">
        <v>66</v>
      </c>
      <c r="H455" s="5">
        <v>13.08</v>
      </c>
      <c r="I455" s="5">
        <v>43.0</v>
      </c>
      <c r="J455" s="5" t="str">
        <f t="shared" si="1"/>
        <v>Advance</v>
      </c>
      <c r="K455" s="9">
        <v>6568.0</v>
      </c>
    </row>
    <row r="456" ht="15.75" customHeight="1">
      <c r="A456" s="5" t="s">
        <v>1735</v>
      </c>
      <c r="B456" s="5" t="s">
        <v>491</v>
      </c>
      <c r="C456" s="5" t="s">
        <v>361</v>
      </c>
      <c r="D456" s="5" t="s">
        <v>20</v>
      </c>
      <c r="E456" s="5" t="s">
        <v>52</v>
      </c>
      <c r="F456" s="5" t="s">
        <v>34</v>
      </c>
      <c r="G456" s="6" t="s">
        <v>66</v>
      </c>
      <c r="H456" s="5">
        <v>14.0</v>
      </c>
      <c r="I456" s="5">
        <v>43.0</v>
      </c>
      <c r="J456" s="5" t="str">
        <f t="shared" si="1"/>
        <v>Advance</v>
      </c>
      <c r="K456" s="9">
        <v>6568.0</v>
      </c>
    </row>
    <row r="457" ht="15.75" customHeight="1">
      <c r="A457" s="5" t="s">
        <v>1737</v>
      </c>
      <c r="B457" s="5" t="s">
        <v>434</v>
      </c>
      <c r="C457" s="5" t="s">
        <v>361</v>
      </c>
      <c r="D457" s="5" t="s">
        <v>45</v>
      </c>
      <c r="E457" s="5" t="s">
        <v>49</v>
      </c>
      <c r="F457" s="5" t="s">
        <v>34</v>
      </c>
      <c r="G457" s="6" t="s">
        <v>66</v>
      </c>
      <c r="H457" s="5">
        <v>15.92</v>
      </c>
      <c r="I457" s="5">
        <v>8.0</v>
      </c>
      <c r="J457" s="5" t="str">
        <f t="shared" si="1"/>
        <v>Short Notice</v>
      </c>
      <c r="K457" s="9">
        <v>11545.0</v>
      </c>
    </row>
    <row r="458" ht="15.75" customHeight="1">
      <c r="A458" s="5" t="s">
        <v>1738</v>
      </c>
      <c r="B458" s="5" t="s">
        <v>493</v>
      </c>
      <c r="C458" s="5" t="s">
        <v>361</v>
      </c>
      <c r="D458" s="5" t="s">
        <v>45</v>
      </c>
      <c r="E458" s="5" t="s">
        <v>49</v>
      </c>
      <c r="F458" s="5" t="s">
        <v>34</v>
      </c>
      <c r="G458" s="6" t="s">
        <v>66</v>
      </c>
      <c r="H458" s="5">
        <v>13.67</v>
      </c>
      <c r="I458" s="5">
        <v>42.0</v>
      </c>
      <c r="J458" s="5" t="str">
        <f t="shared" si="1"/>
        <v>Advance</v>
      </c>
      <c r="K458" s="9">
        <v>5761.0</v>
      </c>
    </row>
    <row r="459" ht="15.75" customHeight="1">
      <c r="A459" s="5" t="s">
        <v>1742</v>
      </c>
      <c r="B459" s="5" t="s">
        <v>514</v>
      </c>
      <c r="C459" s="5" t="s">
        <v>361</v>
      </c>
      <c r="D459" s="5" t="s">
        <v>45</v>
      </c>
      <c r="E459" s="5" t="s">
        <v>49</v>
      </c>
      <c r="F459" s="5" t="s">
        <v>34</v>
      </c>
      <c r="G459" s="6" t="s">
        <v>66</v>
      </c>
      <c r="H459" s="5">
        <v>28.83</v>
      </c>
      <c r="I459" s="5">
        <v>14.0</v>
      </c>
      <c r="J459" s="5" t="str">
        <f t="shared" si="1"/>
        <v>Short Notice</v>
      </c>
      <c r="K459" s="9">
        <v>13295.0</v>
      </c>
    </row>
    <row r="460" ht="15.75" customHeight="1">
      <c r="A460" s="5" t="s">
        <v>1745</v>
      </c>
      <c r="B460" s="5" t="s">
        <v>428</v>
      </c>
      <c r="C460" s="5" t="s">
        <v>361</v>
      </c>
      <c r="D460" s="5" t="s">
        <v>45</v>
      </c>
      <c r="E460" s="5" t="s">
        <v>49</v>
      </c>
      <c r="F460" s="5" t="s">
        <v>53</v>
      </c>
      <c r="G460" s="6" t="s">
        <v>66</v>
      </c>
      <c r="H460" s="5">
        <v>26.08</v>
      </c>
      <c r="I460" s="5">
        <v>46.0</v>
      </c>
      <c r="J460" s="5" t="str">
        <f t="shared" si="1"/>
        <v>Advance</v>
      </c>
      <c r="K460" s="9">
        <v>29170.0</v>
      </c>
    </row>
    <row r="461" ht="15.75" customHeight="1">
      <c r="A461" s="5" t="s">
        <v>1750</v>
      </c>
      <c r="B461" s="5" t="s">
        <v>517</v>
      </c>
      <c r="C461" s="5" t="s">
        <v>361</v>
      </c>
      <c r="D461" s="5" t="s">
        <v>58</v>
      </c>
      <c r="E461" s="5" t="s">
        <v>59</v>
      </c>
      <c r="F461" s="5" t="s">
        <v>34</v>
      </c>
      <c r="G461" s="6" t="s">
        <v>66</v>
      </c>
      <c r="H461" s="5">
        <v>11.58</v>
      </c>
      <c r="I461" s="5">
        <v>44.0</v>
      </c>
      <c r="J461" s="5" t="str">
        <f t="shared" si="1"/>
        <v>Advance</v>
      </c>
      <c r="K461" s="9">
        <v>4299.0</v>
      </c>
    </row>
    <row r="462" ht="15.75" customHeight="1">
      <c r="A462" s="5" t="s">
        <v>1753</v>
      </c>
      <c r="B462" s="5" t="s">
        <v>449</v>
      </c>
      <c r="C462" s="5" t="s">
        <v>361</v>
      </c>
      <c r="D462" s="5" t="s">
        <v>43</v>
      </c>
      <c r="E462" s="5" t="s">
        <v>68</v>
      </c>
      <c r="F462" s="5" t="s">
        <v>34</v>
      </c>
      <c r="G462" s="6" t="s">
        <v>66</v>
      </c>
      <c r="H462" s="5">
        <v>6.0</v>
      </c>
      <c r="I462" s="5">
        <v>46.0</v>
      </c>
      <c r="J462" s="5" t="str">
        <f t="shared" si="1"/>
        <v>Advance</v>
      </c>
      <c r="K462" s="9">
        <v>3012.0</v>
      </c>
    </row>
    <row r="463" ht="15.75" customHeight="1">
      <c r="A463" s="5" t="s">
        <v>1755</v>
      </c>
      <c r="B463" s="5" t="s">
        <v>484</v>
      </c>
      <c r="C463" s="5" t="s">
        <v>361</v>
      </c>
      <c r="D463" s="5" t="s">
        <v>43</v>
      </c>
      <c r="E463" s="5" t="s">
        <v>68</v>
      </c>
      <c r="F463" s="5" t="s">
        <v>34</v>
      </c>
      <c r="G463" s="6" t="s">
        <v>66</v>
      </c>
      <c r="H463" s="5">
        <v>7.83</v>
      </c>
      <c r="I463" s="5">
        <v>46.0</v>
      </c>
      <c r="J463" s="5" t="str">
        <f t="shared" si="1"/>
        <v>Advance</v>
      </c>
      <c r="K463" s="9">
        <v>3012.0</v>
      </c>
    </row>
    <row r="464" ht="15.75" customHeight="1">
      <c r="A464" s="5" t="s">
        <v>1760</v>
      </c>
      <c r="B464" s="5" t="s">
        <v>418</v>
      </c>
      <c r="C464" s="5" t="s">
        <v>361</v>
      </c>
      <c r="D464" s="5" t="s">
        <v>58</v>
      </c>
      <c r="E464" s="5" t="s">
        <v>59</v>
      </c>
      <c r="F464" s="5" t="s">
        <v>34</v>
      </c>
      <c r="G464" s="6" t="s">
        <v>66</v>
      </c>
      <c r="H464" s="5">
        <v>8.92</v>
      </c>
      <c r="I464" s="5">
        <v>46.0</v>
      </c>
      <c r="J464" s="5" t="str">
        <f t="shared" si="1"/>
        <v>Advance</v>
      </c>
      <c r="K464" s="9">
        <v>6389.0</v>
      </c>
    </row>
    <row r="465" ht="15.75" customHeight="1">
      <c r="A465" s="5" t="s">
        <v>1763</v>
      </c>
      <c r="B465" s="5" t="s">
        <v>488</v>
      </c>
      <c r="C465" s="5" t="s">
        <v>361</v>
      </c>
      <c r="D465" s="5" t="s">
        <v>58</v>
      </c>
      <c r="E465" s="5" t="s">
        <v>59</v>
      </c>
      <c r="F465" s="5" t="s">
        <v>34</v>
      </c>
      <c r="G465" s="6" t="s">
        <v>66</v>
      </c>
      <c r="H465" s="5">
        <v>11.92</v>
      </c>
      <c r="I465" s="5">
        <v>46.0</v>
      </c>
      <c r="J465" s="5" t="str">
        <f t="shared" si="1"/>
        <v>Advance</v>
      </c>
      <c r="K465" s="9">
        <v>6389.0</v>
      </c>
    </row>
    <row r="466" ht="15.75" customHeight="1">
      <c r="A466" s="5" t="s">
        <v>1766</v>
      </c>
      <c r="B466" s="5" t="s">
        <v>462</v>
      </c>
      <c r="C466" s="5" t="s">
        <v>361</v>
      </c>
      <c r="D466" s="5" t="s">
        <v>45</v>
      </c>
      <c r="E466" s="5" t="s">
        <v>49</v>
      </c>
      <c r="F466" s="5" t="s">
        <v>34</v>
      </c>
      <c r="G466" s="6" t="s">
        <v>66</v>
      </c>
      <c r="H466" s="5">
        <v>5.58</v>
      </c>
      <c r="I466" s="5">
        <v>46.0</v>
      </c>
      <c r="J466" s="5" t="str">
        <f t="shared" si="1"/>
        <v>Advance</v>
      </c>
      <c r="K466" s="9">
        <v>3961.0</v>
      </c>
    </row>
    <row r="467" ht="15.75" customHeight="1">
      <c r="A467" s="5" t="s">
        <v>1769</v>
      </c>
      <c r="B467" s="5" t="s">
        <v>457</v>
      </c>
      <c r="C467" s="5" t="s">
        <v>361</v>
      </c>
      <c r="D467" s="5" t="s">
        <v>45</v>
      </c>
      <c r="E467" s="5" t="s">
        <v>49</v>
      </c>
      <c r="F467" s="5" t="s">
        <v>34</v>
      </c>
      <c r="G467" s="6" t="s">
        <v>66</v>
      </c>
      <c r="H467" s="5">
        <v>23.5</v>
      </c>
      <c r="I467" s="5">
        <v>46.0</v>
      </c>
      <c r="J467" s="5" t="str">
        <f t="shared" si="1"/>
        <v>Advance</v>
      </c>
      <c r="K467" s="9">
        <v>6578.0</v>
      </c>
    </row>
    <row r="468" ht="15.75" customHeight="1">
      <c r="A468" s="5" t="s">
        <v>1771</v>
      </c>
      <c r="B468" s="5" t="s">
        <v>521</v>
      </c>
      <c r="C468" s="5" t="s">
        <v>361</v>
      </c>
      <c r="D468" s="5" t="s">
        <v>45</v>
      </c>
      <c r="E468" s="5" t="s">
        <v>49</v>
      </c>
      <c r="F468" s="5" t="s">
        <v>34</v>
      </c>
      <c r="G468" s="6" t="s">
        <v>66</v>
      </c>
      <c r="H468" s="5">
        <v>15.25</v>
      </c>
      <c r="I468" s="5">
        <v>46.0</v>
      </c>
      <c r="J468" s="5" t="str">
        <f t="shared" si="1"/>
        <v>Advance</v>
      </c>
      <c r="K468" s="9">
        <v>6893.0</v>
      </c>
    </row>
    <row r="469" ht="15.75" customHeight="1">
      <c r="A469" s="5" t="s">
        <v>1775</v>
      </c>
      <c r="B469" s="5" t="s">
        <v>510</v>
      </c>
      <c r="C469" s="5" t="s">
        <v>361</v>
      </c>
      <c r="D469" s="5" t="s">
        <v>20</v>
      </c>
      <c r="E469" s="5" t="s">
        <v>52</v>
      </c>
      <c r="F469" s="5" t="s">
        <v>34</v>
      </c>
      <c r="G469" s="6" t="s">
        <v>66</v>
      </c>
      <c r="H469" s="5">
        <v>8.58</v>
      </c>
      <c r="I469" s="5">
        <v>47.0</v>
      </c>
      <c r="J469" s="5" t="str">
        <f t="shared" si="1"/>
        <v>Advance</v>
      </c>
      <c r="K469" s="9">
        <v>12193.0</v>
      </c>
    </row>
    <row r="470" ht="15.75" customHeight="1">
      <c r="A470" s="5" t="s">
        <v>1777</v>
      </c>
      <c r="B470" s="5" t="s">
        <v>430</v>
      </c>
      <c r="C470" s="5" t="s">
        <v>361</v>
      </c>
      <c r="D470" s="5" t="s">
        <v>45</v>
      </c>
      <c r="E470" s="5" t="s">
        <v>49</v>
      </c>
      <c r="F470" s="5" t="s">
        <v>34</v>
      </c>
      <c r="G470" s="6" t="s">
        <v>66</v>
      </c>
      <c r="H470" s="5">
        <v>14.75</v>
      </c>
      <c r="I470" s="5">
        <v>47.0</v>
      </c>
      <c r="J470" s="5" t="str">
        <f t="shared" si="1"/>
        <v>Advance</v>
      </c>
      <c r="K470" s="9">
        <v>5850.0</v>
      </c>
    </row>
    <row r="471" ht="15.75" customHeight="1">
      <c r="A471" s="5" t="s">
        <v>1778</v>
      </c>
      <c r="B471" s="5" t="s">
        <v>603</v>
      </c>
      <c r="C471" s="5" t="s">
        <v>392</v>
      </c>
      <c r="D471" s="5" t="s">
        <v>29</v>
      </c>
      <c r="E471" s="5" t="s">
        <v>32</v>
      </c>
      <c r="F471" s="5" t="s">
        <v>34</v>
      </c>
      <c r="G471" s="6" t="s">
        <v>66</v>
      </c>
      <c r="H471" s="5">
        <v>11.75</v>
      </c>
      <c r="I471" s="5">
        <v>28.0</v>
      </c>
      <c r="J471" s="5" t="str">
        <f t="shared" si="1"/>
        <v>Moderate</v>
      </c>
      <c r="K471" s="9">
        <v>3393.0</v>
      </c>
    </row>
    <row r="472" ht="15.75" customHeight="1">
      <c r="A472" s="5" t="s">
        <v>1780</v>
      </c>
      <c r="B472" s="5" t="s">
        <v>633</v>
      </c>
      <c r="C472" s="5" t="s">
        <v>392</v>
      </c>
      <c r="D472" s="5" t="s">
        <v>20</v>
      </c>
      <c r="E472" s="5" t="s">
        <v>52</v>
      </c>
      <c r="F472" s="5" t="s">
        <v>34</v>
      </c>
      <c r="G472" s="6" t="s">
        <v>66</v>
      </c>
      <c r="H472" s="5">
        <v>23.25</v>
      </c>
      <c r="I472" s="5">
        <v>5.0</v>
      </c>
      <c r="J472" s="5" t="str">
        <f t="shared" si="1"/>
        <v>Last Minute</v>
      </c>
      <c r="K472" s="9">
        <v>11383.0</v>
      </c>
    </row>
    <row r="473" ht="15.75" customHeight="1">
      <c r="A473" s="5" t="s">
        <v>1783</v>
      </c>
      <c r="B473" s="5" t="s">
        <v>630</v>
      </c>
      <c r="C473" s="5" t="s">
        <v>392</v>
      </c>
      <c r="D473" s="5" t="s">
        <v>29</v>
      </c>
      <c r="E473" s="5" t="s">
        <v>32</v>
      </c>
      <c r="F473" s="5" t="s">
        <v>34</v>
      </c>
      <c r="G473" s="6" t="s">
        <v>37</v>
      </c>
      <c r="H473" s="5">
        <v>2.42</v>
      </c>
      <c r="I473" s="5">
        <v>33.0</v>
      </c>
      <c r="J473" s="5" t="str">
        <f t="shared" si="1"/>
        <v>Advance</v>
      </c>
      <c r="K473" s="9">
        <v>3393.0</v>
      </c>
    </row>
    <row r="474" ht="15.75" customHeight="1">
      <c r="A474" s="5" t="s">
        <v>1784</v>
      </c>
      <c r="B474" s="5" t="s">
        <v>550</v>
      </c>
      <c r="C474" s="5" t="s">
        <v>392</v>
      </c>
      <c r="D474" s="5" t="s">
        <v>20</v>
      </c>
      <c r="E474" s="5" t="s">
        <v>52</v>
      </c>
      <c r="F474" s="5" t="s">
        <v>53</v>
      </c>
      <c r="G474" s="6" t="s">
        <v>66</v>
      </c>
      <c r="H474" s="5">
        <v>13.75</v>
      </c>
      <c r="I474" s="5">
        <v>34.0</v>
      </c>
      <c r="J474" s="5" t="str">
        <f t="shared" si="1"/>
        <v>Advance</v>
      </c>
      <c r="K474" s="9">
        <v>51817.0</v>
      </c>
    </row>
    <row r="475" ht="15.75" customHeight="1">
      <c r="A475" s="5" t="s">
        <v>1787</v>
      </c>
      <c r="B475" s="5" t="s">
        <v>553</v>
      </c>
      <c r="C475" s="5" t="s">
        <v>392</v>
      </c>
      <c r="D475" s="5" t="s">
        <v>20</v>
      </c>
      <c r="E475" s="5" t="s">
        <v>52</v>
      </c>
      <c r="F475" s="5" t="s">
        <v>34</v>
      </c>
      <c r="G475" s="6" t="s">
        <v>66</v>
      </c>
      <c r="H475" s="5">
        <v>10.08</v>
      </c>
      <c r="I475" s="5">
        <v>45.0</v>
      </c>
      <c r="J475" s="5" t="str">
        <f t="shared" si="1"/>
        <v>Advance</v>
      </c>
      <c r="K475" s="9">
        <v>8112.0</v>
      </c>
    </row>
    <row r="476" ht="15.75" customHeight="1">
      <c r="A476" s="5" t="s">
        <v>1789</v>
      </c>
      <c r="B476" s="5" t="s">
        <v>650</v>
      </c>
      <c r="C476" s="5" t="s">
        <v>392</v>
      </c>
      <c r="D476" s="5" t="s">
        <v>43</v>
      </c>
      <c r="E476" s="5" t="s">
        <v>68</v>
      </c>
      <c r="F476" s="5" t="s">
        <v>34</v>
      </c>
      <c r="G476" s="6" t="s">
        <v>66</v>
      </c>
      <c r="H476" s="5">
        <v>9.58</v>
      </c>
      <c r="I476" s="5">
        <v>27.0</v>
      </c>
      <c r="J476" s="5" t="str">
        <f t="shared" si="1"/>
        <v>Moderate</v>
      </c>
      <c r="K476" s="9">
        <v>5178.0</v>
      </c>
    </row>
    <row r="477" ht="15.75" customHeight="1">
      <c r="A477" s="5" t="s">
        <v>1792</v>
      </c>
      <c r="B477" s="5" t="s">
        <v>594</v>
      </c>
      <c r="C477" s="5" t="s">
        <v>392</v>
      </c>
      <c r="D477" s="5" t="s">
        <v>45</v>
      </c>
      <c r="E477" s="5" t="s">
        <v>49</v>
      </c>
      <c r="F477" s="5" t="s">
        <v>53</v>
      </c>
      <c r="G477" s="6" t="s">
        <v>66</v>
      </c>
      <c r="H477" s="5">
        <v>25.58</v>
      </c>
      <c r="I477" s="5">
        <v>33.0</v>
      </c>
      <c r="J477" s="5" t="str">
        <f t="shared" si="1"/>
        <v>Advance</v>
      </c>
      <c r="K477" s="9">
        <v>31432.0</v>
      </c>
    </row>
    <row r="478" ht="15.75" customHeight="1">
      <c r="A478" s="5" t="s">
        <v>1795</v>
      </c>
      <c r="B478" s="5" t="s">
        <v>639</v>
      </c>
      <c r="C478" s="5" t="s">
        <v>392</v>
      </c>
      <c r="D478" s="5" t="s">
        <v>72</v>
      </c>
      <c r="E478" s="5" t="s">
        <v>266</v>
      </c>
      <c r="F478" s="5" t="s">
        <v>34</v>
      </c>
      <c r="G478" s="6" t="s">
        <v>66</v>
      </c>
      <c r="H478" s="5">
        <v>13.33</v>
      </c>
      <c r="I478" s="5">
        <v>16.0</v>
      </c>
      <c r="J478" s="5" t="str">
        <f t="shared" si="1"/>
        <v>Moderate</v>
      </c>
      <c r="K478" s="9">
        <v>4814.0</v>
      </c>
    </row>
    <row r="479" ht="15.75" customHeight="1">
      <c r="A479" s="5" t="s">
        <v>1797</v>
      </c>
      <c r="B479" s="5" t="s">
        <v>583</v>
      </c>
      <c r="C479" s="5" t="s">
        <v>392</v>
      </c>
      <c r="D479" s="5" t="s">
        <v>45</v>
      </c>
      <c r="E479" s="5" t="s">
        <v>49</v>
      </c>
      <c r="F479" s="5" t="s">
        <v>34</v>
      </c>
      <c r="G479" s="6" t="s">
        <v>66</v>
      </c>
      <c r="H479" s="5">
        <v>26.08</v>
      </c>
      <c r="I479" s="5">
        <v>26.0</v>
      </c>
      <c r="J479" s="5" t="str">
        <f t="shared" si="1"/>
        <v>Moderate</v>
      </c>
      <c r="K479" s="9">
        <v>5007.0</v>
      </c>
    </row>
    <row r="480" ht="15.75" customHeight="1">
      <c r="A480" s="5" t="s">
        <v>1798</v>
      </c>
      <c r="B480" s="5" t="s">
        <v>574</v>
      </c>
      <c r="C480" s="5" t="s">
        <v>392</v>
      </c>
      <c r="D480" s="5" t="s">
        <v>43</v>
      </c>
      <c r="E480" s="5" t="s">
        <v>68</v>
      </c>
      <c r="F480" s="5" t="s">
        <v>34</v>
      </c>
      <c r="G480" s="6" t="s">
        <v>180</v>
      </c>
      <c r="H480" s="5">
        <v>6.17</v>
      </c>
      <c r="I480" s="5">
        <v>9.0</v>
      </c>
      <c r="J480" s="5" t="str">
        <f t="shared" si="1"/>
        <v>Short Notice</v>
      </c>
      <c r="K480" s="9">
        <v>11478.0</v>
      </c>
    </row>
    <row r="481" ht="15.75" customHeight="1">
      <c r="A481" s="5" t="s">
        <v>1800</v>
      </c>
      <c r="B481" s="5" t="s">
        <v>658</v>
      </c>
      <c r="C481" s="5" t="s">
        <v>392</v>
      </c>
      <c r="D481" s="5" t="s">
        <v>43</v>
      </c>
      <c r="E481" s="5" t="s">
        <v>68</v>
      </c>
      <c r="F481" s="5" t="s">
        <v>34</v>
      </c>
      <c r="G481" s="6" t="s">
        <v>180</v>
      </c>
      <c r="H481" s="5">
        <v>6.75</v>
      </c>
      <c r="I481" s="5">
        <v>2.0</v>
      </c>
      <c r="J481" s="5" t="str">
        <f t="shared" si="1"/>
        <v>Last Minute</v>
      </c>
      <c r="K481" s="9">
        <v>12938.0</v>
      </c>
    </row>
    <row r="482" ht="15.75" customHeight="1">
      <c r="A482" s="5" t="s">
        <v>1803</v>
      </c>
      <c r="B482" s="5" t="s">
        <v>611</v>
      </c>
      <c r="C482" s="5" t="s">
        <v>392</v>
      </c>
      <c r="D482" s="5" t="s">
        <v>20</v>
      </c>
      <c r="E482" s="5" t="s">
        <v>52</v>
      </c>
      <c r="F482" s="5" t="s">
        <v>53</v>
      </c>
      <c r="G482" s="6" t="s">
        <v>66</v>
      </c>
      <c r="H482" s="5">
        <v>25.08</v>
      </c>
      <c r="I482" s="5">
        <v>2.0</v>
      </c>
      <c r="J482" s="5" t="str">
        <f t="shared" si="1"/>
        <v>Last Minute</v>
      </c>
      <c r="K482" s="9">
        <v>73388.0</v>
      </c>
    </row>
    <row r="483" ht="15.75" customHeight="1">
      <c r="A483" s="5" t="s">
        <v>1805</v>
      </c>
      <c r="B483" s="5" t="s">
        <v>652</v>
      </c>
      <c r="C483" s="5" t="s">
        <v>392</v>
      </c>
      <c r="D483" s="5" t="s">
        <v>43</v>
      </c>
      <c r="E483" s="5" t="s">
        <v>68</v>
      </c>
      <c r="F483" s="5" t="s">
        <v>34</v>
      </c>
      <c r="G483" s="6" t="s">
        <v>66</v>
      </c>
      <c r="H483" s="5">
        <v>5.83</v>
      </c>
      <c r="I483" s="5">
        <v>16.0</v>
      </c>
      <c r="J483" s="5" t="str">
        <f t="shared" si="1"/>
        <v>Moderate</v>
      </c>
      <c r="K483" s="9">
        <v>5178.0</v>
      </c>
    </row>
    <row r="484" ht="15.75" customHeight="1">
      <c r="A484" s="5" t="s">
        <v>1806</v>
      </c>
      <c r="B484" s="5" t="s">
        <v>598</v>
      </c>
      <c r="C484" s="5" t="s">
        <v>392</v>
      </c>
      <c r="D484" s="5" t="s">
        <v>45</v>
      </c>
      <c r="E484" s="5" t="s">
        <v>49</v>
      </c>
      <c r="F484" s="5" t="s">
        <v>34</v>
      </c>
      <c r="G484" s="6" t="s">
        <v>66</v>
      </c>
      <c r="H484" s="5">
        <v>5.83</v>
      </c>
      <c r="I484" s="5">
        <v>31.0</v>
      </c>
      <c r="J484" s="5" t="str">
        <f t="shared" si="1"/>
        <v>Advance</v>
      </c>
      <c r="K484" s="9">
        <v>7004.0</v>
      </c>
    </row>
    <row r="485" ht="15.75" customHeight="1">
      <c r="A485" s="5" t="s">
        <v>1808</v>
      </c>
      <c r="B485" s="5" t="s">
        <v>560</v>
      </c>
      <c r="C485" s="5" t="s">
        <v>392</v>
      </c>
      <c r="D485" s="5" t="s">
        <v>45</v>
      </c>
      <c r="E485" s="5" t="s">
        <v>49</v>
      </c>
      <c r="F485" s="5" t="s">
        <v>34</v>
      </c>
      <c r="G485" s="6" t="s">
        <v>66</v>
      </c>
      <c r="H485" s="5">
        <v>13.25</v>
      </c>
      <c r="I485" s="5">
        <v>33.0</v>
      </c>
      <c r="J485" s="5" t="str">
        <f t="shared" si="1"/>
        <v>Advance</v>
      </c>
      <c r="K485" s="9">
        <v>3804.0</v>
      </c>
    </row>
    <row r="486" ht="15.75" customHeight="1">
      <c r="A486" s="5" t="s">
        <v>1810</v>
      </c>
      <c r="B486" s="5" t="s">
        <v>601</v>
      </c>
      <c r="C486" s="5" t="s">
        <v>392</v>
      </c>
      <c r="D486" s="5" t="s">
        <v>72</v>
      </c>
      <c r="E486" s="5" t="s">
        <v>266</v>
      </c>
      <c r="F486" s="5" t="s">
        <v>34</v>
      </c>
      <c r="G486" s="6" t="s">
        <v>37</v>
      </c>
      <c r="H486" s="5">
        <v>2.58</v>
      </c>
      <c r="I486" s="5">
        <v>4.0</v>
      </c>
      <c r="J486" s="5" t="str">
        <f t="shared" si="1"/>
        <v>Last Minute</v>
      </c>
      <c r="K486" s="9">
        <v>5177.0</v>
      </c>
    </row>
    <row r="487" ht="15.75" customHeight="1">
      <c r="A487" s="5" t="s">
        <v>1811</v>
      </c>
      <c r="B487" s="5" t="s">
        <v>626</v>
      </c>
      <c r="C487" s="5" t="s">
        <v>392</v>
      </c>
      <c r="D487" s="5" t="s">
        <v>20</v>
      </c>
      <c r="E487" s="5" t="s">
        <v>52</v>
      </c>
      <c r="F487" s="5" t="s">
        <v>34</v>
      </c>
      <c r="G487" s="6" t="s">
        <v>66</v>
      </c>
      <c r="H487" s="5">
        <v>27.92</v>
      </c>
      <c r="I487" s="5">
        <v>6.0</v>
      </c>
      <c r="J487" s="5" t="str">
        <f t="shared" si="1"/>
        <v>Last Minute</v>
      </c>
      <c r="K487" s="9">
        <v>11205.0</v>
      </c>
    </row>
    <row r="488" ht="15.75" customHeight="1">
      <c r="A488" s="5" t="s">
        <v>1813</v>
      </c>
      <c r="B488" s="5" t="s">
        <v>627</v>
      </c>
      <c r="C488" s="5" t="s">
        <v>392</v>
      </c>
      <c r="D488" s="5" t="s">
        <v>45</v>
      </c>
      <c r="E488" s="5" t="s">
        <v>49</v>
      </c>
      <c r="F488" s="5" t="s">
        <v>34</v>
      </c>
      <c r="G488" s="6" t="s">
        <v>66</v>
      </c>
      <c r="H488" s="5">
        <v>8.67</v>
      </c>
      <c r="I488" s="5">
        <v>4.0</v>
      </c>
      <c r="J488" s="5" t="str">
        <f t="shared" si="1"/>
        <v>Last Minute</v>
      </c>
      <c r="K488" s="9">
        <v>12319.0</v>
      </c>
    </row>
    <row r="489" ht="15.75" customHeight="1">
      <c r="A489" s="5" t="s">
        <v>1814</v>
      </c>
      <c r="B489" s="5" t="s">
        <v>563</v>
      </c>
      <c r="C489" s="5" t="s">
        <v>392</v>
      </c>
      <c r="D489" s="5" t="s">
        <v>20</v>
      </c>
      <c r="E489" s="5" t="s">
        <v>52</v>
      </c>
      <c r="F489" s="5" t="s">
        <v>34</v>
      </c>
      <c r="G489" s="6" t="s">
        <v>66</v>
      </c>
      <c r="H489" s="5">
        <v>20.92</v>
      </c>
      <c r="I489" s="5">
        <v>15.0</v>
      </c>
      <c r="J489" s="5" t="str">
        <f t="shared" si="1"/>
        <v>Short Notice</v>
      </c>
      <c r="K489" s="9">
        <v>12359.0</v>
      </c>
    </row>
    <row r="490" ht="15.75" customHeight="1">
      <c r="A490" s="5" t="s">
        <v>1817</v>
      </c>
      <c r="B490" s="5" t="s">
        <v>567</v>
      </c>
      <c r="C490" s="5" t="s">
        <v>392</v>
      </c>
      <c r="D490" s="5" t="s">
        <v>20</v>
      </c>
      <c r="E490" s="5" t="s">
        <v>52</v>
      </c>
      <c r="F490" s="5" t="s">
        <v>34</v>
      </c>
      <c r="G490" s="6" t="s">
        <v>66</v>
      </c>
      <c r="H490" s="5">
        <v>11.42</v>
      </c>
      <c r="I490" s="5">
        <v>9.0</v>
      </c>
      <c r="J490" s="5" t="str">
        <f t="shared" si="1"/>
        <v>Short Notice</v>
      </c>
      <c r="K490" s="9">
        <v>15154.0</v>
      </c>
    </row>
    <row r="491" ht="15.75" customHeight="1">
      <c r="A491" s="5" t="s">
        <v>1820</v>
      </c>
      <c r="B491" s="5" t="s">
        <v>558</v>
      </c>
      <c r="C491" s="5" t="s">
        <v>392</v>
      </c>
      <c r="D491" s="5" t="s">
        <v>20</v>
      </c>
      <c r="E491" s="5" t="s">
        <v>52</v>
      </c>
      <c r="F491" s="5" t="s">
        <v>34</v>
      </c>
      <c r="G491" s="6" t="s">
        <v>180</v>
      </c>
      <c r="H491" s="5">
        <v>14.83</v>
      </c>
      <c r="I491" s="5">
        <v>5.0</v>
      </c>
      <c r="J491" s="5" t="str">
        <f t="shared" si="1"/>
        <v>Last Minute</v>
      </c>
      <c r="K491" s="9">
        <v>14019.0</v>
      </c>
    </row>
    <row r="492" ht="15.75" customHeight="1">
      <c r="A492" s="5" t="s">
        <v>1822</v>
      </c>
      <c r="B492" s="5" t="s">
        <v>548</v>
      </c>
      <c r="C492" s="5" t="s">
        <v>392</v>
      </c>
      <c r="D492" s="5" t="s">
        <v>20</v>
      </c>
      <c r="E492" s="5" t="s">
        <v>52</v>
      </c>
      <c r="F492" s="5" t="s">
        <v>34</v>
      </c>
      <c r="G492" s="6" t="s">
        <v>180</v>
      </c>
      <c r="H492" s="5">
        <v>23.67</v>
      </c>
      <c r="I492" s="5">
        <v>22.0</v>
      </c>
      <c r="J492" s="5" t="str">
        <f t="shared" si="1"/>
        <v>Moderate</v>
      </c>
      <c r="K492" s="9">
        <v>7106.0</v>
      </c>
    </row>
    <row r="493" ht="15.75" customHeight="1">
      <c r="A493" s="5" t="s">
        <v>1824</v>
      </c>
      <c r="B493" s="5" t="s">
        <v>643</v>
      </c>
      <c r="C493" s="5" t="s">
        <v>392</v>
      </c>
      <c r="D493" s="5" t="s">
        <v>29</v>
      </c>
      <c r="E493" s="5" t="s">
        <v>32</v>
      </c>
      <c r="F493" s="5" t="s">
        <v>34</v>
      </c>
      <c r="G493" s="6" t="s">
        <v>37</v>
      </c>
      <c r="H493" s="5">
        <v>2.75</v>
      </c>
      <c r="I493" s="5">
        <v>6.0</v>
      </c>
      <c r="J493" s="5" t="str">
        <f t="shared" si="1"/>
        <v>Last Minute</v>
      </c>
      <c r="K493" s="9">
        <v>5179.0</v>
      </c>
    </row>
    <row r="494" ht="15.75" customHeight="1">
      <c r="A494" s="5" t="s">
        <v>1826</v>
      </c>
      <c r="B494" s="5" t="s">
        <v>587</v>
      </c>
      <c r="C494" s="5" t="s">
        <v>392</v>
      </c>
      <c r="D494" s="5" t="s">
        <v>45</v>
      </c>
      <c r="E494" s="5" t="s">
        <v>49</v>
      </c>
      <c r="F494" s="5" t="s">
        <v>53</v>
      </c>
      <c r="G494" s="6" t="s">
        <v>66</v>
      </c>
      <c r="H494" s="5">
        <v>23.17</v>
      </c>
      <c r="I494" s="5">
        <v>35.0</v>
      </c>
      <c r="J494" s="5" t="str">
        <f t="shared" si="1"/>
        <v>Advance</v>
      </c>
      <c r="K494" s="9">
        <v>36763.0</v>
      </c>
    </row>
    <row r="495" ht="15.75" customHeight="1">
      <c r="A495" s="5" t="s">
        <v>1827</v>
      </c>
      <c r="B495" s="5" t="s">
        <v>613</v>
      </c>
      <c r="C495" s="5" t="s">
        <v>392</v>
      </c>
      <c r="D495" s="5" t="s">
        <v>20</v>
      </c>
      <c r="E495" s="5" t="s">
        <v>52</v>
      </c>
      <c r="F495" s="5" t="s">
        <v>53</v>
      </c>
      <c r="G495" s="6" t="s">
        <v>66</v>
      </c>
      <c r="H495" s="5">
        <v>25.17</v>
      </c>
      <c r="I495" s="5">
        <v>42.0</v>
      </c>
      <c r="J495" s="5" t="str">
        <f t="shared" si="1"/>
        <v>Advance</v>
      </c>
      <c r="K495" s="9">
        <v>51817.0</v>
      </c>
    </row>
    <row r="496" ht="15.75" customHeight="1">
      <c r="A496" s="5" t="s">
        <v>1829</v>
      </c>
      <c r="B496" s="5" t="s">
        <v>646</v>
      </c>
      <c r="C496" s="5" t="s">
        <v>392</v>
      </c>
      <c r="D496" s="5" t="s">
        <v>20</v>
      </c>
      <c r="E496" s="5" t="s">
        <v>52</v>
      </c>
      <c r="F496" s="5" t="s">
        <v>34</v>
      </c>
      <c r="G496" s="6" t="s">
        <v>66</v>
      </c>
      <c r="H496" s="5">
        <v>22.42</v>
      </c>
      <c r="I496" s="5">
        <v>17.0</v>
      </c>
      <c r="J496" s="5" t="str">
        <f t="shared" si="1"/>
        <v>Moderate</v>
      </c>
      <c r="K496" s="9">
        <v>8322.0</v>
      </c>
    </row>
    <row r="497" ht="15.75" customHeight="1">
      <c r="A497" s="5" t="s">
        <v>1832</v>
      </c>
      <c r="B497" s="5" t="s">
        <v>647</v>
      </c>
      <c r="C497" s="5" t="s">
        <v>392</v>
      </c>
      <c r="D497" s="5" t="s">
        <v>58</v>
      </c>
      <c r="E497" s="5" t="s">
        <v>59</v>
      </c>
      <c r="F497" s="5" t="s">
        <v>34</v>
      </c>
      <c r="G497" s="6" t="s">
        <v>66</v>
      </c>
      <c r="H497" s="5">
        <v>11.75</v>
      </c>
      <c r="I497" s="5">
        <v>26.0</v>
      </c>
      <c r="J497" s="5" t="str">
        <f t="shared" si="1"/>
        <v>Moderate</v>
      </c>
      <c r="K497" s="9">
        <v>6186.0</v>
      </c>
    </row>
    <row r="498" ht="15.75" customHeight="1">
      <c r="A498" s="5" t="s">
        <v>1834</v>
      </c>
      <c r="B498" s="5" t="s">
        <v>617</v>
      </c>
      <c r="C498" s="5" t="s">
        <v>392</v>
      </c>
      <c r="D498" s="5" t="s">
        <v>43</v>
      </c>
      <c r="E498" s="5" t="s">
        <v>68</v>
      </c>
      <c r="F498" s="5" t="s">
        <v>34</v>
      </c>
      <c r="G498" s="6" t="s">
        <v>66</v>
      </c>
      <c r="H498" s="5">
        <v>9.92</v>
      </c>
      <c r="I498" s="5">
        <v>44.0</v>
      </c>
      <c r="J498" s="5" t="str">
        <f t="shared" si="1"/>
        <v>Advance</v>
      </c>
      <c r="K498" s="9">
        <v>4844.0</v>
      </c>
    </row>
    <row r="499" ht="15.75" customHeight="1">
      <c r="A499" s="5" t="s">
        <v>1836</v>
      </c>
      <c r="B499" s="5" t="s">
        <v>591</v>
      </c>
      <c r="C499" s="5" t="s">
        <v>392</v>
      </c>
      <c r="D499" s="5" t="s">
        <v>43</v>
      </c>
      <c r="E499" s="5" t="s">
        <v>68</v>
      </c>
      <c r="F499" s="5" t="s">
        <v>34</v>
      </c>
      <c r="G499" s="6" t="s">
        <v>66</v>
      </c>
      <c r="H499" s="5">
        <v>5.33</v>
      </c>
      <c r="I499" s="5">
        <v>46.0</v>
      </c>
      <c r="J499" s="5" t="str">
        <f t="shared" si="1"/>
        <v>Advance</v>
      </c>
      <c r="K499" s="9">
        <v>3393.0</v>
      </c>
    </row>
    <row r="500" ht="15.75" customHeight="1">
      <c r="A500" s="5" t="s">
        <v>1839</v>
      </c>
      <c r="B500" s="5" t="s">
        <v>607</v>
      </c>
      <c r="C500" s="5" t="s">
        <v>392</v>
      </c>
      <c r="D500" s="5" t="s">
        <v>43</v>
      </c>
      <c r="E500" s="5" t="s">
        <v>68</v>
      </c>
      <c r="F500" s="5" t="s">
        <v>34</v>
      </c>
      <c r="G500" s="6" t="s">
        <v>66</v>
      </c>
      <c r="H500" s="5">
        <v>9.17</v>
      </c>
      <c r="I500" s="5">
        <v>46.0</v>
      </c>
      <c r="J500" s="5" t="str">
        <f t="shared" si="1"/>
        <v>Advance</v>
      </c>
      <c r="K500" s="9">
        <v>3393.0</v>
      </c>
    </row>
    <row r="501" ht="15.75" customHeight="1">
      <c r="A501" s="5" t="s">
        <v>1840</v>
      </c>
      <c r="B501" s="5" t="s">
        <v>581</v>
      </c>
      <c r="C501" s="5" t="s">
        <v>392</v>
      </c>
      <c r="D501" s="5" t="s">
        <v>72</v>
      </c>
      <c r="E501" s="5" t="s">
        <v>266</v>
      </c>
      <c r="F501" s="5" t="s">
        <v>34</v>
      </c>
      <c r="G501" s="6" t="s">
        <v>37</v>
      </c>
      <c r="H501" s="5">
        <v>2.58</v>
      </c>
      <c r="J501" s="5" t="str">
        <f t="shared" si="1"/>
        <v>Last Minute</v>
      </c>
      <c r="K501" s="9">
        <v>3595.0</v>
      </c>
    </row>
    <row r="502" ht="15.75" customHeight="1">
      <c r="A502" s="5" t="s">
        <v>1843</v>
      </c>
      <c r="B502" s="5" t="s">
        <v>565</v>
      </c>
      <c r="C502" s="5" t="s">
        <v>392</v>
      </c>
      <c r="D502" s="5" t="s">
        <v>43</v>
      </c>
      <c r="E502" s="5" t="s">
        <v>68</v>
      </c>
      <c r="F502" s="5" t="s">
        <v>34</v>
      </c>
      <c r="G502" s="6" t="s">
        <v>66</v>
      </c>
      <c r="H502" s="5">
        <v>4.42</v>
      </c>
      <c r="I502" s="5">
        <v>46.0</v>
      </c>
      <c r="J502" s="5" t="str">
        <f t="shared" si="1"/>
        <v>Advance</v>
      </c>
      <c r="K502" s="9">
        <v>4477.0</v>
      </c>
    </row>
    <row r="503" ht="15.75" customHeight="1">
      <c r="A503" s="5" t="s">
        <v>1845</v>
      </c>
      <c r="B503" s="5" t="s">
        <v>622</v>
      </c>
      <c r="C503" s="5" t="s">
        <v>392</v>
      </c>
      <c r="D503" s="5" t="s">
        <v>58</v>
      </c>
      <c r="E503" s="5" t="s">
        <v>59</v>
      </c>
      <c r="F503" s="5" t="s">
        <v>34</v>
      </c>
      <c r="G503" s="6" t="s">
        <v>66</v>
      </c>
      <c r="H503" s="5">
        <v>7.5</v>
      </c>
      <c r="I503" s="5">
        <v>46.0</v>
      </c>
      <c r="J503" s="5" t="str">
        <f t="shared" si="1"/>
        <v>Advance</v>
      </c>
      <c r="K503" s="9">
        <v>6186.0</v>
      </c>
    </row>
    <row r="504" ht="15.75" customHeight="1">
      <c r="A504" s="5" t="s">
        <v>1847</v>
      </c>
      <c r="B504" s="5" t="s">
        <v>619</v>
      </c>
      <c r="C504" s="5" t="s">
        <v>392</v>
      </c>
      <c r="D504" s="5" t="s">
        <v>58</v>
      </c>
      <c r="E504" s="5" t="s">
        <v>59</v>
      </c>
      <c r="F504" s="5" t="s">
        <v>34</v>
      </c>
      <c r="G504" s="6" t="s">
        <v>66</v>
      </c>
      <c r="H504" s="5">
        <v>15.5</v>
      </c>
      <c r="I504" s="5">
        <v>46.0</v>
      </c>
      <c r="J504" s="5" t="str">
        <f t="shared" si="1"/>
        <v>Advance</v>
      </c>
      <c r="K504" s="9">
        <v>6408.0</v>
      </c>
    </row>
    <row r="505" ht="15.75" customHeight="1">
      <c r="A505" s="5" t="s">
        <v>1849</v>
      </c>
      <c r="B505" s="5" t="s">
        <v>656</v>
      </c>
      <c r="C505" s="5" t="s">
        <v>392</v>
      </c>
      <c r="D505" s="5" t="s">
        <v>43</v>
      </c>
      <c r="E505" s="5" t="s">
        <v>68</v>
      </c>
      <c r="F505" s="5" t="s">
        <v>34</v>
      </c>
      <c r="G505" s="6" t="s">
        <v>66</v>
      </c>
      <c r="H505" s="5">
        <v>5.17</v>
      </c>
      <c r="I505" s="5">
        <v>46.0</v>
      </c>
      <c r="J505" s="5" t="str">
        <f t="shared" si="1"/>
        <v>Advance</v>
      </c>
      <c r="K505" s="9">
        <v>6548.0</v>
      </c>
    </row>
    <row r="506" ht="15.75" customHeight="1">
      <c r="A506" s="5" t="s">
        <v>1851</v>
      </c>
      <c r="B506" s="5" t="s">
        <v>634</v>
      </c>
      <c r="C506" s="5" t="s">
        <v>392</v>
      </c>
      <c r="D506" s="5" t="s">
        <v>45</v>
      </c>
      <c r="E506" s="5" t="s">
        <v>49</v>
      </c>
      <c r="F506" s="5" t="s">
        <v>34</v>
      </c>
      <c r="G506" s="6" t="s">
        <v>66</v>
      </c>
      <c r="H506" s="5">
        <v>21.75</v>
      </c>
      <c r="I506" s="5">
        <v>45.0</v>
      </c>
      <c r="J506" s="5" t="str">
        <f t="shared" si="1"/>
        <v>Advance</v>
      </c>
      <c r="K506" s="9">
        <v>6583.0</v>
      </c>
    </row>
    <row r="507" ht="15.75" customHeight="1">
      <c r="A507" s="5" t="s">
        <v>1852</v>
      </c>
      <c r="B507" s="5" t="s">
        <v>586</v>
      </c>
      <c r="C507" s="5" t="s">
        <v>392</v>
      </c>
      <c r="D507" s="5" t="s">
        <v>20</v>
      </c>
      <c r="E507" s="5" t="s">
        <v>52</v>
      </c>
      <c r="F507" s="5" t="s">
        <v>34</v>
      </c>
      <c r="G507" s="6" t="s">
        <v>66</v>
      </c>
      <c r="H507" s="5">
        <v>8.42</v>
      </c>
      <c r="I507" s="5">
        <v>47.0</v>
      </c>
      <c r="J507" s="5" t="str">
        <f t="shared" si="1"/>
        <v>Advance</v>
      </c>
      <c r="K507" s="9">
        <v>6271.0</v>
      </c>
    </row>
    <row r="508" ht="15.75" customHeight="1">
      <c r="A508" s="5" t="s">
        <v>1854</v>
      </c>
      <c r="B508" s="5" t="s">
        <v>637</v>
      </c>
      <c r="C508" s="5" t="s">
        <v>392</v>
      </c>
      <c r="D508" s="5" t="s">
        <v>45</v>
      </c>
      <c r="E508" s="5" t="s">
        <v>49</v>
      </c>
      <c r="F508" s="5" t="s">
        <v>53</v>
      </c>
      <c r="G508" s="6" t="s">
        <v>66</v>
      </c>
      <c r="H508" s="5">
        <v>26.08</v>
      </c>
      <c r="I508" s="5">
        <v>47.0</v>
      </c>
      <c r="J508" s="5" t="str">
        <f t="shared" si="1"/>
        <v>Advance</v>
      </c>
      <c r="K508" s="9">
        <v>31817.0</v>
      </c>
    </row>
    <row r="509" ht="15.75" customHeight="1">
      <c r="A509" s="5" t="s">
        <v>1855</v>
      </c>
      <c r="B509" s="5" t="s">
        <v>702</v>
      </c>
      <c r="C509" s="5" t="s">
        <v>423</v>
      </c>
      <c r="D509" s="5" t="s">
        <v>29</v>
      </c>
      <c r="E509" s="5" t="s">
        <v>32</v>
      </c>
      <c r="F509" s="5" t="s">
        <v>34</v>
      </c>
      <c r="G509" s="6" t="s">
        <v>37</v>
      </c>
      <c r="H509" s="5">
        <v>1.17</v>
      </c>
      <c r="I509" s="5">
        <v>38.0</v>
      </c>
      <c r="J509" s="5" t="str">
        <f t="shared" si="1"/>
        <v>Advance</v>
      </c>
      <c r="K509" s="9">
        <v>1714.0</v>
      </c>
    </row>
    <row r="510" ht="15.75" customHeight="1">
      <c r="A510" s="5" t="s">
        <v>1857</v>
      </c>
      <c r="B510" s="5" t="s">
        <v>715</v>
      </c>
      <c r="C510" s="5" t="s">
        <v>423</v>
      </c>
      <c r="D510" s="5" t="s">
        <v>20</v>
      </c>
      <c r="E510" s="5" t="s">
        <v>52</v>
      </c>
      <c r="F510" s="5" t="s">
        <v>53</v>
      </c>
      <c r="G510" s="6" t="s">
        <v>66</v>
      </c>
      <c r="H510" s="5">
        <v>25.0</v>
      </c>
      <c r="I510" s="5">
        <v>15.0</v>
      </c>
      <c r="J510" s="5" t="str">
        <f t="shared" si="1"/>
        <v>Short Notice</v>
      </c>
      <c r="K510" s="9">
        <v>37985.0</v>
      </c>
    </row>
    <row r="511" ht="15.75" customHeight="1">
      <c r="A511" s="5" t="s">
        <v>1859</v>
      </c>
      <c r="B511" s="5" t="s">
        <v>665</v>
      </c>
      <c r="C511" s="5" t="s">
        <v>423</v>
      </c>
      <c r="D511" s="5" t="s">
        <v>43</v>
      </c>
      <c r="E511" s="5" t="s">
        <v>68</v>
      </c>
      <c r="F511" s="5" t="s">
        <v>34</v>
      </c>
      <c r="G511" s="6" t="s">
        <v>66</v>
      </c>
      <c r="H511" s="5">
        <v>8.0</v>
      </c>
      <c r="I511" s="5">
        <v>1.0</v>
      </c>
      <c r="J511" s="5" t="str">
        <f t="shared" si="1"/>
        <v>Last Minute</v>
      </c>
      <c r="K511" s="9">
        <v>12003.0</v>
      </c>
    </row>
    <row r="512" ht="15.75" customHeight="1">
      <c r="A512" s="5" t="s">
        <v>1860</v>
      </c>
      <c r="B512" s="5" t="s">
        <v>766</v>
      </c>
      <c r="C512" s="5" t="s">
        <v>423</v>
      </c>
      <c r="D512" s="5" t="s">
        <v>20</v>
      </c>
      <c r="E512" s="5" t="s">
        <v>52</v>
      </c>
      <c r="F512" s="5" t="s">
        <v>34</v>
      </c>
      <c r="G512" s="6" t="s">
        <v>66</v>
      </c>
      <c r="H512" s="5">
        <v>23.17</v>
      </c>
      <c r="I512" s="5">
        <v>34.0</v>
      </c>
      <c r="J512" s="5" t="str">
        <f t="shared" si="1"/>
        <v>Advance</v>
      </c>
      <c r="K512" s="9">
        <v>6577.0</v>
      </c>
    </row>
    <row r="513" ht="15.75" customHeight="1">
      <c r="A513" s="5" t="s">
        <v>1863</v>
      </c>
      <c r="B513" s="5" t="s">
        <v>745</v>
      </c>
      <c r="C513" s="5" t="s">
        <v>423</v>
      </c>
      <c r="D513" s="5" t="s">
        <v>45</v>
      </c>
      <c r="E513" s="5" t="s">
        <v>49</v>
      </c>
      <c r="F513" s="5" t="s">
        <v>53</v>
      </c>
      <c r="G513" s="6" t="s">
        <v>66</v>
      </c>
      <c r="H513" s="5">
        <v>21.17</v>
      </c>
      <c r="I513" s="5">
        <v>2.0</v>
      </c>
      <c r="J513" s="5" t="str">
        <f t="shared" si="1"/>
        <v>Last Minute</v>
      </c>
      <c r="K513" s="9">
        <v>59253.0</v>
      </c>
    </row>
    <row r="514" ht="15.75" customHeight="1">
      <c r="A514" s="5" t="s">
        <v>1865</v>
      </c>
      <c r="B514" s="5" t="s">
        <v>662</v>
      </c>
      <c r="C514" s="5" t="s">
        <v>423</v>
      </c>
      <c r="D514" s="5" t="s">
        <v>20</v>
      </c>
      <c r="E514" s="5" t="s">
        <v>52</v>
      </c>
      <c r="F514" s="5" t="s">
        <v>34</v>
      </c>
      <c r="G514" s="6" t="s">
        <v>66</v>
      </c>
      <c r="H514" s="5">
        <v>28.58</v>
      </c>
      <c r="I514" s="5">
        <v>1.0</v>
      </c>
      <c r="J514" s="5" t="str">
        <f t="shared" si="1"/>
        <v>Last Minute</v>
      </c>
      <c r="K514" s="9">
        <v>14150.0</v>
      </c>
    </row>
    <row r="515" ht="15.75" customHeight="1">
      <c r="A515" s="5" t="s">
        <v>1867</v>
      </c>
      <c r="B515" s="5" t="s">
        <v>688</v>
      </c>
      <c r="C515" s="5" t="s">
        <v>423</v>
      </c>
      <c r="D515" s="5" t="s">
        <v>45</v>
      </c>
      <c r="E515" s="5" t="s">
        <v>49</v>
      </c>
      <c r="F515" s="5" t="s">
        <v>34</v>
      </c>
      <c r="G515" s="6" t="s">
        <v>180</v>
      </c>
      <c r="H515" s="5">
        <v>21.5</v>
      </c>
      <c r="I515" s="5">
        <v>1.0</v>
      </c>
      <c r="J515" s="5" t="str">
        <f t="shared" si="1"/>
        <v>Last Minute</v>
      </c>
      <c r="K515" s="9">
        <v>14936.0</v>
      </c>
    </row>
    <row r="516" ht="15.75" customHeight="1">
      <c r="A516" s="5" t="s">
        <v>1868</v>
      </c>
      <c r="B516" s="5" t="s">
        <v>749</v>
      </c>
      <c r="C516" s="5" t="s">
        <v>423</v>
      </c>
      <c r="D516" s="5" t="s">
        <v>45</v>
      </c>
      <c r="E516" s="5" t="s">
        <v>49</v>
      </c>
      <c r="F516" s="5" t="s">
        <v>34</v>
      </c>
      <c r="G516" s="6" t="s">
        <v>180</v>
      </c>
      <c r="H516" s="5">
        <v>20.58</v>
      </c>
      <c r="I516" s="5">
        <v>14.0</v>
      </c>
      <c r="J516" s="5" t="str">
        <f t="shared" si="1"/>
        <v>Short Notice</v>
      </c>
      <c r="K516" s="9">
        <v>12440.0</v>
      </c>
    </row>
    <row r="517" ht="15.75" customHeight="1">
      <c r="A517" s="5" t="s">
        <v>1870</v>
      </c>
      <c r="B517" s="5" t="s">
        <v>693</v>
      </c>
      <c r="C517" s="5" t="s">
        <v>423</v>
      </c>
      <c r="D517" s="5" t="s">
        <v>20</v>
      </c>
      <c r="E517" s="5" t="s">
        <v>52</v>
      </c>
      <c r="F517" s="5" t="s">
        <v>53</v>
      </c>
      <c r="G517" s="6" t="s">
        <v>66</v>
      </c>
      <c r="H517" s="5">
        <v>11.42</v>
      </c>
      <c r="I517" s="5">
        <v>34.0</v>
      </c>
      <c r="J517" s="5" t="str">
        <f t="shared" si="1"/>
        <v>Advance</v>
      </c>
      <c r="K517" s="9">
        <v>56588.0</v>
      </c>
    </row>
    <row r="518" ht="15.75" customHeight="1">
      <c r="A518" s="5" t="s">
        <v>1871</v>
      </c>
      <c r="B518" s="5" t="s">
        <v>672</v>
      </c>
      <c r="C518" s="5" t="s">
        <v>423</v>
      </c>
      <c r="D518" s="5" t="s">
        <v>45</v>
      </c>
      <c r="E518" s="5" t="s">
        <v>49</v>
      </c>
      <c r="F518" s="5" t="s">
        <v>34</v>
      </c>
      <c r="G518" s="6" t="s">
        <v>66</v>
      </c>
      <c r="H518" s="5">
        <v>23.08</v>
      </c>
      <c r="I518" s="5">
        <v>44.0</v>
      </c>
      <c r="J518" s="5" t="str">
        <f t="shared" si="1"/>
        <v>Advance</v>
      </c>
      <c r="K518" s="9">
        <v>10056.0</v>
      </c>
    </row>
    <row r="519" ht="15.75" customHeight="1">
      <c r="A519" s="5" t="s">
        <v>1874</v>
      </c>
      <c r="B519" s="5" t="s">
        <v>763</v>
      </c>
      <c r="C519" s="5" t="s">
        <v>423</v>
      </c>
      <c r="D519" s="5" t="s">
        <v>72</v>
      </c>
      <c r="E519" s="5" t="s">
        <v>266</v>
      </c>
      <c r="F519" s="5" t="s">
        <v>34</v>
      </c>
      <c r="G519" s="6" t="s">
        <v>37</v>
      </c>
      <c r="H519" s="5">
        <v>1.0</v>
      </c>
      <c r="I519" s="5">
        <v>16.0</v>
      </c>
      <c r="J519" s="5" t="str">
        <f t="shared" si="1"/>
        <v>Moderate</v>
      </c>
      <c r="K519" s="9">
        <v>4338.0</v>
      </c>
    </row>
    <row r="520" ht="15.75" customHeight="1">
      <c r="A520" s="5" t="s">
        <v>1876</v>
      </c>
      <c r="B520" s="5" t="s">
        <v>721</v>
      </c>
      <c r="C520" s="5" t="s">
        <v>423</v>
      </c>
      <c r="D520" s="5" t="s">
        <v>43</v>
      </c>
      <c r="E520" s="5" t="s">
        <v>68</v>
      </c>
      <c r="F520" s="5" t="s">
        <v>34</v>
      </c>
      <c r="G520" s="6" t="s">
        <v>66</v>
      </c>
      <c r="H520" s="5">
        <v>4.08</v>
      </c>
      <c r="I520" s="5">
        <v>39.0</v>
      </c>
      <c r="J520" s="5" t="str">
        <f t="shared" si="1"/>
        <v>Advance</v>
      </c>
      <c r="K520" s="9">
        <v>1694.0</v>
      </c>
    </row>
    <row r="521" ht="15.75" customHeight="1">
      <c r="A521" s="5" t="s">
        <v>1879</v>
      </c>
      <c r="B521" s="5" t="s">
        <v>676</v>
      </c>
      <c r="C521" s="5" t="s">
        <v>423</v>
      </c>
      <c r="D521" s="5" t="s">
        <v>45</v>
      </c>
      <c r="E521" s="5" t="s">
        <v>49</v>
      </c>
      <c r="F521" s="5" t="s">
        <v>34</v>
      </c>
      <c r="G521" s="6" t="s">
        <v>66</v>
      </c>
      <c r="H521" s="5">
        <v>19.75</v>
      </c>
      <c r="I521" s="5">
        <v>2.0</v>
      </c>
      <c r="J521" s="5" t="str">
        <f t="shared" si="1"/>
        <v>Last Minute</v>
      </c>
      <c r="K521" s="9">
        <v>10062.0</v>
      </c>
    </row>
    <row r="522" ht="15.75" customHeight="1">
      <c r="A522" s="5" t="s">
        <v>1880</v>
      </c>
      <c r="B522" s="5" t="s">
        <v>712</v>
      </c>
      <c r="C522" s="5" t="s">
        <v>423</v>
      </c>
      <c r="D522" s="5" t="s">
        <v>29</v>
      </c>
      <c r="E522" s="5" t="s">
        <v>32</v>
      </c>
      <c r="F522" s="5" t="s">
        <v>34</v>
      </c>
      <c r="G522" s="6" t="s">
        <v>66</v>
      </c>
      <c r="H522" s="5">
        <v>3.67</v>
      </c>
      <c r="I522" s="5">
        <v>10.0</v>
      </c>
      <c r="J522" s="5" t="str">
        <f t="shared" si="1"/>
        <v>Short Notice</v>
      </c>
      <c r="K522" s="9">
        <v>4336.0</v>
      </c>
    </row>
    <row r="523" ht="15.75" customHeight="1">
      <c r="A523" s="5" t="s">
        <v>1882</v>
      </c>
      <c r="B523" s="5" t="s">
        <v>748</v>
      </c>
      <c r="C523" s="5" t="s">
        <v>423</v>
      </c>
      <c r="D523" s="5" t="s">
        <v>45</v>
      </c>
      <c r="E523" s="5" t="s">
        <v>49</v>
      </c>
      <c r="F523" s="5" t="s">
        <v>34</v>
      </c>
      <c r="G523" s="6" t="s">
        <v>66</v>
      </c>
      <c r="H523" s="5">
        <v>35.42</v>
      </c>
      <c r="I523" s="5">
        <v>27.0</v>
      </c>
      <c r="J523" s="5" t="str">
        <f t="shared" si="1"/>
        <v>Moderate</v>
      </c>
      <c r="K523" s="9">
        <v>10090.0</v>
      </c>
    </row>
    <row r="524" ht="15.75" customHeight="1">
      <c r="A524" s="5" t="s">
        <v>1884</v>
      </c>
      <c r="B524" s="5" t="s">
        <v>759</v>
      </c>
      <c r="C524" s="5" t="s">
        <v>423</v>
      </c>
      <c r="D524" s="5" t="s">
        <v>20</v>
      </c>
      <c r="E524" s="5" t="s">
        <v>52</v>
      </c>
      <c r="F524" s="5" t="s">
        <v>34</v>
      </c>
      <c r="G524" s="6" t="s">
        <v>66</v>
      </c>
      <c r="H524" s="5">
        <v>10.33</v>
      </c>
      <c r="I524" s="5">
        <v>31.0</v>
      </c>
      <c r="J524" s="5" t="str">
        <f t="shared" si="1"/>
        <v>Advance</v>
      </c>
      <c r="K524" s="9">
        <v>6885.0</v>
      </c>
    </row>
    <row r="525" ht="15.75" customHeight="1">
      <c r="A525" s="5" t="s">
        <v>1886</v>
      </c>
      <c r="B525" s="5" t="s">
        <v>679</v>
      </c>
      <c r="C525" s="5" t="s">
        <v>423</v>
      </c>
      <c r="D525" s="5" t="s">
        <v>58</v>
      </c>
      <c r="E525" s="5" t="s">
        <v>59</v>
      </c>
      <c r="F525" s="5" t="s">
        <v>34</v>
      </c>
      <c r="G525" s="6" t="s">
        <v>66</v>
      </c>
      <c r="H525" s="5">
        <v>15.33</v>
      </c>
      <c r="J525" s="5" t="str">
        <f t="shared" si="1"/>
        <v>Last Minute</v>
      </c>
      <c r="K525" s="9">
        <v>4337.0</v>
      </c>
    </row>
    <row r="526" ht="15.75" customHeight="1">
      <c r="A526" s="5" t="s">
        <v>1888</v>
      </c>
      <c r="B526" s="5" t="s">
        <v>684</v>
      </c>
      <c r="C526" s="5" t="s">
        <v>423</v>
      </c>
      <c r="D526" s="5" t="s">
        <v>45</v>
      </c>
      <c r="E526" s="5" t="s">
        <v>49</v>
      </c>
      <c r="F526" s="5" t="s">
        <v>34</v>
      </c>
      <c r="G526" s="6" t="s">
        <v>66</v>
      </c>
      <c r="H526" s="5">
        <v>29.67</v>
      </c>
      <c r="I526" s="5">
        <v>4.0</v>
      </c>
      <c r="J526" s="5" t="str">
        <f t="shared" si="1"/>
        <v>Last Minute</v>
      </c>
      <c r="K526" s="9">
        <v>12385.0</v>
      </c>
    </row>
    <row r="527" ht="15.75" customHeight="1">
      <c r="A527" s="5" t="s">
        <v>1889</v>
      </c>
      <c r="B527" s="5" t="s">
        <v>730</v>
      </c>
      <c r="C527" s="5" t="s">
        <v>423</v>
      </c>
      <c r="D527" s="5" t="s">
        <v>72</v>
      </c>
      <c r="E527" s="5" t="s">
        <v>266</v>
      </c>
      <c r="F527" s="5" t="s">
        <v>34</v>
      </c>
      <c r="G527" s="6" t="s">
        <v>37</v>
      </c>
      <c r="H527" s="5">
        <v>1.08</v>
      </c>
      <c r="I527" s="5">
        <v>7.0</v>
      </c>
      <c r="J527" s="5" t="str">
        <f t="shared" si="1"/>
        <v>Last Minute</v>
      </c>
      <c r="K527" s="9">
        <v>4338.0</v>
      </c>
    </row>
    <row r="528" ht="15.75" customHeight="1">
      <c r="A528" s="5" t="s">
        <v>1891</v>
      </c>
      <c r="B528" s="5" t="s">
        <v>770</v>
      </c>
      <c r="C528" s="5" t="s">
        <v>423</v>
      </c>
      <c r="D528" s="5" t="s">
        <v>20</v>
      </c>
      <c r="E528" s="5" t="s">
        <v>52</v>
      </c>
      <c r="F528" s="5" t="s">
        <v>53</v>
      </c>
      <c r="G528" s="6" t="s">
        <v>66</v>
      </c>
      <c r="H528" s="5">
        <v>13.17</v>
      </c>
      <c r="I528" s="5">
        <v>38.0</v>
      </c>
      <c r="J528" s="5" t="str">
        <f t="shared" si="1"/>
        <v>Advance</v>
      </c>
      <c r="K528" s="9">
        <v>56588.0</v>
      </c>
    </row>
    <row r="529" ht="15.75" customHeight="1">
      <c r="A529" s="5" t="s">
        <v>1893</v>
      </c>
      <c r="B529" s="5" t="s">
        <v>691</v>
      </c>
      <c r="C529" s="5" t="s">
        <v>423</v>
      </c>
      <c r="D529" s="5" t="s">
        <v>20</v>
      </c>
      <c r="E529" s="5" t="s">
        <v>52</v>
      </c>
      <c r="F529" s="5" t="s">
        <v>34</v>
      </c>
      <c r="G529" s="6" t="s">
        <v>66</v>
      </c>
      <c r="H529" s="5">
        <v>19.83</v>
      </c>
      <c r="I529" s="5">
        <v>44.0</v>
      </c>
      <c r="J529" s="5" t="str">
        <f t="shared" si="1"/>
        <v>Advance</v>
      </c>
      <c r="K529" s="9">
        <v>6892.0</v>
      </c>
    </row>
    <row r="530" ht="15.75" customHeight="1">
      <c r="A530" s="5" t="s">
        <v>1894</v>
      </c>
      <c r="B530" s="5" t="s">
        <v>696</v>
      </c>
      <c r="C530" s="5" t="s">
        <v>423</v>
      </c>
      <c r="D530" s="5" t="s">
        <v>20</v>
      </c>
      <c r="E530" s="5" t="s">
        <v>52</v>
      </c>
      <c r="F530" s="5" t="s">
        <v>53</v>
      </c>
      <c r="G530" s="6" t="s">
        <v>66</v>
      </c>
      <c r="H530" s="5">
        <v>7.25</v>
      </c>
      <c r="I530" s="5">
        <v>37.0</v>
      </c>
      <c r="J530" s="5" t="str">
        <f t="shared" si="1"/>
        <v>Advance</v>
      </c>
      <c r="K530" s="9">
        <v>56588.0</v>
      </c>
    </row>
    <row r="531" ht="15.75" customHeight="1">
      <c r="A531" s="5" t="s">
        <v>1897</v>
      </c>
      <c r="B531" s="5" t="s">
        <v>774</v>
      </c>
      <c r="C531" s="5" t="s">
        <v>423</v>
      </c>
      <c r="D531" s="5" t="s">
        <v>43</v>
      </c>
      <c r="E531" s="5" t="s">
        <v>68</v>
      </c>
      <c r="F531" s="5" t="s">
        <v>34</v>
      </c>
      <c r="G531" s="6" t="s">
        <v>66</v>
      </c>
      <c r="H531" s="5">
        <v>8.83</v>
      </c>
      <c r="I531" s="5">
        <v>25.0</v>
      </c>
      <c r="J531" s="5" t="str">
        <f t="shared" si="1"/>
        <v>Moderate</v>
      </c>
      <c r="K531" s="9">
        <v>3354.0</v>
      </c>
    </row>
    <row r="532" ht="15.75" customHeight="1">
      <c r="A532" s="5" t="s">
        <v>1898</v>
      </c>
      <c r="B532" s="5" t="s">
        <v>717</v>
      </c>
      <c r="C532" s="5" t="s">
        <v>423</v>
      </c>
      <c r="D532" s="5" t="s">
        <v>45</v>
      </c>
      <c r="E532" s="5" t="s">
        <v>49</v>
      </c>
      <c r="F532" s="5" t="s">
        <v>53</v>
      </c>
      <c r="G532" s="6" t="s">
        <v>66</v>
      </c>
      <c r="H532" s="5">
        <v>14.42</v>
      </c>
      <c r="I532" s="5">
        <v>34.0</v>
      </c>
      <c r="J532" s="5" t="str">
        <f t="shared" si="1"/>
        <v>Advance</v>
      </c>
      <c r="K532" s="9">
        <v>56476.0</v>
      </c>
    </row>
    <row r="533" ht="15.75" customHeight="1">
      <c r="A533" s="5" t="s">
        <v>1900</v>
      </c>
      <c r="B533" s="5" t="s">
        <v>739</v>
      </c>
      <c r="C533" s="5" t="s">
        <v>423</v>
      </c>
      <c r="D533" s="5" t="s">
        <v>20</v>
      </c>
      <c r="E533" s="5" t="s">
        <v>52</v>
      </c>
      <c r="F533" s="5" t="s">
        <v>34</v>
      </c>
      <c r="G533" s="6" t="s">
        <v>66</v>
      </c>
      <c r="H533" s="5">
        <v>33.0</v>
      </c>
      <c r="I533" s="5">
        <v>7.0</v>
      </c>
      <c r="J533" s="5" t="str">
        <f t="shared" si="1"/>
        <v>Last Minute</v>
      </c>
      <c r="K533" s="9">
        <v>7336.0</v>
      </c>
    </row>
    <row r="534" ht="15.75" customHeight="1">
      <c r="A534" s="5" t="s">
        <v>1903</v>
      </c>
      <c r="B534" s="5" t="s">
        <v>736</v>
      </c>
      <c r="C534" s="5" t="s">
        <v>423</v>
      </c>
      <c r="D534" s="5" t="s">
        <v>20</v>
      </c>
      <c r="E534" s="5" t="s">
        <v>52</v>
      </c>
      <c r="F534" s="5" t="s">
        <v>34</v>
      </c>
      <c r="G534" s="6" t="s">
        <v>180</v>
      </c>
      <c r="H534" s="5">
        <v>29.5</v>
      </c>
      <c r="I534" s="5">
        <v>7.0</v>
      </c>
      <c r="J534" s="5" t="str">
        <f t="shared" si="1"/>
        <v>Last Minute</v>
      </c>
      <c r="K534" s="9">
        <v>16286.0</v>
      </c>
    </row>
    <row r="535" ht="15.75" customHeight="1">
      <c r="A535" s="5" t="s">
        <v>1904</v>
      </c>
      <c r="B535" s="5" t="s">
        <v>734</v>
      </c>
      <c r="C535" s="5" t="s">
        <v>423</v>
      </c>
      <c r="D535" s="5" t="s">
        <v>45</v>
      </c>
      <c r="E535" s="5" t="s">
        <v>49</v>
      </c>
      <c r="F535" s="5" t="s">
        <v>53</v>
      </c>
      <c r="G535" s="6" t="s">
        <v>180</v>
      </c>
      <c r="H535" s="5">
        <v>20.42</v>
      </c>
      <c r="I535" s="5">
        <v>33.0</v>
      </c>
      <c r="J535" s="5" t="str">
        <f t="shared" si="1"/>
        <v>Advance</v>
      </c>
      <c r="K535" s="9">
        <v>7336.0</v>
      </c>
    </row>
    <row r="536" ht="15.75" customHeight="1">
      <c r="A536" s="5" t="s">
        <v>1906</v>
      </c>
      <c r="B536" s="5" t="s">
        <v>706</v>
      </c>
      <c r="C536" s="5" t="s">
        <v>423</v>
      </c>
      <c r="D536" s="5" t="s">
        <v>45</v>
      </c>
      <c r="E536" s="5" t="s">
        <v>49</v>
      </c>
      <c r="F536" s="5" t="s">
        <v>34</v>
      </c>
      <c r="G536" s="6" t="s">
        <v>180</v>
      </c>
      <c r="H536" s="5">
        <v>16.67</v>
      </c>
      <c r="I536" s="5">
        <v>14.0</v>
      </c>
      <c r="J536" s="5" t="str">
        <f t="shared" si="1"/>
        <v>Short Notice</v>
      </c>
      <c r="K536" s="9">
        <v>14314.0</v>
      </c>
    </row>
    <row r="537" ht="15.75" customHeight="1">
      <c r="A537" s="5" t="s">
        <v>1908</v>
      </c>
      <c r="B537" s="5" t="s">
        <v>687</v>
      </c>
      <c r="C537" s="5" t="s">
        <v>423</v>
      </c>
      <c r="D537" s="5" t="s">
        <v>45</v>
      </c>
      <c r="E537" s="5" t="s">
        <v>49</v>
      </c>
      <c r="F537" s="5" t="s">
        <v>34</v>
      </c>
      <c r="G537" s="6" t="s">
        <v>180</v>
      </c>
      <c r="H537" s="5">
        <v>25.5</v>
      </c>
      <c r="I537" s="5">
        <v>14.0</v>
      </c>
      <c r="J537" s="5" t="str">
        <f t="shared" si="1"/>
        <v>Short Notice</v>
      </c>
      <c r="K537" s="9">
        <v>14314.0</v>
      </c>
    </row>
    <row r="538" ht="15.75" customHeight="1">
      <c r="A538" s="5" t="s">
        <v>1909</v>
      </c>
      <c r="B538" s="5" t="s">
        <v>725</v>
      </c>
      <c r="C538" s="5" t="s">
        <v>423</v>
      </c>
      <c r="D538" s="5" t="s">
        <v>45</v>
      </c>
      <c r="E538" s="5" t="s">
        <v>49</v>
      </c>
      <c r="F538" s="5" t="s">
        <v>34</v>
      </c>
      <c r="G538" s="6" t="s">
        <v>180</v>
      </c>
      <c r="H538" s="5">
        <v>17.42</v>
      </c>
      <c r="I538" s="5">
        <v>15.0</v>
      </c>
      <c r="J538" s="5" t="str">
        <f t="shared" si="1"/>
        <v>Short Notice</v>
      </c>
      <c r="K538" s="9">
        <v>14839.0</v>
      </c>
    </row>
    <row r="539" ht="15.75" customHeight="1">
      <c r="A539" s="5" t="s">
        <v>1911</v>
      </c>
      <c r="B539" s="5" t="s">
        <v>673</v>
      </c>
      <c r="C539" s="5" t="s">
        <v>423</v>
      </c>
      <c r="D539" s="5" t="s">
        <v>20</v>
      </c>
      <c r="E539" s="5" t="s">
        <v>52</v>
      </c>
      <c r="F539" s="5" t="s">
        <v>34</v>
      </c>
      <c r="G539" s="6" t="s">
        <v>66</v>
      </c>
      <c r="H539" s="5">
        <v>13.75</v>
      </c>
      <c r="J539" s="5" t="str">
        <f t="shared" si="1"/>
        <v>Last Minute</v>
      </c>
      <c r="K539" s="9">
        <v>5743.0</v>
      </c>
    </row>
    <row r="540" ht="15.75" customHeight="1">
      <c r="A540" s="5" t="s">
        <v>1912</v>
      </c>
      <c r="B540" s="5" t="s">
        <v>728</v>
      </c>
      <c r="C540" s="5" t="s">
        <v>423</v>
      </c>
      <c r="D540" s="5" t="s">
        <v>43</v>
      </c>
      <c r="E540" s="5" t="s">
        <v>68</v>
      </c>
      <c r="F540" s="5" t="s">
        <v>34</v>
      </c>
      <c r="G540" s="6" t="s">
        <v>66</v>
      </c>
      <c r="H540" s="5">
        <v>8.42</v>
      </c>
      <c r="I540" s="5">
        <v>46.0</v>
      </c>
      <c r="J540" s="5" t="str">
        <f t="shared" si="1"/>
        <v>Advance</v>
      </c>
      <c r="K540" s="9">
        <v>1694.0</v>
      </c>
    </row>
    <row r="541" ht="15.75" customHeight="1">
      <c r="A541" s="5" t="s">
        <v>1914</v>
      </c>
      <c r="B541" s="5" t="s">
        <v>700</v>
      </c>
      <c r="C541" s="5" t="s">
        <v>423</v>
      </c>
      <c r="D541" s="5" t="s">
        <v>43</v>
      </c>
      <c r="E541" s="5" t="s">
        <v>68</v>
      </c>
      <c r="F541" s="5" t="s">
        <v>34</v>
      </c>
      <c r="G541" s="6" t="s">
        <v>66</v>
      </c>
      <c r="H541" s="5">
        <v>3.67</v>
      </c>
      <c r="I541" s="5">
        <v>46.0</v>
      </c>
      <c r="J541" s="5" t="str">
        <f t="shared" si="1"/>
        <v>Advance</v>
      </c>
      <c r="K541" s="9">
        <v>1694.0</v>
      </c>
    </row>
    <row r="542" ht="15.75" customHeight="1">
      <c r="A542" s="5" t="s">
        <v>1916</v>
      </c>
      <c r="B542" s="5" t="s">
        <v>757</v>
      </c>
      <c r="C542" s="5" t="s">
        <v>423</v>
      </c>
      <c r="D542" s="5" t="s">
        <v>43</v>
      </c>
      <c r="E542" s="5" t="s">
        <v>68</v>
      </c>
      <c r="F542" s="5" t="s">
        <v>34</v>
      </c>
      <c r="G542" s="6" t="s">
        <v>66</v>
      </c>
      <c r="H542" s="5">
        <v>6.17</v>
      </c>
      <c r="I542" s="5">
        <v>46.0</v>
      </c>
      <c r="J542" s="5" t="str">
        <f t="shared" si="1"/>
        <v>Advance</v>
      </c>
      <c r="K542" s="9">
        <v>1694.0</v>
      </c>
    </row>
    <row r="543" ht="15.75" customHeight="1">
      <c r="A543" s="5" t="s">
        <v>1918</v>
      </c>
      <c r="B543" s="5" t="s">
        <v>680</v>
      </c>
      <c r="C543" s="5" t="s">
        <v>423</v>
      </c>
      <c r="D543" s="5" t="s">
        <v>43</v>
      </c>
      <c r="E543" s="5" t="s">
        <v>68</v>
      </c>
      <c r="F543" s="5" t="s">
        <v>34</v>
      </c>
      <c r="G543" s="6" t="s">
        <v>37</v>
      </c>
      <c r="H543" s="5">
        <v>1.17</v>
      </c>
      <c r="I543" s="5">
        <v>46.0</v>
      </c>
      <c r="J543" s="5" t="str">
        <f t="shared" si="1"/>
        <v>Advance</v>
      </c>
      <c r="K543" s="9">
        <v>2343.0</v>
      </c>
    </row>
    <row r="544" ht="15.75" customHeight="1">
      <c r="A544" s="5" t="s">
        <v>1920</v>
      </c>
      <c r="B544" s="5" t="s">
        <v>667</v>
      </c>
      <c r="C544" s="5" t="s">
        <v>423</v>
      </c>
      <c r="D544" s="5" t="s">
        <v>58</v>
      </c>
      <c r="E544" s="5" t="s">
        <v>59</v>
      </c>
      <c r="F544" s="5" t="s">
        <v>34</v>
      </c>
      <c r="G544" s="6" t="s">
        <v>66</v>
      </c>
      <c r="H544" s="5">
        <v>8.42</v>
      </c>
      <c r="I544" s="5">
        <v>46.0</v>
      </c>
      <c r="J544" s="5" t="str">
        <f t="shared" si="1"/>
        <v>Advance</v>
      </c>
      <c r="K544" s="9">
        <v>4366.0</v>
      </c>
    </row>
    <row r="545" ht="15.75" customHeight="1">
      <c r="A545" s="5" t="s">
        <v>1922</v>
      </c>
      <c r="B545" s="5" t="s">
        <v>659</v>
      </c>
      <c r="C545" s="5" t="s">
        <v>423</v>
      </c>
      <c r="D545" s="5" t="s">
        <v>45</v>
      </c>
      <c r="E545" s="5" t="s">
        <v>49</v>
      </c>
      <c r="F545" s="5" t="s">
        <v>34</v>
      </c>
      <c r="G545" s="6" t="s">
        <v>66</v>
      </c>
      <c r="H545" s="5">
        <v>26.83</v>
      </c>
      <c r="I545" s="5">
        <v>46.0</v>
      </c>
      <c r="J545" s="5" t="str">
        <f t="shared" si="1"/>
        <v>Advance</v>
      </c>
      <c r="K545" s="9">
        <v>6200.0</v>
      </c>
    </row>
    <row r="546" ht="15.75" customHeight="1">
      <c r="A546" s="5" t="s">
        <v>1923</v>
      </c>
      <c r="B546" s="5" t="s">
        <v>709</v>
      </c>
      <c r="C546" s="5" t="s">
        <v>423</v>
      </c>
      <c r="D546" s="5" t="s">
        <v>20</v>
      </c>
      <c r="E546" s="5" t="s">
        <v>52</v>
      </c>
      <c r="F546" s="5" t="s">
        <v>53</v>
      </c>
      <c r="G546" s="6" t="s">
        <v>66</v>
      </c>
      <c r="H546" s="5">
        <v>12.83</v>
      </c>
      <c r="I546" s="5">
        <v>48.0</v>
      </c>
      <c r="J546" s="5" t="str">
        <f t="shared" si="1"/>
        <v>Advance</v>
      </c>
      <c r="K546" s="9">
        <v>56588.0</v>
      </c>
    </row>
    <row r="547" ht="15.75" customHeight="1">
      <c r="A547" s="5" t="s">
        <v>1925</v>
      </c>
      <c r="B547" s="5" t="s">
        <v>754</v>
      </c>
      <c r="C547" s="5" t="s">
        <v>423</v>
      </c>
      <c r="D547" s="5" t="s">
        <v>45</v>
      </c>
      <c r="E547" s="5" t="s">
        <v>49</v>
      </c>
      <c r="F547" s="5" t="s">
        <v>34</v>
      </c>
      <c r="G547" s="6" t="s">
        <v>66</v>
      </c>
      <c r="H547" s="5">
        <v>22.08</v>
      </c>
      <c r="I547" s="5">
        <v>47.0</v>
      </c>
      <c r="J547" s="5" t="str">
        <f t="shared" si="1"/>
        <v>Advance</v>
      </c>
      <c r="K547" s="9">
        <v>3174.0</v>
      </c>
    </row>
    <row r="548" ht="15.75" customHeight="1">
      <c r="A548" s="5" t="s">
        <v>1926</v>
      </c>
      <c r="B548" s="5" t="s">
        <v>782</v>
      </c>
      <c r="C548" s="5" t="s">
        <v>452</v>
      </c>
      <c r="D548" s="5" t="s">
        <v>20</v>
      </c>
      <c r="E548" s="5" t="s">
        <v>52</v>
      </c>
      <c r="F548" s="5" t="s">
        <v>34</v>
      </c>
      <c r="G548" s="6" t="s">
        <v>66</v>
      </c>
      <c r="H548" s="5">
        <v>25.42</v>
      </c>
      <c r="I548" s="5">
        <v>1.0</v>
      </c>
      <c r="J548" s="5" t="str">
        <f t="shared" si="1"/>
        <v>Last Minute</v>
      </c>
      <c r="K548" s="9">
        <v>12454.0</v>
      </c>
    </row>
    <row r="549" ht="15.75" customHeight="1">
      <c r="A549" s="5" t="s">
        <v>1927</v>
      </c>
      <c r="B549" s="5" t="s">
        <v>814</v>
      </c>
      <c r="C549" s="5" t="s">
        <v>452</v>
      </c>
      <c r="D549" s="5" t="s">
        <v>20</v>
      </c>
      <c r="E549" s="5" t="s">
        <v>52</v>
      </c>
      <c r="F549" s="5" t="s">
        <v>34</v>
      </c>
      <c r="G549" s="6" t="s">
        <v>66</v>
      </c>
      <c r="H549" s="5">
        <v>28.92</v>
      </c>
      <c r="I549" s="5">
        <v>2.0</v>
      </c>
      <c r="J549" s="5" t="str">
        <f t="shared" si="1"/>
        <v>Last Minute</v>
      </c>
      <c r="K549" s="9">
        <v>12454.0</v>
      </c>
    </row>
    <row r="550" ht="15.75" customHeight="1">
      <c r="A550" s="5" t="s">
        <v>1929</v>
      </c>
      <c r="B550" s="5" t="s">
        <v>896</v>
      </c>
      <c r="C550" s="5" t="s">
        <v>452</v>
      </c>
      <c r="D550" s="5" t="s">
        <v>45</v>
      </c>
      <c r="E550" s="5" t="s">
        <v>49</v>
      </c>
      <c r="F550" s="5" t="s">
        <v>34</v>
      </c>
      <c r="G550" s="6" t="s">
        <v>66</v>
      </c>
      <c r="H550" s="5">
        <v>10.25</v>
      </c>
      <c r="I550" s="5">
        <v>36.0</v>
      </c>
      <c r="J550" s="5" t="str">
        <f t="shared" si="1"/>
        <v>Advance</v>
      </c>
      <c r="K550" s="9">
        <v>6444.0</v>
      </c>
    </row>
    <row r="551" ht="15.75" customHeight="1">
      <c r="A551" s="5" t="s">
        <v>1931</v>
      </c>
      <c r="B551" s="5" t="s">
        <v>847</v>
      </c>
      <c r="C551" s="5" t="s">
        <v>452</v>
      </c>
      <c r="D551" s="5" t="s">
        <v>20</v>
      </c>
      <c r="E551" s="5" t="s">
        <v>52</v>
      </c>
      <c r="F551" s="5" t="s">
        <v>34</v>
      </c>
      <c r="G551" s="6">
        <v>1.0</v>
      </c>
      <c r="H551" s="5">
        <v>22.42</v>
      </c>
      <c r="I551" s="5">
        <v>28.0</v>
      </c>
      <c r="J551" s="5" t="str">
        <f t="shared" si="1"/>
        <v>Moderate</v>
      </c>
      <c r="K551" s="9">
        <v>6161.0</v>
      </c>
    </row>
    <row r="552" ht="15.75" customHeight="1">
      <c r="A552" s="5" t="s">
        <v>1932</v>
      </c>
      <c r="B552" s="5" t="s">
        <v>928</v>
      </c>
      <c r="C552" s="5" t="s">
        <v>452</v>
      </c>
      <c r="D552" s="5" t="s">
        <v>45</v>
      </c>
      <c r="E552" s="5" t="s">
        <v>49</v>
      </c>
      <c r="F552" s="5" t="s">
        <v>34</v>
      </c>
      <c r="G552" s="6" t="s">
        <v>66</v>
      </c>
      <c r="H552" s="5">
        <v>25.17</v>
      </c>
      <c r="I552" s="5">
        <v>1.0</v>
      </c>
      <c r="J552" s="5" t="str">
        <f t="shared" si="1"/>
        <v>Last Minute</v>
      </c>
      <c r="K552" s="9">
        <v>15364.0</v>
      </c>
    </row>
    <row r="553" ht="15.75" customHeight="1">
      <c r="A553" s="5" t="s">
        <v>1935</v>
      </c>
      <c r="B553" s="5" t="s">
        <v>865</v>
      </c>
      <c r="C553" s="5" t="s">
        <v>452</v>
      </c>
      <c r="D553" s="5" t="s">
        <v>45</v>
      </c>
      <c r="E553" s="5" t="s">
        <v>49</v>
      </c>
      <c r="F553" s="5" t="s">
        <v>53</v>
      </c>
      <c r="G553" s="6" t="s">
        <v>66</v>
      </c>
      <c r="H553" s="5">
        <v>26.58</v>
      </c>
      <c r="I553" s="5">
        <v>1.0</v>
      </c>
      <c r="J553" s="5" t="str">
        <f t="shared" si="1"/>
        <v>Last Minute</v>
      </c>
      <c r="K553" s="9">
        <v>65445.0</v>
      </c>
    </row>
    <row r="554" ht="15.75" customHeight="1">
      <c r="A554" s="5" t="s">
        <v>1937</v>
      </c>
      <c r="B554" s="5" t="s">
        <v>857</v>
      </c>
      <c r="C554" s="5" t="s">
        <v>452</v>
      </c>
      <c r="D554" s="5" t="s">
        <v>45</v>
      </c>
      <c r="E554" s="5" t="s">
        <v>49</v>
      </c>
      <c r="F554" s="5" t="s">
        <v>53</v>
      </c>
      <c r="G554" s="6" t="s">
        <v>66</v>
      </c>
      <c r="H554" s="5">
        <v>19.58</v>
      </c>
      <c r="I554" s="5">
        <v>42.0</v>
      </c>
      <c r="J554" s="5" t="str">
        <f t="shared" si="1"/>
        <v>Advance</v>
      </c>
      <c r="K554" s="9">
        <v>60396.0</v>
      </c>
    </row>
    <row r="555" ht="15.75" customHeight="1">
      <c r="A555" s="5" t="s">
        <v>1940</v>
      </c>
      <c r="B555" s="5" t="s">
        <v>923</v>
      </c>
      <c r="C555" s="5" t="s">
        <v>452</v>
      </c>
      <c r="D555" s="5" t="s">
        <v>45</v>
      </c>
      <c r="E555" s="5" t="s">
        <v>49</v>
      </c>
      <c r="F555" s="5" t="s">
        <v>53</v>
      </c>
      <c r="G555" s="6" t="s">
        <v>66</v>
      </c>
      <c r="H555" s="5">
        <v>22.5</v>
      </c>
      <c r="I555" s="5">
        <v>20.0</v>
      </c>
      <c r="J555" s="5" t="str">
        <f t="shared" si="1"/>
        <v>Moderate</v>
      </c>
      <c r="K555" s="9">
        <v>60396.0</v>
      </c>
    </row>
    <row r="556" ht="15.75" customHeight="1">
      <c r="A556" s="5" t="s">
        <v>1941</v>
      </c>
      <c r="B556" s="5" t="s">
        <v>817</v>
      </c>
      <c r="C556" s="5" t="s">
        <v>452</v>
      </c>
      <c r="D556" s="5" t="s">
        <v>20</v>
      </c>
      <c r="E556" s="5" t="s">
        <v>52</v>
      </c>
      <c r="F556" s="5" t="s">
        <v>34</v>
      </c>
      <c r="G556" s="6" t="s">
        <v>66</v>
      </c>
      <c r="H556" s="5">
        <v>15.92</v>
      </c>
      <c r="I556" s="5">
        <v>46.0</v>
      </c>
      <c r="J556" s="5" t="str">
        <f t="shared" si="1"/>
        <v>Advance</v>
      </c>
      <c r="K556" s="9">
        <v>4792.0</v>
      </c>
    </row>
    <row r="557" ht="15.75" customHeight="1">
      <c r="A557" s="5" t="s">
        <v>1944</v>
      </c>
      <c r="B557" s="5" t="s">
        <v>876</v>
      </c>
      <c r="C557" s="5" t="s">
        <v>452</v>
      </c>
      <c r="D557" s="5" t="s">
        <v>72</v>
      </c>
      <c r="E557" s="5" t="s">
        <v>266</v>
      </c>
      <c r="F557" s="5" t="s">
        <v>34</v>
      </c>
      <c r="G557" s="6" t="s">
        <v>37</v>
      </c>
      <c r="H557" s="5">
        <v>1.08</v>
      </c>
      <c r="I557" s="5">
        <v>39.0</v>
      </c>
      <c r="J557" s="5" t="str">
        <f t="shared" si="1"/>
        <v>Advance</v>
      </c>
      <c r="K557" s="9">
        <v>1606.0</v>
      </c>
    </row>
    <row r="558" ht="15.75" customHeight="1">
      <c r="A558" s="5" t="s">
        <v>1946</v>
      </c>
      <c r="B558" s="5" t="s">
        <v>829</v>
      </c>
      <c r="C558" s="5" t="s">
        <v>452</v>
      </c>
      <c r="D558" s="5" t="s">
        <v>45</v>
      </c>
      <c r="E558" s="5" t="s">
        <v>49</v>
      </c>
      <c r="F558" s="5" t="s">
        <v>34</v>
      </c>
      <c r="G558" s="6" t="s">
        <v>180</v>
      </c>
      <c r="H558" s="5">
        <v>25.92</v>
      </c>
      <c r="I558" s="5">
        <v>31.0</v>
      </c>
      <c r="J558" s="5" t="str">
        <f t="shared" si="1"/>
        <v>Advance</v>
      </c>
      <c r="K558" s="9">
        <v>5539.0</v>
      </c>
    </row>
    <row r="559" ht="15.75" customHeight="1">
      <c r="A559" s="5" t="s">
        <v>1949</v>
      </c>
      <c r="B559" s="5" t="s">
        <v>840</v>
      </c>
      <c r="C559" s="5" t="s">
        <v>452</v>
      </c>
      <c r="D559" s="5" t="s">
        <v>45</v>
      </c>
      <c r="E559" s="5" t="s">
        <v>49</v>
      </c>
      <c r="F559" s="5" t="s">
        <v>34</v>
      </c>
      <c r="G559" s="6" t="s">
        <v>66</v>
      </c>
      <c r="H559" s="5">
        <v>25.5</v>
      </c>
      <c r="I559" s="5">
        <v>33.0</v>
      </c>
      <c r="J559" s="5" t="str">
        <f t="shared" si="1"/>
        <v>Advance</v>
      </c>
      <c r="K559" s="9">
        <v>3174.0</v>
      </c>
    </row>
    <row r="560" ht="15.75" customHeight="1">
      <c r="A560" s="5" t="s">
        <v>1951</v>
      </c>
      <c r="B560" s="5" t="s">
        <v>915</v>
      </c>
      <c r="C560" s="5" t="s">
        <v>452</v>
      </c>
      <c r="D560" s="5" t="s">
        <v>72</v>
      </c>
      <c r="E560" s="5" t="s">
        <v>266</v>
      </c>
      <c r="F560" s="5" t="s">
        <v>34</v>
      </c>
      <c r="G560" s="6" t="s">
        <v>37</v>
      </c>
      <c r="H560" s="5">
        <v>1.08</v>
      </c>
      <c r="I560" s="5">
        <v>13.0</v>
      </c>
      <c r="J560" s="5" t="str">
        <f t="shared" si="1"/>
        <v>Short Notice</v>
      </c>
      <c r="K560" s="9">
        <v>3497.0</v>
      </c>
    </row>
    <row r="561" ht="15.75" customHeight="1">
      <c r="A561" s="5" t="s">
        <v>1953</v>
      </c>
      <c r="B561" s="5" t="s">
        <v>861</v>
      </c>
      <c r="C561" s="5" t="s">
        <v>452</v>
      </c>
      <c r="D561" s="5" t="s">
        <v>20</v>
      </c>
      <c r="E561" s="5" t="s">
        <v>52</v>
      </c>
      <c r="F561" s="5" t="s">
        <v>34</v>
      </c>
      <c r="G561" s="6" t="s">
        <v>66</v>
      </c>
      <c r="H561" s="5">
        <v>26.17</v>
      </c>
      <c r="I561" s="5">
        <v>44.0</v>
      </c>
      <c r="J561" s="5" t="str">
        <f t="shared" si="1"/>
        <v>Advance</v>
      </c>
      <c r="K561" s="9">
        <v>4672.0</v>
      </c>
    </row>
    <row r="562" ht="15.75" customHeight="1">
      <c r="A562" s="5" t="s">
        <v>1954</v>
      </c>
      <c r="B562" s="5" t="s">
        <v>909</v>
      </c>
      <c r="C562" s="5" t="s">
        <v>452</v>
      </c>
      <c r="D562" s="5" t="s">
        <v>45</v>
      </c>
      <c r="E562" s="5" t="s">
        <v>49</v>
      </c>
      <c r="F562" s="5" t="s">
        <v>34</v>
      </c>
      <c r="G562" s="6" t="s">
        <v>66</v>
      </c>
      <c r="H562" s="5">
        <v>26.5</v>
      </c>
      <c r="I562" s="5">
        <v>4.0</v>
      </c>
      <c r="J562" s="5" t="str">
        <f t="shared" si="1"/>
        <v>Last Minute</v>
      </c>
      <c r="K562" s="9">
        <v>15994.0</v>
      </c>
    </row>
    <row r="563" ht="15.75" customHeight="1">
      <c r="A563" s="5" t="s">
        <v>1956</v>
      </c>
      <c r="B563" s="5" t="s">
        <v>854</v>
      </c>
      <c r="C563" s="5" t="s">
        <v>452</v>
      </c>
      <c r="D563" s="5" t="s">
        <v>20</v>
      </c>
      <c r="E563" s="5" t="s">
        <v>52</v>
      </c>
      <c r="F563" s="5" t="s">
        <v>34</v>
      </c>
      <c r="G563" s="6" t="s">
        <v>66</v>
      </c>
      <c r="H563" s="5">
        <v>10.75</v>
      </c>
      <c r="I563" s="5">
        <v>44.0</v>
      </c>
      <c r="J563" s="5" t="str">
        <f t="shared" si="1"/>
        <v>Advance</v>
      </c>
      <c r="K563" s="9">
        <v>6120.0</v>
      </c>
    </row>
    <row r="564" ht="15.75" customHeight="1">
      <c r="A564" s="5" t="s">
        <v>1958</v>
      </c>
      <c r="B564" s="5" t="s">
        <v>926</v>
      </c>
      <c r="C564" s="5" t="s">
        <v>452</v>
      </c>
      <c r="D564" s="5" t="s">
        <v>20</v>
      </c>
      <c r="E564" s="5" t="s">
        <v>52</v>
      </c>
      <c r="F564" s="5" t="s">
        <v>53</v>
      </c>
      <c r="G564" s="6" t="s">
        <v>66</v>
      </c>
      <c r="H564" s="5">
        <v>22.25</v>
      </c>
      <c r="I564" s="5">
        <v>39.0</v>
      </c>
      <c r="J564" s="5" t="str">
        <f t="shared" si="1"/>
        <v>Advance</v>
      </c>
      <c r="K564" s="9">
        <v>44280.0</v>
      </c>
    </row>
    <row r="565" ht="15.75" customHeight="1">
      <c r="A565" s="5" t="s">
        <v>1959</v>
      </c>
      <c r="B565" s="5" t="s">
        <v>786</v>
      </c>
      <c r="C565" s="5" t="s">
        <v>452</v>
      </c>
      <c r="D565" s="5" t="s">
        <v>20</v>
      </c>
      <c r="E565" s="5" t="s">
        <v>52</v>
      </c>
      <c r="F565" s="5" t="s">
        <v>34</v>
      </c>
      <c r="G565" s="6" t="s">
        <v>66</v>
      </c>
      <c r="H565" s="5">
        <v>24.33</v>
      </c>
      <c r="I565" s="5">
        <v>9.0</v>
      </c>
      <c r="J565" s="5" t="str">
        <f t="shared" si="1"/>
        <v>Short Notice</v>
      </c>
      <c r="K565" s="9">
        <v>9866.0</v>
      </c>
    </row>
    <row r="566" ht="15.75" customHeight="1">
      <c r="A566" s="5" t="s">
        <v>1961</v>
      </c>
      <c r="B566" s="5" t="s">
        <v>796</v>
      </c>
      <c r="C566" s="5" t="s">
        <v>452</v>
      </c>
      <c r="D566" s="5" t="s">
        <v>45</v>
      </c>
      <c r="E566" s="5" t="s">
        <v>49</v>
      </c>
      <c r="F566" s="5" t="s">
        <v>34</v>
      </c>
      <c r="G566" s="6" t="s">
        <v>180</v>
      </c>
      <c r="H566" s="5">
        <v>37.58</v>
      </c>
      <c r="I566" s="5">
        <v>5.0</v>
      </c>
      <c r="J566" s="5" t="str">
        <f t="shared" si="1"/>
        <v>Last Minute</v>
      </c>
      <c r="K566" s="9">
        <v>11637.0</v>
      </c>
    </row>
    <row r="567" ht="15.75" customHeight="1">
      <c r="A567" s="5" t="s">
        <v>1963</v>
      </c>
      <c r="B567" s="5" t="s">
        <v>867</v>
      </c>
      <c r="C567" s="5" t="s">
        <v>452</v>
      </c>
      <c r="D567" s="5" t="s">
        <v>20</v>
      </c>
      <c r="E567" s="5" t="s">
        <v>52</v>
      </c>
      <c r="F567" s="5" t="s">
        <v>34</v>
      </c>
      <c r="G567" s="6" t="s">
        <v>180</v>
      </c>
      <c r="H567" s="5">
        <v>12.92</v>
      </c>
      <c r="I567" s="5">
        <v>33.0</v>
      </c>
      <c r="J567" s="5" t="str">
        <f t="shared" si="1"/>
        <v>Advance</v>
      </c>
      <c r="K567" s="9">
        <v>7336.0</v>
      </c>
    </row>
    <row r="568" ht="15.75" customHeight="1">
      <c r="A568" s="5" t="s">
        <v>1964</v>
      </c>
      <c r="B568" s="5" t="s">
        <v>871</v>
      </c>
      <c r="C568" s="5" t="s">
        <v>452</v>
      </c>
      <c r="D568" s="5" t="s">
        <v>45</v>
      </c>
      <c r="E568" s="5" t="s">
        <v>49</v>
      </c>
      <c r="F568" s="5" t="s">
        <v>34</v>
      </c>
      <c r="G568" s="6" t="s">
        <v>66</v>
      </c>
      <c r="H568" s="5">
        <v>21.08</v>
      </c>
      <c r="I568" s="5">
        <v>5.0</v>
      </c>
      <c r="J568" s="5" t="str">
        <f t="shared" si="1"/>
        <v>Last Minute</v>
      </c>
      <c r="K568" s="9">
        <v>12949.0</v>
      </c>
    </row>
    <row r="569" ht="15.75" customHeight="1">
      <c r="A569" s="5" t="s">
        <v>1967</v>
      </c>
      <c r="B569" s="5" t="s">
        <v>912</v>
      </c>
      <c r="C569" s="5" t="s">
        <v>452</v>
      </c>
      <c r="D569" s="5" t="s">
        <v>45</v>
      </c>
      <c r="E569" s="5" t="s">
        <v>49</v>
      </c>
      <c r="F569" s="5" t="s">
        <v>34</v>
      </c>
      <c r="G569" s="6" t="s">
        <v>66</v>
      </c>
      <c r="H569" s="5">
        <v>36.83</v>
      </c>
      <c r="I569" s="5">
        <v>40.0</v>
      </c>
      <c r="J569" s="5" t="str">
        <f t="shared" si="1"/>
        <v>Advance</v>
      </c>
      <c r="K569" s="9">
        <v>5148.0</v>
      </c>
    </row>
    <row r="570" ht="15.75" customHeight="1">
      <c r="A570" s="5" t="s">
        <v>1969</v>
      </c>
      <c r="B570" s="5" t="s">
        <v>904</v>
      </c>
      <c r="C570" s="5" t="s">
        <v>452</v>
      </c>
      <c r="D570" s="5" t="s">
        <v>45</v>
      </c>
      <c r="E570" s="5" t="s">
        <v>49</v>
      </c>
      <c r="F570" s="5" t="s">
        <v>34</v>
      </c>
      <c r="G570" s="6" t="s">
        <v>66</v>
      </c>
      <c r="H570" s="5">
        <v>13.75</v>
      </c>
      <c r="I570" s="5">
        <v>6.0</v>
      </c>
      <c r="J570" s="5" t="str">
        <f t="shared" si="1"/>
        <v>Last Minute</v>
      </c>
      <c r="K570" s="9">
        <v>8592.0</v>
      </c>
    </row>
    <row r="571" ht="15.75" customHeight="1">
      <c r="A571" s="5" t="s">
        <v>1971</v>
      </c>
      <c r="B571" s="5" t="s">
        <v>842</v>
      </c>
      <c r="C571" s="5" t="s">
        <v>452</v>
      </c>
      <c r="D571" s="5" t="s">
        <v>45</v>
      </c>
      <c r="E571" s="5" t="s">
        <v>49</v>
      </c>
      <c r="F571" s="5" t="s">
        <v>53</v>
      </c>
      <c r="G571" s="6" t="s">
        <v>180</v>
      </c>
      <c r="H571" s="5">
        <v>9.5</v>
      </c>
      <c r="I571" s="5">
        <v>35.0</v>
      </c>
      <c r="J571" s="5" t="str">
        <f t="shared" si="1"/>
        <v>Advance</v>
      </c>
      <c r="K571" s="9">
        <v>52064.0</v>
      </c>
    </row>
    <row r="572" ht="15.75" customHeight="1">
      <c r="A572" s="5" t="s">
        <v>1973</v>
      </c>
      <c r="B572" s="5" t="s">
        <v>837</v>
      </c>
      <c r="C572" s="5" t="s">
        <v>452</v>
      </c>
      <c r="D572" s="5" t="s">
        <v>20</v>
      </c>
      <c r="E572" s="5" t="s">
        <v>52</v>
      </c>
      <c r="F572" s="5" t="s">
        <v>34</v>
      </c>
      <c r="G572" s="6" t="s">
        <v>180</v>
      </c>
      <c r="H572" s="5">
        <v>24.0</v>
      </c>
      <c r="I572" s="5">
        <v>9.0</v>
      </c>
      <c r="J572" s="5" t="str">
        <f t="shared" si="1"/>
        <v>Short Notice</v>
      </c>
      <c r="K572" s="9">
        <v>13930.0</v>
      </c>
    </row>
    <row r="573" ht="15.75" customHeight="1">
      <c r="A573" s="5" t="s">
        <v>1974</v>
      </c>
      <c r="B573" s="5" t="s">
        <v>901</v>
      </c>
      <c r="C573" s="5" t="s">
        <v>452</v>
      </c>
      <c r="D573" s="5" t="s">
        <v>45</v>
      </c>
      <c r="E573" s="5" t="s">
        <v>49</v>
      </c>
      <c r="F573" s="5" t="s">
        <v>34</v>
      </c>
      <c r="G573" s="6" t="s">
        <v>180</v>
      </c>
      <c r="H573" s="5">
        <v>21.08</v>
      </c>
      <c r="I573" s="5">
        <v>17.0</v>
      </c>
      <c r="J573" s="5" t="str">
        <f t="shared" si="1"/>
        <v>Moderate</v>
      </c>
      <c r="K573" s="9">
        <v>6586.0</v>
      </c>
    </row>
    <row r="574" ht="15.75" customHeight="1">
      <c r="A574" s="5" t="s">
        <v>1976</v>
      </c>
      <c r="B574" s="5" t="s">
        <v>778</v>
      </c>
      <c r="C574" s="5" t="s">
        <v>452</v>
      </c>
      <c r="D574" s="5" t="s">
        <v>29</v>
      </c>
      <c r="E574" s="5" t="s">
        <v>32</v>
      </c>
      <c r="F574" s="5" t="s">
        <v>34</v>
      </c>
      <c r="G574" s="6" t="s">
        <v>37</v>
      </c>
      <c r="H574" s="5">
        <v>1.0</v>
      </c>
      <c r="I574" s="5">
        <v>26.0</v>
      </c>
      <c r="J574" s="5" t="str">
        <f t="shared" si="1"/>
        <v>Moderate</v>
      </c>
      <c r="K574" s="9">
        <v>7336.0</v>
      </c>
    </row>
    <row r="575" ht="15.75" customHeight="1">
      <c r="A575" s="5" t="s">
        <v>1978</v>
      </c>
      <c r="B575" s="5" t="s">
        <v>790</v>
      </c>
      <c r="C575" s="5" t="s">
        <v>452</v>
      </c>
      <c r="D575" s="5" t="s">
        <v>58</v>
      </c>
      <c r="E575" s="5" t="s">
        <v>59</v>
      </c>
      <c r="F575" s="5" t="s">
        <v>34</v>
      </c>
      <c r="G575" s="6" t="s">
        <v>66</v>
      </c>
      <c r="H575" s="5">
        <v>12.67</v>
      </c>
      <c r="I575" s="5">
        <v>42.0</v>
      </c>
      <c r="J575" s="5" t="str">
        <f t="shared" si="1"/>
        <v>Advance</v>
      </c>
      <c r="K575" s="9">
        <v>4687.0</v>
      </c>
    </row>
    <row r="576" ht="15.75" customHeight="1">
      <c r="A576" s="5" t="s">
        <v>1980</v>
      </c>
      <c r="B576" s="5" t="s">
        <v>935</v>
      </c>
      <c r="C576" s="5" t="s">
        <v>452</v>
      </c>
      <c r="D576" s="5" t="s">
        <v>45</v>
      </c>
      <c r="E576" s="5" t="s">
        <v>49</v>
      </c>
      <c r="F576" s="5" t="s">
        <v>34</v>
      </c>
      <c r="G576" s="6" t="s">
        <v>66</v>
      </c>
      <c r="H576" s="5">
        <v>16.08</v>
      </c>
      <c r="I576" s="5">
        <v>19.0</v>
      </c>
      <c r="J576" s="5" t="str">
        <f t="shared" si="1"/>
        <v>Moderate</v>
      </c>
      <c r="K576" s="9">
        <v>7336.0</v>
      </c>
    </row>
    <row r="577" ht="15.75" customHeight="1">
      <c r="A577" s="5" t="s">
        <v>1981</v>
      </c>
      <c r="B577" s="5" t="s">
        <v>801</v>
      </c>
      <c r="C577" s="5" t="s">
        <v>452</v>
      </c>
      <c r="D577" s="5" t="s">
        <v>45</v>
      </c>
      <c r="E577" s="5" t="s">
        <v>49</v>
      </c>
      <c r="F577" s="5" t="s">
        <v>34</v>
      </c>
      <c r="G577" s="6" t="s">
        <v>66</v>
      </c>
      <c r="H577" s="5">
        <v>28.33</v>
      </c>
      <c r="I577" s="5">
        <v>19.0</v>
      </c>
      <c r="J577" s="5" t="str">
        <f t="shared" si="1"/>
        <v>Moderate</v>
      </c>
      <c r="K577" s="9">
        <v>8156.0</v>
      </c>
    </row>
    <row r="578" ht="15.75" customHeight="1">
      <c r="A578" s="5" t="s">
        <v>1983</v>
      </c>
      <c r="B578" s="5" t="s">
        <v>887</v>
      </c>
      <c r="C578" s="5" t="s">
        <v>452</v>
      </c>
      <c r="D578" s="5" t="s">
        <v>20</v>
      </c>
      <c r="E578" s="5" t="s">
        <v>52</v>
      </c>
      <c r="F578" s="5" t="s">
        <v>34</v>
      </c>
      <c r="G578" s="6" t="s">
        <v>66</v>
      </c>
      <c r="H578" s="5">
        <v>23.08</v>
      </c>
      <c r="I578" s="5">
        <v>45.0</v>
      </c>
      <c r="J578" s="5" t="str">
        <f t="shared" si="1"/>
        <v>Advance</v>
      </c>
      <c r="K578" s="9">
        <v>6510.0</v>
      </c>
    </row>
    <row r="579" ht="15.75" customHeight="1">
      <c r="A579" s="5" t="s">
        <v>1985</v>
      </c>
      <c r="B579" s="5" t="s">
        <v>844</v>
      </c>
      <c r="C579" s="5" t="s">
        <v>452</v>
      </c>
      <c r="D579" s="5" t="s">
        <v>58</v>
      </c>
      <c r="E579" s="5" t="s">
        <v>59</v>
      </c>
      <c r="F579" s="5" t="s">
        <v>34</v>
      </c>
      <c r="G579" s="6" t="s">
        <v>66</v>
      </c>
      <c r="H579" s="5">
        <v>11.75</v>
      </c>
      <c r="I579" s="5">
        <v>44.0</v>
      </c>
      <c r="J579" s="5" t="str">
        <f t="shared" si="1"/>
        <v>Advance</v>
      </c>
      <c r="K579" s="9">
        <v>4687.0</v>
      </c>
    </row>
    <row r="580" ht="15.75" customHeight="1">
      <c r="A580" s="5" t="s">
        <v>1987</v>
      </c>
      <c r="B580" s="5" t="s">
        <v>806</v>
      </c>
      <c r="C580" s="5" t="s">
        <v>452</v>
      </c>
      <c r="D580" s="5" t="s">
        <v>45</v>
      </c>
      <c r="E580" s="5" t="s">
        <v>49</v>
      </c>
      <c r="F580" s="5" t="s">
        <v>34</v>
      </c>
      <c r="G580" s="6" t="s">
        <v>66</v>
      </c>
      <c r="H580" s="5">
        <v>12.42</v>
      </c>
      <c r="I580" s="5">
        <v>44.0</v>
      </c>
      <c r="J580" s="5" t="str">
        <f t="shared" si="1"/>
        <v>Advance</v>
      </c>
      <c r="K580" s="9">
        <v>5221.0</v>
      </c>
    </row>
    <row r="581" ht="15.75" customHeight="1">
      <c r="A581" s="5" t="s">
        <v>1989</v>
      </c>
      <c r="B581" s="5" t="s">
        <v>931</v>
      </c>
      <c r="C581" s="5" t="s">
        <v>452</v>
      </c>
      <c r="D581" s="5" t="s">
        <v>45</v>
      </c>
      <c r="E581" s="5" t="s">
        <v>49</v>
      </c>
      <c r="F581" s="5" t="s">
        <v>34</v>
      </c>
      <c r="G581" s="6" t="s">
        <v>66</v>
      </c>
      <c r="H581" s="5">
        <v>25.83</v>
      </c>
      <c r="I581" s="5">
        <v>44.0</v>
      </c>
      <c r="J581" s="5" t="str">
        <f t="shared" si="1"/>
        <v>Advance</v>
      </c>
      <c r="K581" s="9">
        <v>5846.0</v>
      </c>
    </row>
    <row r="582" ht="15.75" customHeight="1">
      <c r="A582" s="5" t="s">
        <v>1990</v>
      </c>
      <c r="B582" s="5" t="s">
        <v>919</v>
      </c>
      <c r="C582" s="5" t="s">
        <v>452</v>
      </c>
      <c r="D582" s="5" t="s">
        <v>43</v>
      </c>
      <c r="E582" s="5" t="s">
        <v>68</v>
      </c>
      <c r="F582" s="5" t="s">
        <v>34</v>
      </c>
      <c r="G582" s="6" t="s">
        <v>37</v>
      </c>
      <c r="H582" s="5">
        <v>1.0</v>
      </c>
      <c r="I582" s="5">
        <v>46.0</v>
      </c>
      <c r="J582" s="5" t="str">
        <f t="shared" si="1"/>
        <v>Advance</v>
      </c>
      <c r="K582" s="9">
        <v>1604.0</v>
      </c>
    </row>
    <row r="583" ht="15.75" customHeight="1">
      <c r="A583" s="5" t="s">
        <v>1992</v>
      </c>
      <c r="B583" s="5" t="s">
        <v>831</v>
      </c>
      <c r="C583" s="5" t="s">
        <v>452</v>
      </c>
      <c r="D583" s="5" t="s">
        <v>43</v>
      </c>
      <c r="E583" s="5" t="s">
        <v>68</v>
      </c>
      <c r="F583" s="5" t="s">
        <v>34</v>
      </c>
      <c r="G583" s="6" t="s">
        <v>37</v>
      </c>
      <c r="H583" s="5">
        <v>1.17</v>
      </c>
      <c r="I583" s="5">
        <v>46.0</v>
      </c>
      <c r="J583" s="5" t="str">
        <f t="shared" si="1"/>
        <v>Advance</v>
      </c>
      <c r="K583" s="9">
        <v>1604.0</v>
      </c>
    </row>
    <row r="584" ht="15.75" customHeight="1">
      <c r="A584" s="5" t="s">
        <v>1994</v>
      </c>
      <c r="B584" s="5" t="s">
        <v>890</v>
      </c>
      <c r="C584" s="5" t="s">
        <v>452</v>
      </c>
      <c r="D584" s="5" t="s">
        <v>58</v>
      </c>
      <c r="E584" s="5" t="s">
        <v>59</v>
      </c>
      <c r="F584" s="5" t="s">
        <v>34</v>
      </c>
      <c r="G584" s="6" t="s">
        <v>66</v>
      </c>
      <c r="H584" s="5">
        <v>7.92</v>
      </c>
      <c r="I584" s="5">
        <v>46.0</v>
      </c>
      <c r="J584" s="5" t="str">
        <f t="shared" si="1"/>
        <v>Advance</v>
      </c>
      <c r="K584" s="9">
        <v>7336.0</v>
      </c>
    </row>
    <row r="585" ht="15.75" customHeight="1">
      <c r="A585" s="5" t="s">
        <v>1995</v>
      </c>
      <c r="B585" s="5" t="s">
        <v>834</v>
      </c>
      <c r="C585" s="5" t="s">
        <v>452</v>
      </c>
      <c r="D585" s="5" t="s">
        <v>58</v>
      </c>
      <c r="E585" s="5" t="s">
        <v>59</v>
      </c>
      <c r="F585" s="5" t="s">
        <v>34</v>
      </c>
      <c r="G585" s="6" t="s">
        <v>66</v>
      </c>
      <c r="H585" s="5">
        <v>9.33</v>
      </c>
      <c r="I585" s="5">
        <v>46.0</v>
      </c>
      <c r="J585" s="5" t="str">
        <f t="shared" si="1"/>
        <v>Advance</v>
      </c>
      <c r="K585" s="9">
        <v>4687.0</v>
      </c>
    </row>
    <row r="586" ht="15.75" customHeight="1">
      <c r="A586" s="5" t="s">
        <v>1997</v>
      </c>
      <c r="B586" s="5" t="s">
        <v>809</v>
      </c>
      <c r="C586" s="5" t="s">
        <v>452</v>
      </c>
      <c r="D586" s="5" t="s">
        <v>45</v>
      </c>
      <c r="E586" s="5" t="s">
        <v>49</v>
      </c>
      <c r="F586" s="5" t="s">
        <v>34</v>
      </c>
      <c r="G586" s="6" t="s">
        <v>66</v>
      </c>
      <c r="H586" s="5">
        <v>6.0</v>
      </c>
      <c r="I586" s="5">
        <v>49.0</v>
      </c>
      <c r="J586" s="5" t="str">
        <f t="shared" si="1"/>
        <v>Advance</v>
      </c>
      <c r="K586" s="9">
        <v>6269.0</v>
      </c>
    </row>
    <row r="587" ht="15.75" customHeight="1">
      <c r="A587" s="5" t="s">
        <v>2000</v>
      </c>
      <c r="B587" s="5" t="s">
        <v>882</v>
      </c>
      <c r="C587" s="5" t="s">
        <v>452</v>
      </c>
      <c r="D587" s="5" t="s">
        <v>45</v>
      </c>
      <c r="E587" s="5" t="s">
        <v>49</v>
      </c>
      <c r="F587" s="5" t="s">
        <v>53</v>
      </c>
      <c r="G587" s="6" t="s">
        <v>66</v>
      </c>
      <c r="H587" s="5">
        <v>47.75</v>
      </c>
      <c r="I587" s="5">
        <v>47.0</v>
      </c>
      <c r="J587" s="5" t="str">
        <f t="shared" si="1"/>
        <v>Advance</v>
      </c>
      <c r="K587" s="9">
        <v>55122.0</v>
      </c>
    </row>
    <row r="588" ht="15.75" customHeight="1">
      <c r="A588" s="5" t="s">
        <v>2003</v>
      </c>
      <c r="B588" s="5" t="s">
        <v>1066</v>
      </c>
      <c r="C588" s="5" t="s">
        <v>475</v>
      </c>
      <c r="D588" s="5" t="s">
        <v>43</v>
      </c>
      <c r="E588" s="5" t="s">
        <v>68</v>
      </c>
      <c r="F588" s="5" t="s">
        <v>34</v>
      </c>
      <c r="G588" s="6" t="s">
        <v>37</v>
      </c>
      <c r="H588" s="5">
        <v>2.42</v>
      </c>
      <c r="I588" s="5">
        <v>23.0</v>
      </c>
      <c r="J588" s="5" t="str">
        <f t="shared" si="1"/>
        <v>Moderate</v>
      </c>
      <c r="K588" s="9">
        <v>4809.0</v>
      </c>
    </row>
    <row r="589" ht="15.75" customHeight="1">
      <c r="A589" s="5" t="s">
        <v>2005</v>
      </c>
      <c r="B589" s="5" t="s">
        <v>1088</v>
      </c>
      <c r="C589" s="5" t="s">
        <v>475</v>
      </c>
      <c r="D589" s="5" t="s">
        <v>43</v>
      </c>
      <c r="E589" s="5" t="s">
        <v>68</v>
      </c>
      <c r="F589" s="5" t="s">
        <v>34</v>
      </c>
      <c r="G589" s="6" t="s">
        <v>66</v>
      </c>
      <c r="H589" s="5">
        <v>9.25</v>
      </c>
      <c r="I589" s="5">
        <v>1.0</v>
      </c>
      <c r="J589" s="5" t="str">
        <f t="shared" si="1"/>
        <v>Last Minute</v>
      </c>
      <c r="K589" s="9">
        <v>11267.0</v>
      </c>
    </row>
    <row r="590" ht="15.75" customHeight="1">
      <c r="A590" s="5" t="s">
        <v>2007</v>
      </c>
      <c r="B590" s="5" t="s">
        <v>960</v>
      </c>
      <c r="C590" s="5" t="s">
        <v>475</v>
      </c>
      <c r="D590" s="5" t="s">
        <v>20</v>
      </c>
      <c r="E590" s="5" t="s">
        <v>52</v>
      </c>
      <c r="F590" s="5" t="s">
        <v>34</v>
      </c>
      <c r="G590" s="6" t="s">
        <v>66</v>
      </c>
      <c r="H590" s="5">
        <v>28.33</v>
      </c>
      <c r="I590" s="5">
        <v>1.0</v>
      </c>
      <c r="J590" s="5" t="str">
        <f t="shared" si="1"/>
        <v>Last Minute</v>
      </c>
      <c r="K590" s="9">
        <v>7336.0</v>
      </c>
    </row>
    <row r="591" ht="15.75" customHeight="1">
      <c r="A591" s="5" t="s">
        <v>2010</v>
      </c>
      <c r="B591" s="5" t="s">
        <v>1049</v>
      </c>
      <c r="C591" s="5" t="s">
        <v>475</v>
      </c>
      <c r="D591" s="5" t="s">
        <v>20</v>
      </c>
      <c r="E591" s="5" t="s">
        <v>52</v>
      </c>
      <c r="F591" s="5" t="s">
        <v>34</v>
      </c>
      <c r="G591" s="6" t="s">
        <v>66</v>
      </c>
      <c r="H591" s="5">
        <v>34.08</v>
      </c>
      <c r="I591" s="5">
        <v>2.0</v>
      </c>
      <c r="J591" s="5" t="str">
        <f t="shared" si="1"/>
        <v>Last Minute</v>
      </c>
      <c r="K591" s="9">
        <v>17996.0</v>
      </c>
    </row>
    <row r="592" ht="15.75" customHeight="1">
      <c r="A592" s="5" t="s">
        <v>2011</v>
      </c>
      <c r="B592" s="5" t="s">
        <v>1108</v>
      </c>
      <c r="C592" s="5" t="s">
        <v>475</v>
      </c>
      <c r="D592" s="5" t="s">
        <v>43</v>
      </c>
      <c r="E592" s="5" t="s">
        <v>68</v>
      </c>
      <c r="F592" s="5" t="s">
        <v>34</v>
      </c>
      <c r="G592" s="6" t="s">
        <v>66</v>
      </c>
      <c r="H592" s="5">
        <v>9.83</v>
      </c>
      <c r="I592" s="5">
        <v>2.0</v>
      </c>
      <c r="J592" s="5" t="str">
        <f t="shared" si="1"/>
        <v>Last Minute</v>
      </c>
      <c r="K592" s="9">
        <v>18407.0</v>
      </c>
    </row>
    <row r="593" ht="15.75" customHeight="1">
      <c r="A593" s="5" t="s">
        <v>2014</v>
      </c>
      <c r="B593" s="5" t="s">
        <v>968</v>
      </c>
      <c r="C593" s="5" t="s">
        <v>475</v>
      </c>
      <c r="D593" s="5" t="s">
        <v>43</v>
      </c>
      <c r="E593" s="5" t="s">
        <v>68</v>
      </c>
      <c r="F593" s="5" t="s">
        <v>34</v>
      </c>
      <c r="G593" s="6" t="s">
        <v>66</v>
      </c>
      <c r="H593" s="5">
        <v>6.0</v>
      </c>
      <c r="I593" s="5">
        <v>28.0</v>
      </c>
      <c r="J593" s="5" t="str">
        <f t="shared" si="1"/>
        <v>Moderate</v>
      </c>
      <c r="K593" s="9">
        <v>5703.0</v>
      </c>
    </row>
    <row r="594" ht="15.75" customHeight="1">
      <c r="A594" s="5" t="s">
        <v>2016</v>
      </c>
      <c r="B594" s="5" t="s">
        <v>1094</v>
      </c>
      <c r="C594" s="5" t="s">
        <v>475</v>
      </c>
      <c r="D594" s="5" t="s">
        <v>20</v>
      </c>
      <c r="E594" s="5" t="s">
        <v>52</v>
      </c>
      <c r="F594" s="5" t="s">
        <v>34</v>
      </c>
      <c r="G594" s="6" t="s">
        <v>66</v>
      </c>
      <c r="H594" s="5">
        <v>22.08</v>
      </c>
      <c r="I594" s="5">
        <v>48.0</v>
      </c>
      <c r="J594" s="5" t="str">
        <f t="shared" si="1"/>
        <v>Advance</v>
      </c>
      <c r="K594" s="9">
        <v>9353.0</v>
      </c>
    </row>
    <row r="595" ht="15.75" customHeight="1">
      <c r="A595" s="5" t="s">
        <v>2017</v>
      </c>
      <c r="B595" s="5" t="s">
        <v>1003</v>
      </c>
      <c r="C595" s="5" t="s">
        <v>475</v>
      </c>
      <c r="D595" s="5" t="s">
        <v>20</v>
      </c>
      <c r="E595" s="5" t="s">
        <v>52</v>
      </c>
      <c r="F595" s="5" t="s">
        <v>53</v>
      </c>
      <c r="G595" s="6" t="s">
        <v>66</v>
      </c>
      <c r="H595" s="5">
        <v>10.25</v>
      </c>
      <c r="I595" s="5">
        <v>34.0</v>
      </c>
      <c r="J595" s="5" t="str">
        <f t="shared" si="1"/>
        <v>Advance</v>
      </c>
      <c r="K595" s="9">
        <v>76255.0</v>
      </c>
    </row>
    <row r="596" ht="15.75" customHeight="1">
      <c r="A596" s="5" t="s">
        <v>2020</v>
      </c>
      <c r="B596" s="5" t="s">
        <v>1121</v>
      </c>
      <c r="C596" s="5" t="s">
        <v>475</v>
      </c>
      <c r="D596" s="5" t="s">
        <v>45</v>
      </c>
      <c r="E596" s="5" t="s">
        <v>49</v>
      </c>
      <c r="F596" s="5" t="s">
        <v>53</v>
      </c>
      <c r="G596" s="6" t="s">
        <v>37</v>
      </c>
      <c r="H596" s="5">
        <v>2.25</v>
      </c>
      <c r="I596" s="5">
        <v>38.0</v>
      </c>
      <c r="J596" s="5" t="str">
        <f t="shared" si="1"/>
        <v>Advance</v>
      </c>
      <c r="K596" s="9">
        <v>28510.0</v>
      </c>
    </row>
    <row r="597" ht="15.75" customHeight="1">
      <c r="A597" s="5" t="s">
        <v>2022</v>
      </c>
      <c r="B597" s="5" t="s">
        <v>986</v>
      </c>
      <c r="C597" s="5" t="s">
        <v>475</v>
      </c>
      <c r="D597" s="5" t="s">
        <v>45</v>
      </c>
      <c r="E597" s="5" t="s">
        <v>49</v>
      </c>
      <c r="F597" s="5" t="s">
        <v>34</v>
      </c>
      <c r="G597" s="6" t="s">
        <v>66</v>
      </c>
      <c r="H597" s="5">
        <v>12.33</v>
      </c>
      <c r="J597" s="5" t="str">
        <f t="shared" si="1"/>
        <v>Last Minute</v>
      </c>
      <c r="K597" s="9">
        <v>4347.0</v>
      </c>
    </row>
    <row r="598" ht="15.75" customHeight="1">
      <c r="A598" s="5" t="s">
        <v>2025</v>
      </c>
      <c r="B598" s="5" t="s">
        <v>1100</v>
      </c>
      <c r="C598" s="5" t="s">
        <v>475</v>
      </c>
      <c r="D598" s="5" t="s">
        <v>43</v>
      </c>
      <c r="E598" s="5" t="s">
        <v>68</v>
      </c>
      <c r="F598" s="5" t="s">
        <v>34</v>
      </c>
      <c r="G598" s="6" t="s">
        <v>66</v>
      </c>
      <c r="H598" s="5">
        <v>6.33</v>
      </c>
      <c r="I598" s="5">
        <v>29.0</v>
      </c>
      <c r="J598" s="5" t="str">
        <f t="shared" si="1"/>
        <v>Moderate</v>
      </c>
      <c r="K598" s="9">
        <v>4495.0</v>
      </c>
    </row>
    <row r="599" ht="15.75" customHeight="1">
      <c r="A599" s="5" t="s">
        <v>2026</v>
      </c>
      <c r="B599" s="5" t="s">
        <v>1130</v>
      </c>
      <c r="C599" s="5" t="s">
        <v>475</v>
      </c>
      <c r="D599" s="5" t="s">
        <v>45</v>
      </c>
      <c r="E599" s="5" t="s">
        <v>49</v>
      </c>
      <c r="F599" s="5" t="s">
        <v>53</v>
      </c>
      <c r="G599" s="6" t="s">
        <v>66</v>
      </c>
      <c r="H599" s="5">
        <v>18.75</v>
      </c>
      <c r="I599" s="5">
        <v>34.0</v>
      </c>
      <c r="J599" s="5" t="str">
        <f t="shared" si="1"/>
        <v>Advance</v>
      </c>
      <c r="K599" s="9">
        <v>57939.0</v>
      </c>
    </row>
    <row r="600" ht="15.75" customHeight="1">
      <c r="A600" s="5" t="s">
        <v>2029</v>
      </c>
      <c r="B600" s="5" t="s">
        <v>1085</v>
      </c>
      <c r="C600" s="5" t="s">
        <v>475</v>
      </c>
      <c r="D600" s="5" t="s">
        <v>45</v>
      </c>
      <c r="E600" s="5" t="s">
        <v>49</v>
      </c>
      <c r="F600" s="5" t="s">
        <v>34</v>
      </c>
      <c r="G600" s="6" t="s">
        <v>66</v>
      </c>
      <c r="H600" s="5">
        <v>16.17</v>
      </c>
      <c r="J600" s="5" t="str">
        <f t="shared" si="1"/>
        <v>Last Minute</v>
      </c>
      <c r="K600" s="9">
        <v>5093.0</v>
      </c>
    </row>
    <row r="601" ht="15.75" customHeight="1">
      <c r="A601" s="5" t="s">
        <v>2031</v>
      </c>
      <c r="B601" s="5" t="s">
        <v>1001</v>
      </c>
      <c r="C601" s="5" t="s">
        <v>475</v>
      </c>
      <c r="D601" s="5" t="s">
        <v>43</v>
      </c>
      <c r="E601" s="5" t="s">
        <v>68</v>
      </c>
      <c r="F601" s="5" t="s">
        <v>34</v>
      </c>
      <c r="G601" s="6" t="s">
        <v>66</v>
      </c>
      <c r="H601" s="5">
        <v>8.25</v>
      </c>
      <c r="J601" s="5" t="str">
        <f t="shared" si="1"/>
        <v>Last Minute</v>
      </c>
      <c r="K601" s="9">
        <v>12348.0</v>
      </c>
    </row>
    <row r="602" ht="15.75" customHeight="1">
      <c r="A602" s="5" t="s">
        <v>2032</v>
      </c>
      <c r="B602" s="5" t="s">
        <v>1111</v>
      </c>
      <c r="C602" s="5" t="s">
        <v>475</v>
      </c>
      <c r="D602" s="5" t="s">
        <v>72</v>
      </c>
      <c r="E602" s="5" t="s">
        <v>266</v>
      </c>
      <c r="F602" s="5" t="s">
        <v>34</v>
      </c>
      <c r="G602" s="6" t="s">
        <v>66</v>
      </c>
      <c r="H602" s="5">
        <v>10.5</v>
      </c>
      <c r="I602" s="5">
        <v>5.0</v>
      </c>
      <c r="J602" s="5" t="str">
        <f t="shared" si="1"/>
        <v>Last Minute</v>
      </c>
      <c r="K602" s="9">
        <v>6488.0</v>
      </c>
    </row>
    <row r="603" ht="15.75" customHeight="1">
      <c r="A603" s="5" t="s">
        <v>2035</v>
      </c>
      <c r="B603" s="5" t="s">
        <v>1125</v>
      </c>
      <c r="C603" s="5" t="s">
        <v>475</v>
      </c>
      <c r="D603" s="5" t="s">
        <v>45</v>
      </c>
      <c r="E603" s="5" t="s">
        <v>49</v>
      </c>
      <c r="F603" s="5" t="s">
        <v>53</v>
      </c>
      <c r="G603" s="6" t="s">
        <v>66</v>
      </c>
      <c r="H603" s="5">
        <v>7.92</v>
      </c>
      <c r="I603" s="5">
        <v>35.0</v>
      </c>
      <c r="J603" s="5" t="str">
        <f t="shared" si="1"/>
        <v>Advance</v>
      </c>
      <c r="K603" s="9">
        <v>7336.0</v>
      </c>
    </row>
    <row r="604" ht="15.75" customHeight="1">
      <c r="A604" s="5" t="s">
        <v>2037</v>
      </c>
      <c r="B604" s="5" t="s">
        <v>982</v>
      </c>
      <c r="C604" s="5" t="s">
        <v>475</v>
      </c>
      <c r="D604" s="5" t="s">
        <v>43</v>
      </c>
      <c r="E604" s="5" t="s">
        <v>68</v>
      </c>
      <c r="F604" s="5" t="s">
        <v>34</v>
      </c>
      <c r="G604" s="6" t="s">
        <v>66</v>
      </c>
      <c r="H604" s="5">
        <v>10.25</v>
      </c>
      <c r="I604" s="5">
        <v>5.0</v>
      </c>
      <c r="J604" s="5" t="str">
        <f t="shared" si="1"/>
        <v>Last Minute</v>
      </c>
      <c r="K604" s="9">
        <v>12348.0</v>
      </c>
    </row>
    <row r="605" ht="15.75" customHeight="1">
      <c r="A605" s="5" t="s">
        <v>2039</v>
      </c>
      <c r="B605" s="5" t="s">
        <v>992</v>
      </c>
      <c r="C605" s="5" t="s">
        <v>475</v>
      </c>
      <c r="D605" s="5" t="s">
        <v>45</v>
      </c>
      <c r="E605" s="5" t="s">
        <v>49</v>
      </c>
      <c r="F605" s="5" t="s">
        <v>34</v>
      </c>
      <c r="G605" s="6" t="s">
        <v>66</v>
      </c>
      <c r="H605" s="5">
        <v>16.17</v>
      </c>
      <c r="I605" s="5">
        <v>6.0</v>
      </c>
      <c r="J605" s="5" t="str">
        <f t="shared" si="1"/>
        <v>Last Minute</v>
      </c>
      <c r="K605" s="9">
        <v>10112.0</v>
      </c>
    </row>
    <row r="606" ht="15.75" customHeight="1">
      <c r="A606" s="5" t="s">
        <v>2041</v>
      </c>
      <c r="B606" s="5" t="s">
        <v>1070</v>
      </c>
      <c r="C606" s="5" t="s">
        <v>475</v>
      </c>
      <c r="D606" s="5" t="s">
        <v>43</v>
      </c>
      <c r="E606" s="5" t="s">
        <v>68</v>
      </c>
      <c r="F606" s="5" t="s">
        <v>34</v>
      </c>
      <c r="G606" s="6" t="s">
        <v>66</v>
      </c>
      <c r="H606" s="5">
        <v>6.33</v>
      </c>
      <c r="I606" s="5">
        <v>42.0</v>
      </c>
      <c r="J606" s="5" t="str">
        <f t="shared" si="1"/>
        <v>Advance</v>
      </c>
      <c r="K606" s="9">
        <v>4439.0</v>
      </c>
    </row>
    <row r="607" ht="15.75" customHeight="1">
      <c r="A607" s="5" t="s">
        <v>2043</v>
      </c>
      <c r="B607" s="5" t="s">
        <v>1027</v>
      </c>
      <c r="C607" s="5" t="s">
        <v>475</v>
      </c>
      <c r="D607" s="5" t="s">
        <v>45</v>
      </c>
      <c r="E607" s="5" t="s">
        <v>49</v>
      </c>
      <c r="F607" s="5" t="s">
        <v>34</v>
      </c>
      <c r="G607" s="6" t="s">
        <v>66</v>
      </c>
      <c r="H607" s="5">
        <v>21.75</v>
      </c>
      <c r="I607" s="5">
        <v>7.0</v>
      </c>
      <c r="J607" s="5" t="str">
        <f t="shared" si="1"/>
        <v>Last Minute</v>
      </c>
      <c r="K607" s="9">
        <v>13524.0</v>
      </c>
    </row>
    <row r="608" ht="15.75" customHeight="1">
      <c r="A608" s="5" t="s">
        <v>2044</v>
      </c>
      <c r="B608" s="5" t="s">
        <v>964</v>
      </c>
      <c r="C608" s="5" t="s">
        <v>475</v>
      </c>
      <c r="D608" s="5" t="s">
        <v>58</v>
      </c>
      <c r="E608" s="5" t="s">
        <v>59</v>
      </c>
      <c r="F608" s="5" t="s">
        <v>34</v>
      </c>
      <c r="G608" s="6" t="s">
        <v>66</v>
      </c>
      <c r="H608" s="5">
        <v>10.33</v>
      </c>
      <c r="I608" s="5">
        <v>26.0</v>
      </c>
      <c r="J608" s="5" t="str">
        <f t="shared" si="1"/>
        <v>Moderate</v>
      </c>
      <c r="K608" s="9">
        <v>8089.0</v>
      </c>
    </row>
    <row r="609" ht="15.75" customHeight="1">
      <c r="A609" s="5" t="s">
        <v>2046</v>
      </c>
      <c r="B609" s="5" t="s">
        <v>1010</v>
      </c>
      <c r="C609" s="5" t="s">
        <v>475</v>
      </c>
      <c r="D609" s="5" t="s">
        <v>45</v>
      </c>
      <c r="E609" s="5" t="s">
        <v>49</v>
      </c>
      <c r="F609" s="5" t="s">
        <v>53</v>
      </c>
      <c r="G609" s="6" t="s">
        <v>66</v>
      </c>
      <c r="H609" s="5">
        <v>28.0</v>
      </c>
      <c r="I609" s="5">
        <v>19.0</v>
      </c>
      <c r="J609" s="5" t="str">
        <f t="shared" si="1"/>
        <v>Moderate</v>
      </c>
      <c r="K609" s="9">
        <v>7336.0</v>
      </c>
    </row>
    <row r="610" ht="15.75" customHeight="1">
      <c r="A610" s="5" t="s">
        <v>2048</v>
      </c>
      <c r="B610" s="5" t="s">
        <v>1116</v>
      </c>
      <c r="C610" s="5" t="s">
        <v>475</v>
      </c>
      <c r="D610" s="5" t="s">
        <v>45</v>
      </c>
      <c r="E610" s="5" t="s">
        <v>49</v>
      </c>
      <c r="F610" s="5" t="s">
        <v>34</v>
      </c>
      <c r="G610" s="6" t="s">
        <v>66</v>
      </c>
      <c r="H610" s="5">
        <v>24.92</v>
      </c>
      <c r="I610" s="5">
        <v>12.0</v>
      </c>
      <c r="J610" s="5" t="str">
        <f t="shared" si="1"/>
        <v>Short Notice</v>
      </c>
      <c r="K610" s="9">
        <v>14889.0</v>
      </c>
    </row>
    <row r="611" ht="15.75" customHeight="1">
      <c r="A611" s="5" t="s">
        <v>2050</v>
      </c>
      <c r="B611" s="5" t="s">
        <v>1040</v>
      </c>
      <c r="C611" s="5" t="s">
        <v>475</v>
      </c>
      <c r="D611" s="5" t="s">
        <v>45</v>
      </c>
      <c r="E611" s="5" t="s">
        <v>49</v>
      </c>
      <c r="F611" s="5" t="s">
        <v>53</v>
      </c>
      <c r="G611" s="6" t="s">
        <v>66</v>
      </c>
      <c r="H611" s="5">
        <v>29.67</v>
      </c>
      <c r="I611" s="5">
        <v>37.0</v>
      </c>
      <c r="J611" s="5" t="str">
        <f t="shared" si="1"/>
        <v>Advance</v>
      </c>
      <c r="K611" s="9">
        <v>45012.0</v>
      </c>
    </row>
    <row r="612" ht="15.75" customHeight="1">
      <c r="A612" s="5" t="s">
        <v>2052</v>
      </c>
      <c r="B612" s="5" t="s">
        <v>974</v>
      </c>
      <c r="C612" s="5" t="s">
        <v>475</v>
      </c>
      <c r="D612" s="5" t="s">
        <v>43</v>
      </c>
      <c r="E612" s="5" t="s">
        <v>68</v>
      </c>
      <c r="F612" s="5" t="s">
        <v>34</v>
      </c>
      <c r="G612" s="6" t="s">
        <v>66</v>
      </c>
      <c r="H612" s="5">
        <v>7.33</v>
      </c>
      <c r="I612" s="5">
        <v>17.0</v>
      </c>
      <c r="J612" s="5" t="str">
        <f t="shared" si="1"/>
        <v>Moderate</v>
      </c>
      <c r="K612" s="9">
        <v>6542.0</v>
      </c>
    </row>
    <row r="613" ht="15.75" customHeight="1">
      <c r="A613" s="5" t="s">
        <v>2054</v>
      </c>
      <c r="B613" s="5" t="s">
        <v>1104</v>
      </c>
      <c r="C613" s="5" t="s">
        <v>475</v>
      </c>
      <c r="D613" s="5" t="s">
        <v>45</v>
      </c>
      <c r="E613" s="5" t="s">
        <v>49</v>
      </c>
      <c r="F613" s="5" t="s">
        <v>34</v>
      </c>
      <c r="G613" s="6" t="s">
        <v>66</v>
      </c>
      <c r="H613" s="5">
        <v>29.17</v>
      </c>
      <c r="I613" s="5">
        <v>35.0</v>
      </c>
      <c r="J613" s="5" t="str">
        <f t="shared" si="1"/>
        <v>Advance</v>
      </c>
      <c r="K613" s="9">
        <v>4919.0</v>
      </c>
    </row>
    <row r="614" ht="15.75" customHeight="1">
      <c r="A614" s="5" t="s">
        <v>2055</v>
      </c>
      <c r="B614" s="5" t="s">
        <v>956</v>
      </c>
      <c r="C614" s="5" t="s">
        <v>475</v>
      </c>
      <c r="D614" s="5" t="s">
        <v>45</v>
      </c>
      <c r="E614" s="5" t="s">
        <v>49</v>
      </c>
      <c r="F614" s="5" t="s">
        <v>53</v>
      </c>
      <c r="G614" s="6" t="s">
        <v>66</v>
      </c>
      <c r="H614" s="5">
        <v>26.0</v>
      </c>
      <c r="I614" s="5">
        <v>44.0</v>
      </c>
      <c r="J614" s="5" t="str">
        <f t="shared" si="1"/>
        <v>Advance</v>
      </c>
      <c r="K614" s="9">
        <v>43910.0</v>
      </c>
    </row>
    <row r="615" ht="15.75" customHeight="1">
      <c r="A615" s="5" t="s">
        <v>2058</v>
      </c>
      <c r="B615" s="5" t="s">
        <v>1118</v>
      </c>
      <c r="C615" s="5" t="s">
        <v>475</v>
      </c>
      <c r="D615" s="5" t="s">
        <v>72</v>
      </c>
      <c r="E615" s="5" t="s">
        <v>266</v>
      </c>
      <c r="F615" s="5" t="s">
        <v>34</v>
      </c>
      <c r="G615" s="6" t="s">
        <v>66</v>
      </c>
      <c r="H615" s="5">
        <v>25.25</v>
      </c>
      <c r="J615" s="5" t="str">
        <f t="shared" si="1"/>
        <v>Last Minute</v>
      </c>
      <c r="K615" s="9">
        <v>4613.0</v>
      </c>
    </row>
    <row r="616" ht="15.75" customHeight="1">
      <c r="A616" s="5" t="s">
        <v>2060</v>
      </c>
      <c r="B616" s="5" t="s">
        <v>1097</v>
      </c>
      <c r="C616" s="5" t="s">
        <v>475</v>
      </c>
      <c r="D616" s="5" t="s">
        <v>45</v>
      </c>
      <c r="E616" s="5" t="s">
        <v>49</v>
      </c>
      <c r="F616" s="5" t="s">
        <v>53</v>
      </c>
      <c r="G616" s="6" t="s">
        <v>66</v>
      </c>
      <c r="H616" s="5">
        <v>21.83</v>
      </c>
      <c r="I616" s="5">
        <v>44.0</v>
      </c>
      <c r="J616" s="5" t="str">
        <f t="shared" si="1"/>
        <v>Advance</v>
      </c>
      <c r="K616" s="9">
        <v>57939.0</v>
      </c>
    </row>
    <row r="617" ht="15.75" customHeight="1">
      <c r="A617" s="5" t="s">
        <v>2062</v>
      </c>
      <c r="B617" s="5" t="s">
        <v>1074</v>
      </c>
      <c r="C617" s="5" t="s">
        <v>475</v>
      </c>
      <c r="D617" s="5" t="s">
        <v>43</v>
      </c>
      <c r="E617" s="5" t="s">
        <v>68</v>
      </c>
      <c r="F617" s="5" t="s">
        <v>34</v>
      </c>
      <c r="G617" s="6" t="s">
        <v>37</v>
      </c>
      <c r="H617" s="5">
        <v>2.42</v>
      </c>
      <c r="I617" s="5">
        <v>46.0</v>
      </c>
      <c r="J617" s="5" t="str">
        <f t="shared" si="1"/>
        <v>Advance</v>
      </c>
      <c r="K617" s="9">
        <v>3999.0</v>
      </c>
    </row>
    <row r="618" ht="15.75" customHeight="1">
      <c r="A618" s="5" t="s">
        <v>2065</v>
      </c>
      <c r="B618" s="5" t="s">
        <v>978</v>
      </c>
      <c r="C618" s="5" t="s">
        <v>475</v>
      </c>
      <c r="D618" s="5" t="s">
        <v>45</v>
      </c>
      <c r="E618" s="5" t="s">
        <v>49</v>
      </c>
      <c r="F618" s="5" t="s">
        <v>34</v>
      </c>
      <c r="G618" s="6" t="s">
        <v>66</v>
      </c>
      <c r="H618" s="5">
        <v>12.17</v>
      </c>
      <c r="I618" s="5">
        <v>46.0</v>
      </c>
      <c r="J618" s="5" t="str">
        <f t="shared" si="1"/>
        <v>Advance</v>
      </c>
      <c r="K618" s="9">
        <v>4347.0</v>
      </c>
    </row>
    <row r="619" ht="15.75" customHeight="1">
      <c r="A619" s="5" t="s">
        <v>2067</v>
      </c>
      <c r="B619" s="5" t="s">
        <v>1078</v>
      </c>
      <c r="C619" s="5" t="s">
        <v>475</v>
      </c>
      <c r="D619" s="5" t="s">
        <v>43</v>
      </c>
      <c r="E619" s="5" t="s">
        <v>68</v>
      </c>
      <c r="F619" s="5" t="s">
        <v>34</v>
      </c>
      <c r="G619" s="6" t="s">
        <v>66</v>
      </c>
      <c r="H619" s="5">
        <v>6.08</v>
      </c>
      <c r="I619" s="5">
        <v>46.0</v>
      </c>
      <c r="J619" s="5" t="str">
        <f t="shared" si="1"/>
        <v>Advance</v>
      </c>
      <c r="K619" s="9">
        <v>4439.0</v>
      </c>
    </row>
    <row r="620" ht="15.75" customHeight="1">
      <c r="A620" s="5" t="s">
        <v>2068</v>
      </c>
      <c r="B620" s="5" t="s">
        <v>951</v>
      </c>
      <c r="C620" s="5" t="s">
        <v>475</v>
      </c>
      <c r="D620" s="5" t="s">
        <v>43</v>
      </c>
      <c r="E620" s="5" t="s">
        <v>68</v>
      </c>
      <c r="F620" s="5" t="s">
        <v>34</v>
      </c>
      <c r="G620" s="6" t="s">
        <v>37</v>
      </c>
      <c r="H620" s="5">
        <v>2.42</v>
      </c>
      <c r="I620" s="5">
        <v>46.0</v>
      </c>
      <c r="J620" s="5" t="str">
        <f t="shared" si="1"/>
        <v>Advance</v>
      </c>
      <c r="K620" s="9">
        <v>3999.0</v>
      </c>
    </row>
    <row r="621" ht="15.75" customHeight="1">
      <c r="A621" s="5" t="s">
        <v>2070</v>
      </c>
      <c r="B621" s="5" t="s">
        <v>1091</v>
      </c>
      <c r="C621" s="5" t="s">
        <v>475</v>
      </c>
      <c r="D621" s="5" t="s">
        <v>45</v>
      </c>
      <c r="E621" s="5" t="s">
        <v>49</v>
      </c>
      <c r="F621" s="5" t="s">
        <v>53</v>
      </c>
      <c r="G621" s="6" t="s">
        <v>66</v>
      </c>
      <c r="H621" s="5">
        <v>10.5</v>
      </c>
      <c r="I621" s="5">
        <v>45.0</v>
      </c>
      <c r="J621" s="5" t="str">
        <f t="shared" si="1"/>
        <v>Advance</v>
      </c>
      <c r="K621" s="9">
        <v>53743.0</v>
      </c>
    </row>
    <row r="622" ht="15.75" customHeight="1">
      <c r="A622" s="5" t="s">
        <v>2071</v>
      </c>
      <c r="B622" s="5" t="s">
        <v>942</v>
      </c>
      <c r="C622" s="5" t="s">
        <v>475</v>
      </c>
      <c r="D622" s="5" t="s">
        <v>45</v>
      </c>
      <c r="E622" s="5" t="s">
        <v>49</v>
      </c>
      <c r="F622" s="5" t="s">
        <v>34</v>
      </c>
      <c r="G622" s="6" t="s">
        <v>66</v>
      </c>
      <c r="H622" s="5">
        <v>11.08</v>
      </c>
      <c r="I622" s="5">
        <v>46.0</v>
      </c>
      <c r="J622" s="5" t="str">
        <f t="shared" si="1"/>
        <v>Advance</v>
      </c>
      <c r="K622" s="9">
        <v>5467.0</v>
      </c>
    </row>
    <row r="623" ht="15.75" customHeight="1">
      <c r="A623" s="5" t="s">
        <v>2073</v>
      </c>
      <c r="B623" s="5" t="s">
        <v>1082</v>
      </c>
      <c r="C623" s="5" t="s">
        <v>475</v>
      </c>
      <c r="D623" s="5" t="s">
        <v>45</v>
      </c>
      <c r="E623" s="5" t="s">
        <v>49</v>
      </c>
      <c r="F623" s="5" t="s">
        <v>34</v>
      </c>
      <c r="G623" s="6" t="s">
        <v>66</v>
      </c>
      <c r="H623" s="5">
        <v>22.17</v>
      </c>
      <c r="I623" s="5">
        <v>45.0</v>
      </c>
      <c r="J623" s="5" t="str">
        <f t="shared" si="1"/>
        <v>Advance</v>
      </c>
      <c r="K623" s="9">
        <v>5467.0</v>
      </c>
    </row>
    <row r="624" ht="15.75" customHeight="1">
      <c r="A624" s="5" t="s">
        <v>2075</v>
      </c>
      <c r="B624" s="5" t="s">
        <v>946</v>
      </c>
      <c r="C624" s="5" t="s">
        <v>475</v>
      </c>
      <c r="D624" s="5" t="s">
        <v>58</v>
      </c>
      <c r="E624" s="5" t="s">
        <v>59</v>
      </c>
      <c r="F624" s="5" t="s">
        <v>34</v>
      </c>
      <c r="G624" s="6" t="s">
        <v>66</v>
      </c>
      <c r="H624" s="5">
        <v>10.08</v>
      </c>
      <c r="I624" s="5">
        <v>46.0</v>
      </c>
      <c r="J624" s="5" t="str">
        <f t="shared" si="1"/>
        <v>Advance</v>
      </c>
      <c r="K624" s="9">
        <v>7250.0</v>
      </c>
    </row>
    <row r="625" ht="15.75" customHeight="1">
      <c r="A625" s="5" t="s">
        <v>2077</v>
      </c>
      <c r="B625" s="5" t="s">
        <v>938</v>
      </c>
      <c r="C625" s="5" t="s">
        <v>475</v>
      </c>
      <c r="D625" s="5" t="s">
        <v>58</v>
      </c>
      <c r="E625" s="5" t="s">
        <v>59</v>
      </c>
      <c r="F625" s="5" t="s">
        <v>34</v>
      </c>
      <c r="G625" s="6" t="s">
        <v>66</v>
      </c>
      <c r="H625" s="5">
        <v>7.0</v>
      </c>
      <c r="I625" s="5">
        <v>46.0</v>
      </c>
      <c r="J625" s="5" t="str">
        <f t="shared" si="1"/>
        <v>Advance</v>
      </c>
      <c r="K625" s="9">
        <v>7804.0</v>
      </c>
    </row>
    <row r="626" ht="15.75" customHeight="1">
      <c r="A626" s="5" t="s">
        <v>2079</v>
      </c>
      <c r="B626" s="5" t="s">
        <v>971</v>
      </c>
      <c r="C626" s="5" t="s">
        <v>475</v>
      </c>
      <c r="D626" s="5" t="s">
        <v>45</v>
      </c>
      <c r="E626" s="5" t="s">
        <v>49</v>
      </c>
      <c r="F626" s="5" t="s">
        <v>53</v>
      </c>
      <c r="G626" s="6" t="s">
        <v>66</v>
      </c>
      <c r="H626" s="5">
        <v>18.75</v>
      </c>
      <c r="I626" s="5">
        <v>49.0</v>
      </c>
      <c r="J626" s="5" t="str">
        <f t="shared" si="1"/>
        <v>Advance</v>
      </c>
      <c r="K626" s="9">
        <v>57939.0</v>
      </c>
    </row>
    <row r="627" ht="15.75" customHeight="1">
      <c r="A627" s="5" t="s">
        <v>2080</v>
      </c>
      <c r="B627" s="5" t="s">
        <v>1063</v>
      </c>
      <c r="C627" s="5" t="s">
        <v>475</v>
      </c>
      <c r="D627" s="5" t="s">
        <v>45</v>
      </c>
      <c r="E627" s="5" t="s">
        <v>49</v>
      </c>
      <c r="F627" s="5" t="s">
        <v>53</v>
      </c>
      <c r="G627" s="6" t="s">
        <v>66</v>
      </c>
      <c r="H627" s="5">
        <v>25.92</v>
      </c>
      <c r="I627" s="5">
        <v>49.0</v>
      </c>
      <c r="J627" s="5" t="str">
        <f t="shared" si="1"/>
        <v>Advance</v>
      </c>
      <c r="K627" s="9">
        <v>57939.0</v>
      </c>
    </row>
    <row r="628" ht="15.75" customHeight="1">
      <c r="A628" s="5" t="s">
        <v>2082</v>
      </c>
      <c r="B628" s="5" t="s">
        <v>1259</v>
      </c>
      <c r="C628" s="5" t="s">
        <v>504</v>
      </c>
      <c r="D628" s="5" t="s">
        <v>72</v>
      </c>
      <c r="E628" s="5" t="s">
        <v>266</v>
      </c>
      <c r="F628" s="5" t="s">
        <v>34</v>
      </c>
      <c r="G628" s="6" t="s">
        <v>37</v>
      </c>
      <c r="H628" s="5">
        <v>2.83</v>
      </c>
      <c r="I628" s="5">
        <v>38.0</v>
      </c>
      <c r="J628" s="5" t="str">
        <f t="shared" si="1"/>
        <v>Advance</v>
      </c>
      <c r="K628" s="9">
        <v>4499.0</v>
      </c>
    </row>
    <row r="629" ht="15.75" customHeight="1">
      <c r="A629" s="5" t="s">
        <v>2084</v>
      </c>
      <c r="B629" s="5" t="s">
        <v>1196</v>
      </c>
      <c r="C629" s="5" t="s">
        <v>504</v>
      </c>
      <c r="D629" s="5" t="s">
        <v>43</v>
      </c>
      <c r="E629" s="5" t="s">
        <v>68</v>
      </c>
      <c r="F629" s="5" t="s">
        <v>34</v>
      </c>
      <c r="G629" s="6" t="s">
        <v>37</v>
      </c>
      <c r="H629" s="5">
        <v>3.17</v>
      </c>
      <c r="I629" s="5">
        <v>42.0</v>
      </c>
      <c r="J629" s="5" t="str">
        <f t="shared" si="1"/>
        <v>Advance</v>
      </c>
      <c r="K629" s="9">
        <v>4499.0</v>
      </c>
    </row>
    <row r="630" ht="15.75" customHeight="1">
      <c r="A630" s="5" t="s">
        <v>2085</v>
      </c>
      <c r="B630" s="5" t="s">
        <v>1179</v>
      </c>
      <c r="C630" s="5" t="s">
        <v>504</v>
      </c>
      <c r="D630" s="5" t="s">
        <v>45</v>
      </c>
      <c r="E630" s="5" t="s">
        <v>49</v>
      </c>
      <c r="F630" s="5" t="s">
        <v>34</v>
      </c>
      <c r="G630" s="6" t="s">
        <v>37</v>
      </c>
      <c r="H630" s="5">
        <v>2.75</v>
      </c>
      <c r="I630" s="5">
        <v>38.0</v>
      </c>
      <c r="J630" s="5" t="str">
        <f t="shared" si="1"/>
        <v>Advance</v>
      </c>
      <c r="K630" s="9">
        <v>4253.0</v>
      </c>
    </row>
    <row r="631" ht="15.75" customHeight="1">
      <c r="A631" s="5" t="s">
        <v>2087</v>
      </c>
      <c r="B631" s="5" t="s">
        <v>1240</v>
      </c>
      <c r="C631" s="5" t="s">
        <v>504</v>
      </c>
      <c r="D631" s="5" t="s">
        <v>45</v>
      </c>
      <c r="E631" s="5" t="s">
        <v>49</v>
      </c>
      <c r="F631" s="5" t="s">
        <v>34</v>
      </c>
      <c r="G631" s="6" t="s">
        <v>66</v>
      </c>
      <c r="H631" s="5">
        <v>26.5</v>
      </c>
      <c r="I631" s="5">
        <v>1.0</v>
      </c>
      <c r="J631" s="5" t="str">
        <f t="shared" si="1"/>
        <v>Last Minute</v>
      </c>
      <c r="K631" s="9">
        <v>14154.0</v>
      </c>
    </row>
    <row r="632" ht="15.75" customHeight="1">
      <c r="A632" s="5" t="s">
        <v>2088</v>
      </c>
      <c r="B632" s="5" t="s">
        <v>1221</v>
      </c>
      <c r="C632" s="5" t="s">
        <v>504</v>
      </c>
      <c r="D632" s="5" t="s">
        <v>29</v>
      </c>
      <c r="E632" s="5" t="s">
        <v>32</v>
      </c>
      <c r="F632" s="5" t="s">
        <v>34</v>
      </c>
      <c r="G632" s="6" t="s">
        <v>66</v>
      </c>
      <c r="H632" s="5">
        <v>10.58</v>
      </c>
      <c r="I632" s="5">
        <v>39.0</v>
      </c>
      <c r="J632" s="5" t="str">
        <f t="shared" si="1"/>
        <v>Advance</v>
      </c>
      <c r="K632" s="9">
        <v>3379.0</v>
      </c>
    </row>
    <row r="633" ht="15.75" customHeight="1">
      <c r="A633" s="5" t="s">
        <v>2090</v>
      </c>
      <c r="B633" s="5" t="s">
        <v>1219</v>
      </c>
      <c r="C633" s="5" t="s">
        <v>504</v>
      </c>
      <c r="D633" s="5" t="s">
        <v>20</v>
      </c>
      <c r="E633" s="5" t="s">
        <v>52</v>
      </c>
      <c r="F633" s="5" t="s">
        <v>34</v>
      </c>
      <c r="G633" s="6" t="s">
        <v>66</v>
      </c>
      <c r="H633" s="5">
        <v>17.83</v>
      </c>
      <c r="I633" s="5">
        <v>2.0</v>
      </c>
      <c r="J633" s="5" t="str">
        <f t="shared" si="1"/>
        <v>Last Minute</v>
      </c>
      <c r="K633" s="9">
        <v>12210.0</v>
      </c>
    </row>
    <row r="634" ht="15.75" customHeight="1">
      <c r="A634" s="5" t="s">
        <v>2092</v>
      </c>
      <c r="B634" s="5" t="s">
        <v>1249</v>
      </c>
      <c r="C634" s="5" t="s">
        <v>504</v>
      </c>
      <c r="D634" s="5" t="s">
        <v>45</v>
      </c>
      <c r="E634" s="5" t="s">
        <v>49</v>
      </c>
      <c r="F634" s="5" t="s">
        <v>34</v>
      </c>
      <c r="G634" s="6" t="s">
        <v>66</v>
      </c>
      <c r="H634" s="5">
        <v>12.58</v>
      </c>
      <c r="I634" s="5">
        <v>15.0</v>
      </c>
      <c r="J634" s="5" t="str">
        <f t="shared" si="1"/>
        <v>Short Notice</v>
      </c>
      <c r="K634" s="9">
        <v>8575.0</v>
      </c>
    </row>
    <row r="635" ht="15.75" customHeight="1">
      <c r="A635" s="5" t="s">
        <v>2093</v>
      </c>
      <c r="B635" s="5" t="s">
        <v>1263</v>
      </c>
      <c r="C635" s="5" t="s">
        <v>504</v>
      </c>
      <c r="D635" s="5" t="s">
        <v>45</v>
      </c>
      <c r="E635" s="5" t="s">
        <v>49</v>
      </c>
      <c r="F635" s="5" t="s">
        <v>53</v>
      </c>
      <c r="G635" s="6" t="s">
        <v>66</v>
      </c>
      <c r="H635" s="5">
        <v>13.67</v>
      </c>
      <c r="I635" s="5">
        <v>42.0</v>
      </c>
      <c r="J635" s="5" t="str">
        <f t="shared" si="1"/>
        <v>Advance</v>
      </c>
      <c r="K635" s="9">
        <v>50271.0</v>
      </c>
    </row>
    <row r="636" ht="15.75" customHeight="1">
      <c r="A636" s="5" t="s">
        <v>2095</v>
      </c>
      <c r="B636" s="5" t="s">
        <v>1141</v>
      </c>
      <c r="C636" s="5" t="s">
        <v>504</v>
      </c>
      <c r="D636" s="5" t="s">
        <v>45</v>
      </c>
      <c r="E636" s="5" t="s">
        <v>49</v>
      </c>
      <c r="F636" s="5" t="s">
        <v>34</v>
      </c>
      <c r="G636" s="6" t="s">
        <v>66</v>
      </c>
      <c r="H636" s="5">
        <v>15.17</v>
      </c>
      <c r="I636" s="5">
        <v>16.0</v>
      </c>
      <c r="J636" s="5" t="str">
        <f t="shared" si="1"/>
        <v>Moderate</v>
      </c>
      <c r="K636" s="9">
        <v>7032.0</v>
      </c>
    </row>
    <row r="637" ht="15.75" customHeight="1">
      <c r="A637" s="5" t="s">
        <v>2097</v>
      </c>
      <c r="B637" s="5" t="s">
        <v>1169</v>
      </c>
      <c r="C637" s="5" t="s">
        <v>504</v>
      </c>
      <c r="D637" s="5" t="s">
        <v>45</v>
      </c>
      <c r="E637" s="5" t="s">
        <v>49</v>
      </c>
      <c r="F637" s="5" t="s">
        <v>34</v>
      </c>
      <c r="G637" s="6" t="s">
        <v>66</v>
      </c>
      <c r="H637" s="5">
        <v>24.75</v>
      </c>
      <c r="I637" s="5">
        <v>2.0</v>
      </c>
      <c r="J637" s="5" t="str">
        <f t="shared" si="1"/>
        <v>Last Minute</v>
      </c>
      <c r="K637" s="9">
        <v>12054.0</v>
      </c>
    </row>
    <row r="638" ht="15.75" customHeight="1">
      <c r="A638" s="5" t="s">
        <v>2098</v>
      </c>
      <c r="B638" s="5" t="s">
        <v>1182</v>
      </c>
      <c r="C638" s="5" t="s">
        <v>504</v>
      </c>
      <c r="D638" s="5" t="s">
        <v>45</v>
      </c>
      <c r="E638" s="5" t="s">
        <v>49</v>
      </c>
      <c r="F638" s="5" t="s">
        <v>53</v>
      </c>
      <c r="G638" s="6" t="s">
        <v>66</v>
      </c>
      <c r="H638" s="5">
        <v>25.08</v>
      </c>
      <c r="I638" s="5">
        <v>2.0</v>
      </c>
      <c r="J638" s="5" t="str">
        <f t="shared" si="1"/>
        <v>Last Minute</v>
      </c>
      <c r="K638" s="9">
        <v>54852.0</v>
      </c>
    </row>
    <row r="639" ht="15.75" customHeight="1">
      <c r="A639" s="5" t="s">
        <v>2100</v>
      </c>
      <c r="B639" s="5" t="s">
        <v>1258</v>
      </c>
      <c r="C639" s="5" t="s">
        <v>504</v>
      </c>
      <c r="D639" s="5" t="s">
        <v>20</v>
      </c>
      <c r="E639" s="5" t="s">
        <v>52</v>
      </c>
      <c r="F639" s="5" t="s">
        <v>34</v>
      </c>
      <c r="G639" s="6" t="s">
        <v>66</v>
      </c>
      <c r="H639" s="5">
        <v>21.75</v>
      </c>
      <c r="I639" s="5">
        <v>23.0</v>
      </c>
      <c r="J639" s="5" t="str">
        <f t="shared" si="1"/>
        <v>Moderate</v>
      </c>
      <c r="K639" s="9">
        <v>7571.0</v>
      </c>
    </row>
    <row r="640" ht="15.75" customHeight="1">
      <c r="A640" s="5" t="s">
        <v>2101</v>
      </c>
      <c r="B640" s="5" t="s">
        <v>1156</v>
      </c>
      <c r="C640" s="5" t="s">
        <v>504</v>
      </c>
      <c r="D640" s="5" t="s">
        <v>72</v>
      </c>
      <c r="E640" s="5" t="s">
        <v>266</v>
      </c>
      <c r="F640" s="5" t="s">
        <v>34</v>
      </c>
      <c r="G640" s="6" t="s">
        <v>66</v>
      </c>
      <c r="H640" s="5">
        <v>23.5</v>
      </c>
      <c r="I640" s="5">
        <v>30.0</v>
      </c>
      <c r="J640" s="5" t="str">
        <f t="shared" si="1"/>
        <v>Moderate</v>
      </c>
      <c r="K640" s="9">
        <v>8975.0</v>
      </c>
    </row>
    <row r="641" ht="15.75" customHeight="1">
      <c r="A641" s="5" t="s">
        <v>2104</v>
      </c>
      <c r="B641" s="5" t="s">
        <v>1252</v>
      </c>
      <c r="C641" s="5" t="s">
        <v>504</v>
      </c>
      <c r="D641" s="5" t="s">
        <v>45</v>
      </c>
      <c r="E641" s="5" t="s">
        <v>49</v>
      </c>
      <c r="F641" s="5" t="s">
        <v>34</v>
      </c>
      <c r="G641" s="6" t="s">
        <v>180</v>
      </c>
      <c r="H641" s="5">
        <v>31.92</v>
      </c>
      <c r="J641" s="5" t="str">
        <f t="shared" si="1"/>
        <v>Last Minute</v>
      </c>
      <c r="K641" s="9">
        <v>14326.0</v>
      </c>
    </row>
    <row r="642" ht="15.75" customHeight="1">
      <c r="A642" s="5" t="s">
        <v>2106</v>
      </c>
      <c r="B642" s="5" t="s">
        <v>1225</v>
      </c>
      <c r="C642" s="5" t="s">
        <v>504</v>
      </c>
      <c r="D642" s="5" t="s">
        <v>45</v>
      </c>
      <c r="E642" s="5" t="s">
        <v>49</v>
      </c>
      <c r="F642" s="5" t="s">
        <v>34</v>
      </c>
      <c r="G642" s="6" t="s">
        <v>180</v>
      </c>
      <c r="H642" s="5">
        <v>30.0</v>
      </c>
      <c r="I642" s="5">
        <v>11.0</v>
      </c>
      <c r="J642" s="5" t="str">
        <f t="shared" si="1"/>
        <v>Short Notice</v>
      </c>
      <c r="K642" s="9">
        <v>13235.0</v>
      </c>
    </row>
    <row r="643" ht="15.75" customHeight="1">
      <c r="A643" s="5" t="s">
        <v>2108</v>
      </c>
      <c r="B643" s="5" t="s">
        <v>1177</v>
      </c>
      <c r="C643" s="5" t="s">
        <v>504</v>
      </c>
      <c r="D643" s="5" t="s">
        <v>20</v>
      </c>
      <c r="E643" s="5" t="s">
        <v>52</v>
      </c>
      <c r="F643" s="5" t="s">
        <v>34</v>
      </c>
      <c r="G643" s="6" t="s">
        <v>66</v>
      </c>
      <c r="H643" s="5">
        <v>11.75</v>
      </c>
      <c r="I643" s="5">
        <v>44.0</v>
      </c>
      <c r="J643" s="5" t="str">
        <f t="shared" si="1"/>
        <v>Advance</v>
      </c>
      <c r="K643" s="9">
        <v>6067.0</v>
      </c>
    </row>
    <row r="644" ht="15.75" customHeight="1">
      <c r="A644" s="5" t="s">
        <v>2110</v>
      </c>
      <c r="B644" s="5" t="s">
        <v>1173</v>
      </c>
      <c r="C644" s="5" t="s">
        <v>504</v>
      </c>
      <c r="D644" s="5" t="s">
        <v>45</v>
      </c>
      <c r="E644" s="5" t="s">
        <v>49</v>
      </c>
      <c r="F644" s="5" t="s">
        <v>34</v>
      </c>
      <c r="G644" s="6" t="s">
        <v>66</v>
      </c>
      <c r="H644" s="5">
        <v>19.58</v>
      </c>
      <c r="I644" s="5">
        <v>4.0</v>
      </c>
      <c r="J644" s="5" t="str">
        <f t="shared" si="1"/>
        <v>Last Minute</v>
      </c>
      <c r="K644" s="9">
        <v>15624.0</v>
      </c>
    </row>
    <row r="645" ht="15.75" customHeight="1">
      <c r="A645" s="5" t="s">
        <v>2112</v>
      </c>
      <c r="B645" s="5" t="s">
        <v>1210</v>
      </c>
      <c r="C645" s="5" t="s">
        <v>504</v>
      </c>
      <c r="D645" s="5" t="s">
        <v>45</v>
      </c>
      <c r="E645" s="5" t="s">
        <v>49</v>
      </c>
      <c r="F645" s="5" t="s">
        <v>53</v>
      </c>
      <c r="G645" s="6" t="s">
        <v>66</v>
      </c>
      <c r="H645" s="5">
        <v>4.83</v>
      </c>
      <c r="I645" s="5">
        <v>10.0</v>
      </c>
      <c r="J645" s="5" t="str">
        <f t="shared" si="1"/>
        <v>Short Notice</v>
      </c>
      <c r="K645" s="9">
        <v>31982.0</v>
      </c>
    </row>
    <row r="646" ht="15.75" customHeight="1">
      <c r="A646" s="5" t="s">
        <v>2113</v>
      </c>
      <c r="B646" s="5" t="s">
        <v>1215</v>
      </c>
      <c r="C646" s="5" t="s">
        <v>504</v>
      </c>
      <c r="D646" s="5" t="s">
        <v>45</v>
      </c>
      <c r="E646" s="5" t="s">
        <v>49</v>
      </c>
      <c r="F646" s="5" t="s">
        <v>34</v>
      </c>
      <c r="G646" s="6" t="s">
        <v>66</v>
      </c>
      <c r="H646" s="5">
        <v>21.83</v>
      </c>
      <c r="I646" s="5">
        <v>5.0</v>
      </c>
      <c r="J646" s="5" t="str">
        <f t="shared" si="1"/>
        <v>Last Minute</v>
      </c>
      <c r="K646" s="9">
        <v>11214.0</v>
      </c>
    </row>
    <row r="647" ht="15.75" customHeight="1">
      <c r="A647" s="5" t="s">
        <v>2115</v>
      </c>
      <c r="B647" s="5" t="s">
        <v>1234</v>
      </c>
      <c r="C647" s="5" t="s">
        <v>504</v>
      </c>
      <c r="D647" s="5" t="s">
        <v>43</v>
      </c>
      <c r="E647" s="5" t="s">
        <v>68</v>
      </c>
      <c r="F647" s="5" t="s">
        <v>34</v>
      </c>
      <c r="G647" s="6" t="s">
        <v>66</v>
      </c>
      <c r="H647" s="5">
        <v>11.33</v>
      </c>
      <c r="I647" s="5">
        <v>39.0</v>
      </c>
      <c r="J647" s="5" t="str">
        <f t="shared" si="1"/>
        <v>Advance</v>
      </c>
      <c r="K647" s="9">
        <v>4515.0</v>
      </c>
    </row>
    <row r="648" ht="15.75" customHeight="1">
      <c r="A648" s="5" t="s">
        <v>2117</v>
      </c>
      <c r="B648" s="5" t="s">
        <v>1187</v>
      </c>
      <c r="C648" s="5" t="s">
        <v>504</v>
      </c>
      <c r="D648" s="5" t="s">
        <v>45</v>
      </c>
      <c r="E648" s="5" t="s">
        <v>49</v>
      </c>
      <c r="F648" s="5" t="s">
        <v>34</v>
      </c>
      <c r="G648" s="6" t="s">
        <v>180</v>
      </c>
      <c r="H648" s="5">
        <v>21.5</v>
      </c>
      <c r="I648" s="5">
        <v>11.0</v>
      </c>
      <c r="J648" s="5" t="str">
        <f t="shared" si="1"/>
        <v>Short Notice</v>
      </c>
      <c r="K648" s="9">
        <v>12054.0</v>
      </c>
    </row>
    <row r="649" ht="15.75" customHeight="1">
      <c r="A649" s="5" t="s">
        <v>2118</v>
      </c>
      <c r="B649" s="5" t="s">
        <v>1185</v>
      </c>
      <c r="C649" s="5" t="s">
        <v>504</v>
      </c>
      <c r="D649" s="5" t="s">
        <v>45</v>
      </c>
      <c r="E649" s="5" t="s">
        <v>49</v>
      </c>
      <c r="F649" s="5" t="s">
        <v>34</v>
      </c>
      <c r="G649" s="6" t="s">
        <v>66</v>
      </c>
      <c r="H649" s="5">
        <v>19.92</v>
      </c>
      <c r="I649" s="5">
        <v>43.0</v>
      </c>
      <c r="J649" s="5" t="str">
        <f t="shared" si="1"/>
        <v>Advance</v>
      </c>
      <c r="K649" s="9">
        <v>8938.0</v>
      </c>
    </row>
    <row r="650" ht="15.75" customHeight="1">
      <c r="A650" s="5" t="s">
        <v>2120</v>
      </c>
      <c r="B650" s="5" t="s">
        <v>1154</v>
      </c>
      <c r="C650" s="5" t="s">
        <v>504</v>
      </c>
      <c r="D650" s="5" t="s">
        <v>58</v>
      </c>
      <c r="E650" s="5" t="s">
        <v>59</v>
      </c>
      <c r="F650" s="5" t="s">
        <v>34</v>
      </c>
      <c r="G650" s="6" t="s">
        <v>66</v>
      </c>
      <c r="H650" s="5">
        <v>13.92</v>
      </c>
      <c r="I650" s="5">
        <v>16.0</v>
      </c>
      <c r="J650" s="5" t="str">
        <f t="shared" si="1"/>
        <v>Moderate</v>
      </c>
      <c r="K650" s="9">
        <v>6308.0</v>
      </c>
    </row>
    <row r="651" ht="15.75" customHeight="1">
      <c r="A651" s="5" t="s">
        <v>2123</v>
      </c>
      <c r="B651" s="5" t="s">
        <v>1160</v>
      </c>
      <c r="C651" s="5" t="s">
        <v>504</v>
      </c>
      <c r="D651" s="5" t="s">
        <v>43</v>
      </c>
      <c r="E651" s="5" t="s">
        <v>68</v>
      </c>
      <c r="F651" s="5" t="s">
        <v>34</v>
      </c>
      <c r="G651" s="6" t="s">
        <v>66</v>
      </c>
      <c r="H651" s="5">
        <v>6.58</v>
      </c>
      <c r="I651" s="5">
        <v>27.0</v>
      </c>
      <c r="J651" s="5" t="str">
        <f t="shared" si="1"/>
        <v>Moderate</v>
      </c>
      <c r="K651" s="9">
        <v>6676.0</v>
      </c>
    </row>
    <row r="652" ht="15.75" customHeight="1">
      <c r="A652" s="5" t="s">
        <v>2126</v>
      </c>
      <c r="B652" s="5" t="s">
        <v>1232</v>
      </c>
      <c r="C652" s="5" t="s">
        <v>504</v>
      </c>
      <c r="D652" s="5" t="s">
        <v>45</v>
      </c>
      <c r="E652" s="5" t="s">
        <v>49</v>
      </c>
      <c r="F652" s="5" t="s">
        <v>34</v>
      </c>
      <c r="G652" s="6" t="s">
        <v>66</v>
      </c>
      <c r="H652" s="5">
        <v>24.33</v>
      </c>
      <c r="I652" s="5">
        <v>47.0</v>
      </c>
      <c r="J652" s="5" t="str">
        <f t="shared" si="1"/>
        <v>Advance</v>
      </c>
      <c r="K652" s="9">
        <v>6179.0</v>
      </c>
    </row>
    <row r="653" ht="15.75" customHeight="1">
      <c r="A653" s="5" t="s">
        <v>2129</v>
      </c>
      <c r="B653" s="5" t="s">
        <v>1165</v>
      </c>
      <c r="C653" s="5" t="s">
        <v>504</v>
      </c>
      <c r="D653" s="5" t="s">
        <v>45</v>
      </c>
      <c r="E653" s="5" t="s">
        <v>49</v>
      </c>
      <c r="F653" s="5" t="s">
        <v>34</v>
      </c>
      <c r="G653" s="6" t="s">
        <v>66</v>
      </c>
      <c r="H653" s="5">
        <v>19.75</v>
      </c>
      <c r="I653" s="5">
        <v>36.0</v>
      </c>
      <c r="J653" s="5" t="str">
        <f t="shared" si="1"/>
        <v>Advance</v>
      </c>
      <c r="K653" s="9">
        <v>5102.0</v>
      </c>
    </row>
    <row r="654" ht="15.75" customHeight="1">
      <c r="A654" s="5" t="s">
        <v>2132</v>
      </c>
      <c r="B654" s="5" t="s">
        <v>1243</v>
      </c>
      <c r="C654" s="5" t="s">
        <v>504</v>
      </c>
      <c r="D654" s="5" t="s">
        <v>72</v>
      </c>
      <c r="E654" s="5" t="s">
        <v>266</v>
      </c>
      <c r="F654" s="5" t="s">
        <v>34</v>
      </c>
      <c r="G654" s="6" t="s">
        <v>66</v>
      </c>
      <c r="H654" s="5">
        <v>24.42</v>
      </c>
      <c r="I654" s="5">
        <v>44.0</v>
      </c>
      <c r="J654" s="5" t="str">
        <f t="shared" si="1"/>
        <v>Advance</v>
      </c>
      <c r="K654" s="9">
        <v>5509.0</v>
      </c>
    </row>
    <row r="655" ht="15.75" customHeight="1">
      <c r="A655" s="5" t="s">
        <v>2134</v>
      </c>
      <c r="B655" s="5" t="s">
        <v>1247</v>
      </c>
      <c r="C655" s="5" t="s">
        <v>504</v>
      </c>
      <c r="D655" s="5" t="s">
        <v>58</v>
      </c>
      <c r="E655" s="5" t="s">
        <v>59</v>
      </c>
      <c r="F655" s="5" t="s">
        <v>34</v>
      </c>
      <c r="G655" s="6" t="s">
        <v>66</v>
      </c>
      <c r="H655" s="5">
        <v>14.58</v>
      </c>
      <c r="I655" s="5">
        <v>44.0</v>
      </c>
      <c r="J655" s="5" t="str">
        <f t="shared" si="1"/>
        <v>Advance</v>
      </c>
      <c r="K655" s="9">
        <v>5888.0</v>
      </c>
    </row>
    <row r="656" ht="15.75" customHeight="1">
      <c r="A656" s="5" t="s">
        <v>2135</v>
      </c>
      <c r="B656" s="5" t="s">
        <v>1203</v>
      </c>
      <c r="C656" s="5" t="s">
        <v>504</v>
      </c>
      <c r="D656" s="5" t="s">
        <v>72</v>
      </c>
      <c r="E656" s="5" t="s">
        <v>266</v>
      </c>
      <c r="F656" s="5" t="s">
        <v>34</v>
      </c>
      <c r="G656" s="6" t="s">
        <v>66</v>
      </c>
      <c r="H656" s="5">
        <v>21.92</v>
      </c>
      <c r="I656" s="5">
        <v>44.0</v>
      </c>
      <c r="J656" s="5" t="str">
        <f t="shared" si="1"/>
        <v>Advance</v>
      </c>
      <c r="K656" s="9">
        <v>6625.0</v>
      </c>
    </row>
    <row r="657" ht="15.75" customHeight="1">
      <c r="A657" s="5" t="s">
        <v>2136</v>
      </c>
      <c r="B657" s="5" t="s">
        <v>1255</v>
      </c>
      <c r="C657" s="5" t="s">
        <v>504</v>
      </c>
      <c r="D657" s="5" t="s">
        <v>45</v>
      </c>
      <c r="E657" s="5" t="s">
        <v>49</v>
      </c>
      <c r="F657" s="5" t="s">
        <v>34</v>
      </c>
      <c r="G657" s="6" t="s">
        <v>37</v>
      </c>
      <c r="H657" s="5">
        <v>3.0</v>
      </c>
      <c r="I657" s="5">
        <v>46.0</v>
      </c>
      <c r="J657" s="5" t="str">
        <f t="shared" si="1"/>
        <v>Advance</v>
      </c>
      <c r="K657" s="9">
        <v>3381.0</v>
      </c>
    </row>
    <row r="658" ht="15.75" customHeight="1">
      <c r="A658" s="5" t="s">
        <v>2137</v>
      </c>
      <c r="B658" s="5" t="s">
        <v>1189</v>
      </c>
      <c r="C658" s="5" t="s">
        <v>504</v>
      </c>
      <c r="D658" s="5" t="s">
        <v>43</v>
      </c>
      <c r="E658" s="5" t="s">
        <v>68</v>
      </c>
      <c r="F658" s="5" t="s">
        <v>34</v>
      </c>
      <c r="G658" s="6" t="s">
        <v>37</v>
      </c>
      <c r="H658" s="5">
        <v>2.75</v>
      </c>
      <c r="I658" s="5">
        <v>46.0</v>
      </c>
      <c r="J658" s="5" t="str">
        <f t="shared" si="1"/>
        <v>Advance</v>
      </c>
      <c r="K658" s="9">
        <v>4499.0</v>
      </c>
    </row>
    <row r="659" ht="15.75" customHeight="1">
      <c r="A659" s="5" t="s">
        <v>2138</v>
      </c>
      <c r="B659" s="5" t="s">
        <v>1164</v>
      </c>
      <c r="C659" s="5" t="s">
        <v>504</v>
      </c>
      <c r="D659" s="5" t="s">
        <v>45</v>
      </c>
      <c r="E659" s="5" t="s">
        <v>49</v>
      </c>
      <c r="F659" s="5" t="s">
        <v>34</v>
      </c>
      <c r="G659" s="6" t="s">
        <v>66</v>
      </c>
      <c r="H659" s="5">
        <v>14.33</v>
      </c>
      <c r="I659" s="5">
        <v>45.0</v>
      </c>
      <c r="J659" s="5" t="str">
        <f t="shared" si="1"/>
        <v>Advance</v>
      </c>
      <c r="K659" s="9">
        <v>5102.0</v>
      </c>
    </row>
    <row r="660" ht="15.75" customHeight="1">
      <c r="A660" s="5" t="s">
        <v>2139</v>
      </c>
      <c r="B660" s="5" t="s">
        <v>1205</v>
      </c>
      <c r="C660" s="5" t="s">
        <v>504</v>
      </c>
      <c r="D660" s="5" t="s">
        <v>58</v>
      </c>
      <c r="E660" s="5" t="s">
        <v>59</v>
      </c>
      <c r="F660" s="5" t="s">
        <v>34</v>
      </c>
      <c r="G660" s="6" t="s">
        <v>66</v>
      </c>
      <c r="H660" s="5">
        <v>7.42</v>
      </c>
      <c r="I660" s="5">
        <v>46.0</v>
      </c>
      <c r="J660" s="5" t="str">
        <f t="shared" si="1"/>
        <v>Advance</v>
      </c>
      <c r="K660" s="9">
        <v>5888.0</v>
      </c>
    </row>
    <row r="661" ht="15.75" customHeight="1">
      <c r="A661" s="5" t="s">
        <v>2140</v>
      </c>
      <c r="B661" s="5" t="s">
        <v>1327</v>
      </c>
      <c r="C661" s="5" t="s">
        <v>516</v>
      </c>
      <c r="D661" s="5" t="s">
        <v>29</v>
      </c>
      <c r="E661" s="5" t="s">
        <v>32</v>
      </c>
      <c r="F661" s="5" t="s">
        <v>34</v>
      </c>
      <c r="G661" s="6" t="s">
        <v>66</v>
      </c>
      <c r="H661" s="5">
        <v>4.17</v>
      </c>
      <c r="I661" s="5">
        <v>24.0</v>
      </c>
      <c r="J661" s="5" t="str">
        <f t="shared" si="1"/>
        <v>Moderate</v>
      </c>
      <c r="K661" s="9">
        <v>4648.0</v>
      </c>
    </row>
    <row r="662" ht="15.75" customHeight="1">
      <c r="A662" s="5" t="s">
        <v>2141</v>
      </c>
      <c r="B662" s="5" t="s">
        <v>1282</v>
      </c>
      <c r="C662" s="5" t="s">
        <v>516</v>
      </c>
      <c r="D662" s="5" t="s">
        <v>20</v>
      </c>
      <c r="E662" s="5" t="s">
        <v>52</v>
      </c>
      <c r="F662" s="5" t="s">
        <v>34</v>
      </c>
      <c r="G662" s="6" t="s">
        <v>66</v>
      </c>
      <c r="H662" s="5">
        <v>29.08</v>
      </c>
      <c r="I662" s="5">
        <v>1.0</v>
      </c>
      <c r="J662" s="5" t="str">
        <f t="shared" si="1"/>
        <v>Last Minute</v>
      </c>
      <c r="K662" s="9">
        <v>17094.0</v>
      </c>
    </row>
    <row r="663" ht="15.75" customHeight="1">
      <c r="A663" s="5" t="s">
        <v>2144</v>
      </c>
      <c r="B663" s="5" t="s">
        <v>1353</v>
      </c>
      <c r="C663" s="5" t="s">
        <v>516</v>
      </c>
      <c r="D663" s="5" t="s">
        <v>45</v>
      </c>
      <c r="E663" s="5" t="s">
        <v>49</v>
      </c>
      <c r="F663" s="5" t="s">
        <v>34</v>
      </c>
      <c r="G663" s="6" t="s">
        <v>66</v>
      </c>
      <c r="H663" s="5">
        <v>28.0</v>
      </c>
      <c r="I663" s="5">
        <v>1.0</v>
      </c>
      <c r="J663" s="5" t="str">
        <f t="shared" si="1"/>
        <v>Last Minute</v>
      </c>
      <c r="K663" s="9">
        <v>17829.0</v>
      </c>
    </row>
    <row r="664" ht="15.75" customHeight="1">
      <c r="A664" s="5" t="s">
        <v>2147</v>
      </c>
      <c r="B664" s="5" t="s">
        <v>1295</v>
      </c>
      <c r="C664" s="5" t="s">
        <v>516</v>
      </c>
      <c r="D664" s="5" t="s">
        <v>29</v>
      </c>
      <c r="E664" s="5" t="s">
        <v>32</v>
      </c>
      <c r="F664" s="5" t="s">
        <v>34</v>
      </c>
      <c r="G664" s="6" t="s">
        <v>180</v>
      </c>
      <c r="H664" s="5">
        <v>10.83</v>
      </c>
      <c r="I664" s="5">
        <v>13.0</v>
      </c>
      <c r="J664" s="5" t="str">
        <f t="shared" si="1"/>
        <v>Short Notice</v>
      </c>
      <c r="K664" s="9">
        <v>4555.0</v>
      </c>
    </row>
    <row r="665" ht="15.75" customHeight="1">
      <c r="A665" s="5" t="s">
        <v>2149</v>
      </c>
      <c r="B665" s="5" t="s">
        <v>1278</v>
      </c>
      <c r="C665" s="5" t="s">
        <v>516</v>
      </c>
      <c r="D665" s="5" t="s">
        <v>43</v>
      </c>
      <c r="E665" s="5" t="s">
        <v>68</v>
      </c>
      <c r="F665" s="5" t="s">
        <v>34</v>
      </c>
      <c r="G665" s="6" t="s">
        <v>66</v>
      </c>
      <c r="H665" s="5">
        <v>8.42</v>
      </c>
      <c r="I665" s="5">
        <v>28.0</v>
      </c>
      <c r="J665" s="5" t="str">
        <f t="shared" si="1"/>
        <v>Moderate</v>
      </c>
      <c r="K665" s="9">
        <v>6489.0</v>
      </c>
    </row>
    <row r="666" ht="15.75" customHeight="1">
      <c r="A666" s="5" t="s">
        <v>2151</v>
      </c>
      <c r="B666" s="5" t="s">
        <v>1346</v>
      </c>
      <c r="C666" s="5" t="s">
        <v>516</v>
      </c>
      <c r="D666" s="5" t="s">
        <v>45</v>
      </c>
      <c r="E666" s="5" t="s">
        <v>49</v>
      </c>
      <c r="F666" s="5" t="s">
        <v>53</v>
      </c>
      <c r="G666" s="6" t="s">
        <v>66</v>
      </c>
      <c r="H666" s="5">
        <v>9.0</v>
      </c>
      <c r="I666" s="5">
        <v>2.0</v>
      </c>
      <c r="J666" s="5" t="str">
        <f t="shared" si="1"/>
        <v>Last Minute</v>
      </c>
      <c r="K666" s="9">
        <v>63218.0</v>
      </c>
    </row>
    <row r="667" ht="15.75" customHeight="1">
      <c r="A667" s="5" t="s">
        <v>2153</v>
      </c>
      <c r="B667" s="5" t="s">
        <v>1361</v>
      </c>
      <c r="C667" s="5" t="s">
        <v>516</v>
      </c>
      <c r="D667" s="5" t="s">
        <v>45</v>
      </c>
      <c r="E667" s="5" t="s">
        <v>49</v>
      </c>
      <c r="F667" s="5" t="s">
        <v>34</v>
      </c>
      <c r="G667" s="6" t="s">
        <v>66</v>
      </c>
      <c r="H667" s="5">
        <v>17.42</v>
      </c>
      <c r="I667" s="5">
        <v>37.0</v>
      </c>
      <c r="J667" s="5" t="str">
        <f t="shared" si="1"/>
        <v>Advance</v>
      </c>
      <c r="K667" s="9">
        <v>7579.0</v>
      </c>
    </row>
    <row r="668" ht="15.75" customHeight="1">
      <c r="A668" s="5" t="s">
        <v>2155</v>
      </c>
      <c r="B668" s="5" t="s">
        <v>1314</v>
      </c>
      <c r="C668" s="5" t="s">
        <v>516</v>
      </c>
      <c r="D668" s="5" t="s">
        <v>20</v>
      </c>
      <c r="E668" s="5" t="s">
        <v>52</v>
      </c>
      <c r="F668" s="5" t="s">
        <v>53</v>
      </c>
      <c r="G668" s="6" t="s">
        <v>66</v>
      </c>
      <c r="H668" s="5">
        <v>27.92</v>
      </c>
      <c r="I668" s="5">
        <v>5.0</v>
      </c>
      <c r="J668" s="5" t="str">
        <f t="shared" si="1"/>
        <v>Last Minute</v>
      </c>
      <c r="K668" s="9">
        <v>87746.0</v>
      </c>
    </row>
    <row r="669" ht="15.75" customHeight="1">
      <c r="A669" s="5" t="s">
        <v>2156</v>
      </c>
      <c r="B669" s="5" t="s">
        <v>1379</v>
      </c>
      <c r="C669" s="5" t="s">
        <v>516</v>
      </c>
      <c r="D669" s="5" t="s">
        <v>43</v>
      </c>
      <c r="E669" s="5" t="s">
        <v>68</v>
      </c>
      <c r="F669" s="5" t="s">
        <v>34</v>
      </c>
      <c r="G669" s="6" t="s">
        <v>180</v>
      </c>
      <c r="H669" s="5">
        <v>9.33</v>
      </c>
      <c r="I669" s="5">
        <v>9.0</v>
      </c>
      <c r="J669" s="5" t="str">
        <f t="shared" si="1"/>
        <v>Short Notice</v>
      </c>
      <c r="K669" s="9">
        <v>8495.0</v>
      </c>
    </row>
    <row r="670" ht="15.75" customHeight="1">
      <c r="A670" s="5" t="s">
        <v>2158</v>
      </c>
      <c r="B670" s="5" t="s">
        <v>1321</v>
      </c>
      <c r="C670" s="5" t="s">
        <v>516</v>
      </c>
      <c r="D670" s="5" t="s">
        <v>29</v>
      </c>
      <c r="E670" s="5" t="s">
        <v>32</v>
      </c>
      <c r="F670" s="5" t="s">
        <v>34</v>
      </c>
      <c r="G670" s="6" t="s">
        <v>66</v>
      </c>
      <c r="H670" s="5">
        <v>11.08</v>
      </c>
      <c r="I670" s="5">
        <v>24.0</v>
      </c>
      <c r="J670" s="5" t="str">
        <f t="shared" si="1"/>
        <v>Moderate</v>
      </c>
      <c r="K670" s="9">
        <v>6372.0</v>
      </c>
    </row>
    <row r="671" ht="15.75" customHeight="1">
      <c r="A671" s="5" t="s">
        <v>2159</v>
      </c>
      <c r="B671" s="5" t="s">
        <v>1287</v>
      </c>
      <c r="C671" s="5" t="s">
        <v>516</v>
      </c>
      <c r="D671" s="5" t="s">
        <v>43</v>
      </c>
      <c r="E671" s="5" t="s">
        <v>68</v>
      </c>
      <c r="F671" s="5" t="s">
        <v>34</v>
      </c>
      <c r="G671" s="6" t="s">
        <v>180</v>
      </c>
      <c r="H671" s="5">
        <v>7.33</v>
      </c>
      <c r="I671" s="5">
        <v>2.0</v>
      </c>
      <c r="J671" s="5" t="str">
        <f t="shared" si="1"/>
        <v>Last Minute</v>
      </c>
      <c r="K671" s="9">
        <v>15818.0</v>
      </c>
    </row>
    <row r="672" ht="15.75" customHeight="1">
      <c r="A672" s="5" t="s">
        <v>2160</v>
      </c>
      <c r="B672" s="5" t="s">
        <v>1349</v>
      </c>
      <c r="C672" s="5" t="s">
        <v>516</v>
      </c>
      <c r="D672" s="5" t="s">
        <v>20</v>
      </c>
      <c r="E672" s="5" t="s">
        <v>52</v>
      </c>
      <c r="F672" s="5" t="s">
        <v>34</v>
      </c>
      <c r="G672" s="6" t="s">
        <v>66</v>
      </c>
      <c r="H672" s="5">
        <v>17.08</v>
      </c>
      <c r="I672" s="5">
        <v>43.0</v>
      </c>
      <c r="J672" s="5" t="str">
        <f t="shared" si="1"/>
        <v>Advance</v>
      </c>
      <c r="K672" s="9">
        <v>8111.0</v>
      </c>
    </row>
    <row r="673" ht="15.75" customHeight="1">
      <c r="A673" s="5" t="s">
        <v>2161</v>
      </c>
      <c r="B673" s="5" t="s">
        <v>1331</v>
      </c>
      <c r="C673" s="5" t="s">
        <v>516</v>
      </c>
      <c r="D673" s="5" t="s">
        <v>20</v>
      </c>
      <c r="E673" s="5" t="s">
        <v>52</v>
      </c>
      <c r="F673" s="5" t="s">
        <v>34</v>
      </c>
      <c r="G673" s="6" t="s">
        <v>66</v>
      </c>
      <c r="H673" s="5">
        <v>24.42</v>
      </c>
      <c r="I673" s="5">
        <v>2.0</v>
      </c>
      <c r="J673" s="5" t="str">
        <f t="shared" si="1"/>
        <v>Last Minute</v>
      </c>
      <c r="K673" s="9">
        <v>18710.0</v>
      </c>
    </row>
    <row r="674" ht="15.75" customHeight="1">
      <c r="A674" s="5" t="s">
        <v>2162</v>
      </c>
      <c r="B674" s="5" t="s">
        <v>1336</v>
      </c>
      <c r="C674" s="5" t="s">
        <v>516</v>
      </c>
      <c r="D674" s="5" t="s">
        <v>20</v>
      </c>
      <c r="E674" s="5" t="s">
        <v>52</v>
      </c>
      <c r="F674" s="5" t="s">
        <v>34</v>
      </c>
      <c r="G674" s="6" t="s">
        <v>66</v>
      </c>
      <c r="H674" s="5">
        <v>27.67</v>
      </c>
      <c r="I674" s="5">
        <v>3.0</v>
      </c>
      <c r="J674" s="5" t="str">
        <f t="shared" si="1"/>
        <v>Last Minute</v>
      </c>
      <c r="K674" s="9">
        <v>16359.0</v>
      </c>
    </row>
    <row r="675" ht="15.75" customHeight="1">
      <c r="A675" s="5" t="s">
        <v>2163</v>
      </c>
      <c r="B675" s="5" t="s">
        <v>1339</v>
      </c>
      <c r="C675" s="5" t="s">
        <v>516</v>
      </c>
      <c r="D675" s="5" t="s">
        <v>43</v>
      </c>
      <c r="E675" s="5" t="s">
        <v>68</v>
      </c>
      <c r="F675" s="5" t="s">
        <v>34</v>
      </c>
      <c r="G675" s="6" t="s">
        <v>180</v>
      </c>
      <c r="H675" s="5">
        <v>13.5</v>
      </c>
      <c r="I675" s="5">
        <v>41.0</v>
      </c>
      <c r="J675" s="5" t="str">
        <f t="shared" si="1"/>
        <v>Advance</v>
      </c>
      <c r="K675" s="9">
        <v>4944.0</v>
      </c>
    </row>
    <row r="676" ht="15.75" customHeight="1">
      <c r="A676" s="5" t="s">
        <v>2164</v>
      </c>
      <c r="B676" s="5" t="s">
        <v>1270</v>
      </c>
      <c r="C676" s="5" t="s">
        <v>516</v>
      </c>
      <c r="D676" s="5" t="s">
        <v>43</v>
      </c>
      <c r="E676" s="5" t="s">
        <v>68</v>
      </c>
      <c r="F676" s="5" t="s">
        <v>34</v>
      </c>
      <c r="G676" s="6" t="s">
        <v>180</v>
      </c>
      <c r="H676" s="5">
        <v>14.17</v>
      </c>
      <c r="I676" s="5">
        <v>20.0</v>
      </c>
      <c r="J676" s="5" t="str">
        <f t="shared" si="1"/>
        <v>Moderate</v>
      </c>
      <c r="K676" s="9">
        <v>6489.0</v>
      </c>
    </row>
    <row r="677" ht="15.75" customHeight="1">
      <c r="A677" s="5" t="s">
        <v>2166</v>
      </c>
      <c r="B677" s="5" t="s">
        <v>1369</v>
      </c>
      <c r="C677" s="5" t="s">
        <v>516</v>
      </c>
      <c r="D677" s="5" t="s">
        <v>72</v>
      </c>
      <c r="E677" s="5" t="s">
        <v>266</v>
      </c>
      <c r="F677" s="5" t="s">
        <v>34</v>
      </c>
      <c r="G677" s="6" t="s">
        <v>37</v>
      </c>
      <c r="H677" s="5">
        <v>2.67</v>
      </c>
      <c r="I677" s="5">
        <v>14.0</v>
      </c>
      <c r="J677" s="5" t="str">
        <f t="shared" si="1"/>
        <v>Short Notice</v>
      </c>
      <c r="K677" s="9">
        <v>6488.0</v>
      </c>
    </row>
    <row r="678" ht="15.75" customHeight="1">
      <c r="A678" s="5" t="s">
        <v>2168</v>
      </c>
      <c r="B678" s="5" t="s">
        <v>1299</v>
      </c>
      <c r="C678" s="5" t="s">
        <v>516</v>
      </c>
      <c r="D678" s="5" t="s">
        <v>20</v>
      </c>
      <c r="E678" s="5" t="s">
        <v>52</v>
      </c>
      <c r="F678" s="5" t="s">
        <v>34</v>
      </c>
      <c r="G678" s="6" t="s">
        <v>66</v>
      </c>
      <c r="H678" s="5">
        <v>26.25</v>
      </c>
      <c r="I678" s="5">
        <v>8.0</v>
      </c>
      <c r="J678" s="5" t="str">
        <f t="shared" si="1"/>
        <v>Short Notice</v>
      </c>
      <c r="K678" s="9">
        <v>10961.0</v>
      </c>
    </row>
    <row r="679" ht="15.75" customHeight="1">
      <c r="A679" s="5" t="s">
        <v>2169</v>
      </c>
      <c r="B679" s="5" t="s">
        <v>1355</v>
      </c>
      <c r="C679" s="5" t="s">
        <v>516</v>
      </c>
      <c r="D679" s="5" t="s">
        <v>45</v>
      </c>
      <c r="E679" s="5" t="s">
        <v>49</v>
      </c>
      <c r="F679" s="5" t="s">
        <v>34</v>
      </c>
      <c r="G679" s="6" t="s">
        <v>66</v>
      </c>
      <c r="H679" s="5">
        <v>34.67</v>
      </c>
      <c r="I679" s="5">
        <v>11.0</v>
      </c>
      <c r="J679" s="5" t="str">
        <f t="shared" si="1"/>
        <v>Short Notice</v>
      </c>
      <c r="K679" s="9">
        <v>12792.0</v>
      </c>
    </row>
    <row r="680" ht="15.75" customHeight="1">
      <c r="A680" s="5" t="s">
        <v>2171</v>
      </c>
      <c r="B680" s="5" t="s">
        <v>1325</v>
      </c>
      <c r="C680" s="5" t="s">
        <v>516</v>
      </c>
      <c r="D680" s="5" t="s">
        <v>43</v>
      </c>
      <c r="E680" s="5" t="s">
        <v>68</v>
      </c>
      <c r="F680" s="5" t="s">
        <v>34</v>
      </c>
      <c r="G680" s="6" t="s">
        <v>37</v>
      </c>
      <c r="H680" s="5">
        <v>2.75</v>
      </c>
      <c r="I680" s="5">
        <v>4.0</v>
      </c>
      <c r="J680" s="5" t="str">
        <f t="shared" si="1"/>
        <v>Last Minute</v>
      </c>
      <c r="K680" s="9">
        <v>16254.0</v>
      </c>
    </row>
    <row r="681" ht="15.75" customHeight="1">
      <c r="A681" s="5" t="s">
        <v>2173</v>
      </c>
      <c r="B681" s="5" t="s">
        <v>1284</v>
      </c>
      <c r="C681" s="5" t="s">
        <v>516</v>
      </c>
      <c r="D681" s="5" t="s">
        <v>20</v>
      </c>
      <c r="E681" s="5" t="s">
        <v>52</v>
      </c>
      <c r="F681" s="5" t="s">
        <v>34</v>
      </c>
      <c r="G681" s="6" t="s">
        <v>66</v>
      </c>
      <c r="H681" s="5">
        <v>9.0</v>
      </c>
      <c r="J681" s="5" t="str">
        <f t="shared" si="1"/>
        <v>Last Minute</v>
      </c>
      <c r="K681" s="9">
        <v>21294.0</v>
      </c>
    </row>
    <row r="682" ht="15.75" customHeight="1">
      <c r="A682" s="5" t="s">
        <v>2174</v>
      </c>
      <c r="B682" s="5" t="s">
        <v>1350</v>
      </c>
      <c r="C682" s="5" t="s">
        <v>516</v>
      </c>
      <c r="D682" s="5" t="s">
        <v>45</v>
      </c>
      <c r="E682" s="5" t="s">
        <v>49</v>
      </c>
      <c r="F682" s="5" t="s">
        <v>34</v>
      </c>
      <c r="G682" s="6" t="s">
        <v>180</v>
      </c>
      <c r="H682" s="5">
        <v>19.42</v>
      </c>
      <c r="I682" s="5">
        <v>13.0</v>
      </c>
      <c r="J682" s="5" t="str">
        <f t="shared" si="1"/>
        <v>Short Notice</v>
      </c>
      <c r="K682" s="9">
        <v>12792.0</v>
      </c>
    </row>
    <row r="683" ht="15.75" customHeight="1">
      <c r="A683" s="5" t="s">
        <v>2176</v>
      </c>
      <c r="B683" s="5" t="s">
        <v>1386</v>
      </c>
      <c r="C683" s="5" t="s">
        <v>516</v>
      </c>
      <c r="D683" s="5" t="s">
        <v>29</v>
      </c>
      <c r="E683" s="5" t="s">
        <v>32</v>
      </c>
      <c r="F683" s="5" t="s">
        <v>34</v>
      </c>
      <c r="G683" s="6" t="s">
        <v>66</v>
      </c>
      <c r="H683" s="5">
        <v>7.0</v>
      </c>
      <c r="I683" s="5">
        <v>9.0</v>
      </c>
      <c r="J683" s="5" t="str">
        <f t="shared" si="1"/>
        <v>Short Notice</v>
      </c>
      <c r="K683" s="9">
        <v>4555.0</v>
      </c>
    </row>
    <row r="684" ht="15.75" customHeight="1">
      <c r="A684" s="5" t="s">
        <v>2178</v>
      </c>
      <c r="B684" s="5" t="s">
        <v>1315</v>
      </c>
      <c r="C684" s="5" t="s">
        <v>516</v>
      </c>
      <c r="D684" s="5" t="s">
        <v>45</v>
      </c>
      <c r="E684" s="5" t="s">
        <v>49</v>
      </c>
      <c r="F684" s="5" t="s">
        <v>34</v>
      </c>
      <c r="G684" s="6" t="s">
        <v>180</v>
      </c>
      <c r="H684" s="5">
        <v>12.25</v>
      </c>
      <c r="J684" s="5" t="str">
        <f t="shared" si="1"/>
        <v>Last Minute</v>
      </c>
      <c r="K684" s="9">
        <v>21347.0</v>
      </c>
    </row>
    <row r="685" ht="15.75" customHeight="1">
      <c r="A685" s="5" t="s">
        <v>2180</v>
      </c>
      <c r="B685" s="5" t="s">
        <v>1266</v>
      </c>
      <c r="C685" s="5" t="s">
        <v>516</v>
      </c>
      <c r="D685" s="5" t="s">
        <v>20</v>
      </c>
      <c r="E685" s="5" t="s">
        <v>52</v>
      </c>
      <c r="F685" s="5" t="s">
        <v>34</v>
      </c>
      <c r="G685" s="6" t="s">
        <v>180</v>
      </c>
      <c r="H685" s="5">
        <v>24.0</v>
      </c>
      <c r="I685" s="5">
        <v>16.0</v>
      </c>
      <c r="J685" s="5" t="str">
        <f t="shared" si="1"/>
        <v>Moderate</v>
      </c>
      <c r="K685" s="9">
        <v>8111.0</v>
      </c>
    </row>
    <row r="686" ht="15.75" customHeight="1">
      <c r="A686" s="5" t="s">
        <v>2183</v>
      </c>
      <c r="B686" s="5" t="s">
        <v>1268</v>
      </c>
      <c r="C686" s="5" t="s">
        <v>516</v>
      </c>
      <c r="D686" s="5" t="s">
        <v>20</v>
      </c>
      <c r="E686" s="5" t="s">
        <v>52</v>
      </c>
      <c r="F686" s="5" t="s">
        <v>34</v>
      </c>
      <c r="G686" s="6" t="s">
        <v>180</v>
      </c>
      <c r="H686" s="5">
        <v>9.83</v>
      </c>
      <c r="I686" s="5">
        <v>43.0</v>
      </c>
      <c r="J686" s="5" t="str">
        <f t="shared" si="1"/>
        <v>Advance</v>
      </c>
      <c r="K686" s="9">
        <v>8111.0</v>
      </c>
    </row>
    <row r="687" ht="15.75" customHeight="1">
      <c r="A687" s="5" t="s">
        <v>2184</v>
      </c>
      <c r="B687" s="5" t="s">
        <v>1343</v>
      </c>
      <c r="C687" s="5" t="s">
        <v>516</v>
      </c>
      <c r="D687" s="5" t="s">
        <v>20</v>
      </c>
      <c r="E687" s="5" t="s">
        <v>52</v>
      </c>
      <c r="F687" s="5" t="s">
        <v>34</v>
      </c>
      <c r="G687" s="6" t="s">
        <v>180</v>
      </c>
      <c r="H687" s="5">
        <v>16.17</v>
      </c>
      <c r="I687" s="5">
        <v>31.0</v>
      </c>
      <c r="J687" s="5" t="str">
        <f t="shared" si="1"/>
        <v>Advance</v>
      </c>
      <c r="K687" s="9">
        <v>8111.0</v>
      </c>
    </row>
    <row r="688" ht="15.75" customHeight="1">
      <c r="A688" s="5" t="s">
        <v>2187</v>
      </c>
      <c r="B688" s="5" t="s">
        <v>1318</v>
      </c>
      <c r="C688" s="5" t="s">
        <v>516</v>
      </c>
      <c r="D688" s="5" t="s">
        <v>20</v>
      </c>
      <c r="E688" s="5" t="s">
        <v>52</v>
      </c>
      <c r="F688" s="5" t="s">
        <v>34</v>
      </c>
      <c r="G688" s="6" t="s">
        <v>180</v>
      </c>
      <c r="H688" s="5">
        <v>15.5</v>
      </c>
      <c r="I688" s="5">
        <v>48.0</v>
      </c>
      <c r="J688" s="5" t="str">
        <f t="shared" si="1"/>
        <v>Advance</v>
      </c>
      <c r="K688" s="9">
        <v>8111.0</v>
      </c>
    </row>
    <row r="689" ht="15.75" customHeight="1">
      <c r="A689" s="5" t="s">
        <v>2189</v>
      </c>
      <c r="B689" s="5" t="s">
        <v>1305</v>
      </c>
      <c r="C689" s="5" t="s">
        <v>516</v>
      </c>
      <c r="D689" s="5" t="s">
        <v>43</v>
      </c>
      <c r="E689" s="5" t="s">
        <v>68</v>
      </c>
      <c r="F689" s="5" t="s">
        <v>34</v>
      </c>
      <c r="G689" s="6" t="s">
        <v>66</v>
      </c>
      <c r="H689" s="5">
        <v>10.25</v>
      </c>
      <c r="I689" s="5">
        <v>40.0</v>
      </c>
      <c r="J689" s="5" t="str">
        <f t="shared" si="1"/>
        <v>Advance</v>
      </c>
      <c r="K689" s="9">
        <v>4944.0</v>
      </c>
    </row>
    <row r="690" ht="15.75" customHeight="1">
      <c r="A690" s="5" t="s">
        <v>2191</v>
      </c>
      <c r="B690" s="5" t="s">
        <v>1372</v>
      </c>
      <c r="C690" s="5" t="s">
        <v>516</v>
      </c>
      <c r="D690" s="5" t="s">
        <v>58</v>
      </c>
      <c r="E690" s="5" t="s">
        <v>59</v>
      </c>
      <c r="F690" s="5" t="s">
        <v>34</v>
      </c>
      <c r="G690" s="6" t="s">
        <v>66</v>
      </c>
      <c r="H690" s="5">
        <v>8.17</v>
      </c>
      <c r="I690" s="5">
        <v>29.0</v>
      </c>
      <c r="J690" s="5" t="str">
        <f t="shared" si="1"/>
        <v>Moderate</v>
      </c>
      <c r="K690" s="9">
        <v>12546.0</v>
      </c>
    </row>
    <row r="691" ht="15.75" customHeight="1">
      <c r="A691" s="5" t="s">
        <v>2194</v>
      </c>
      <c r="B691" s="5" t="s">
        <v>1364</v>
      </c>
      <c r="C691" s="5" t="s">
        <v>516</v>
      </c>
      <c r="D691" s="5" t="s">
        <v>43</v>
      </c>
      <c r="E691" s="5" t="s">
        <v>68</v>
      </c>
      <c r="F691" s="5" t="s">
        <v>34</v>
      </c>
      <c r="G691" s="6" t="s">
        <v>66</v>
      </c>
      <c r="H691" s="5">
        <v>11.17</v>
      </c>
      <c r="I691" s="5">
        <v>44.0</v>
      </c>
      <c r="J691" s="5" t="str">
        <f t="shared" si="1"/>
        <v>Advance</v>
      </c>
      <c r="K691" s="9">
        <v>3860.0</v>
      </c>
    </row>
    <row r="692" ht="15.75" customHeight="1">
      <c r="A692" s="5" t="s">
        <v>2196</v>
      </c>
      <c r="B692" s="5" t="s">
        <v>1274</v>
      </c>
      <c r="C692" s="5" t="s">
        <v>516</v>
      </c>
      <c r="D692" s="5" t="s">
        <v>43</v>
      </c>
      <c r="E692" s="5" t="s">
        <v>68</v>
      </c>
      <c r="F692" s="5" t="s">
        <v>34</v>
      </c>
      <c r="G692" s="6" t="s">
        <v>66</v>
      </c>
      <c r="H692" s="5">
        <v>4.83</v>
      </c>
      <c r="I692" s="5">
        <v>46.0</v>
      </c>
      <c r="J692" s="5" t="str">
        <f t="shared" si="1"/>
        <v>Advance</v>
      </c>
      <c r="K692" s="9">
        <v>3465.0</v>
      </c>
    </row>
    <row r="693" ht="15.75" customHeight="1">
      <c r="A693" s="5" t="s">
        <v>2198</v>
      </c>
      <c r="B693" s="5" t="s">
        <v>1291</v>
      </c>
      <c r="C693" s="5" t="s">
        <v>516</v>
      </c>
      <c r="D693" s="5" t="s">
        <v>43</v>
      </c>
      <c r="E693" s="5" t="s">
        <v>68</v>
      </c>
      <c r="F693" s="5" t="s">
        <v>34</v>
      </c>
      <c r="G693" s="6" t="s">
        <v>66</v>
      </c>
      <c r="H693" s="5">
        <v>4.92</v>
      </c>
      <c r="I693" s="5">
        <v>46.0</v>
      </c>
      <c r="J693" s="5" t="str">
        <f t="shared" si="1"/>
        <v>Advance</v>
      </c>
      <c r="K693" s="9">
        <v>3860.0</v>
      </c>
    </row>
    <row r="694" ht="15.75" customHeight="1">
      <c r="A694" s="5" t="s">
        <v>2200</v>
      </c>
      <c r="B694" s="5" t="s">
        <v>1290</v>
      </c>
      <c r="C694" s="5" t="s">
        <v>516</v>
      </c>
      <c r="D694" s="5" t="s">
        <v>43</v>
      </c>
      <c r="E694" s="5" t="s">
        <v>68</v>
      </c>
      <c r="F694" s="5" t="s">
        <v>34</v>
      </c>
      <c r="G694" s="6" t="s">
        <v>66</v>
      </c>
      <c r="H694" s="5">
        <v>7.58</v>
      </c>
      <c r="I694" s="5">
        <v>46.0</v>
      </c>
      <c r="J694" s="5" t="str">
        <f t="shared" si="1"/>
        <v>Advance</v>
      </c>
      <c r="K694" s="9">
        <v>3860.0</v>
      </c>
    </row>
    <row r="695" ht="15.75" customHeight="1">
      <c r="A695" s="5" t="s">
        <v>2202</v>
      </c>
      <c r="B695" s="5" t="s">
        <v>1302</v>
      </c>
      <c r="C695" s="5" t="s">
        <v>516</v>
      </c>
      <c r="D695" s="5" t="s">
        <v>43</v>
      </c>
      <c r="E695" s="5" t="s">
        <v>68</v>
      </c>
      <c r="F695" s="5" t="s">
        <v>34</v>
      </c>
      <c r="G695" s="6" t="s">
        <v>66</v>
      </c>
      <c r="H695" s="5">
        <v>8.83</v>
      </c>
      <c r="I695" s="5">
        <v>46.0</v>
      </c>
      <c r="J695" s="5" t="str">
        <f t="shared" si="1"/>
        <v>Advance</v>
      </c>
      <c r="K695" s="9">
        <v>3831.0</v>
      </c>
    </row>
    <row r="696" ht="15.75" customHeight="1">
      <c r="A696" s="5" t="s">
        <v>2205</v>
      </c>
      <c r="B696" s="5" t="s">
        <v>1382</v>
      </c>
      <c r="C696" s="5" t="s">
        <v>516</v>
      </c>
      <c r="D696" s="5" t="s">
        <v>29</v>
      </c>
      <c r="E696" s="5" t="s">
        <v>32</v>
      </c>
      <c r="F696" s="5" t="s">
        <v>34</v>
      </c>
      <c r="G696" s="6" t="s">
        <v>180</v>
      </c>
      <c r="H696" s="5">
        <v>13.08</v>
      </c>
      <c r="I696" s="5">
        <v>46.0</v>
      </c>
      <c r="J696" s="5" t="str">
        <f t="shared" si="1"/>
        <v>Advance</v>
      </c>
      <c r="K696" s="9">
        <v>3862.0</v>
      </c>
    </row>
    <row r="697" ht="15.75" customHeight="1">
      <c r="A697" s="5" t="s">
        <v>2206</v>
      </c>
      <c r="B697" s="5" t="s">
        <v>1308</v>
      </c>
      <c r="C697" s="5" t="s">
        <v>516</v>
      </c>
      <c r="D697" s="5" t="s">
        <v>45</v>
      </c>
      <c r="E697" s="5" t="s">
        <v>49</v>
      </c>
      <c r="F697" s="5" t="s">
        <v>34</v>
      </c>
      <c r="G697" s="6" t="s">
        <v>66</v>
      </c>
      <c r="H697" s="5">
        <v>25.75</v>
      </c>
      <c r="I697" s="5">
        <v>45.0</v>
      </c>
      <c r="J697" s="5" t="str">
        <f t="shared" si="1"/>
        <v>Advance</v>
      </c>
      <c r="K697" s="9">
        <v>5135.0</v>
      </c>
    </row>
    <row r="698" ht="15.75" customHeight="1">
      <c r="A698" s="5" t="s">
        <v>2209</v>
      </c>
      <c r="B698" s="5" t="s">
        <v>1311</v>
      </c>
      <c r="C698" s="5" t="s">
        <v>516</v>
      </c>
      <c r="D698" s="5" t="s">
        <v>58</v>
      </c>
      <c r="E698" s="5" t="s">
        <v>59</v>
      </c>
      <c r="F698" s="5" t="s">
        <v>34</v>
      </c>
      <c r="G698" s="6" t="s">
        <v>66</v>
      </c>
      <c r="H698" s="5">
        <v>10.17</v>
      </c>
      <c r="I698" s="5">
        <v>46.0</v>
      </c>
      <c r="J698" s="5" t="str">
        <f t="shared" si="1"/>
        <v>Advance</v>
      </c>
      <c r="K698" s="9">
        <v>6819.0</v>
      </c>
    </row>
    <row r="699" ht="15.75" customHeight="1">
      <c r="A699" s="5" t="s">
        <v>2212</v>
      </c>
      <c r="B699" s="5" t="s">
        <v>1376</v>
      </c>
      <c r="C699" s="5" t="s">
        <v>516</v>
      </c>
      <c r="D699" s="5" t="s">
        <v>20</v>
      </c>
      <c r="E699" s="5" t="s">
        <v>52</v>
      </c>
      <c r="F699" s="5" t="s">
        <v>34</v>
      </c>
      <c r="G699" s="6" t="s">
        <v>180</v>
      </c>
      <c r="H699" s="5">
        <v>6.83</v>
      </c>
      <c r="I699" s="5">
        <v>46.0</v>
      </c>
      <c r="J699" s="5" t="str">
        <f t="shared" si="1"/>
        <v>Advance</v>
      </c>
      <c r="K699" s="9">
        <v>8111.0</v>
      </c>
    </row>
    <row r="700" ht="15.75" customHeight="1">
      <c r="A700" s="5" t="s">
        <v>2214</v>
      </c>
      <c r="B700" s="5" t="s">
        <v>1357</v>
      </c>
      <c r="C700" s="5" t="s">
        <v>516</v>
      </c>
      <c r="D700" s="5" t="s">
        <v>29</v>
      </c>
      <c r="E700" s="5" t="s">
        <v>32</v>
      </c>
      <c r="F700" s="5" t="s">
        <v>34</v>
      </c>
      <c r="G700" s="6" t="s">
        <v>66</v>
      </c>
      <c r="H700" s="5">
        <v>7.92</v>
      </c>
      <c r="I700" s="5">
        <v>47.0</v>
      </c>
      <c r="J700" s="5" t="str">
        <f t="shared" si="1"/>
        <v>Advance</v>
      </c>
      <c r="K700" s="9">
        <v>3862.0</v>
      </c>
    </row>
    <row r="701" ht="15.75" customHeight="1">
      <c r="A701" s="5" t="s">
        <v>2216</v>
      </c>
      <c r="B701" s="5" t="s">
        <v>1435</v>
      </c>
      <c r="C701" s="5" t="s">
        <v>533</v>
      </c>
      <c r="D701" s="5" t="s">
        <v>58</v>
      </c>
      <c r="E701" s="5" t="s">
        <v>59</v>
      </c>
      <c r="F701" s="5" t="s">
        <v>34</v>
      </c>
      <c r="G701" s="6" t="s">
        <v>37</v>
      </c>
      <c r="H701" s="5">
        <v>2.17</v>
      </c>
      <c r="I701" s="5">
        <v>39.0</v>
      </c>
      <c r="J701" s="5" t="str">
        <f t="shared" si="1"/>
        <v>Advance</v>
      </c>
      <c r="K701" s="9">
        <v>2821.0</v>
      </c>
    </row>
    <row r="702" ht="15.75" customHeight="1">
      <c r="A702" s="5" t="s">
        <v>2218</v>
      </c>
      <c r="B702" s="5" t="s">
        <v>1445</v>
      </c>
      <c r="C702" s="5" t="s">
        <v>533</v>
      </c>
      <c r="D702" s="5" t="s">
        <v>20</v>
      </c>
      <c r="E702" s="5" t="s">
        <v>52</v>
      </c>
      <c r="F702" s="5" t="s">
        <v>53</v>
      </c>
      <c r="G702" s="6" t="s">
        <v>66</v>
      </c>
      <c r="H702" s="5">
        <v>25.83</v>
      </c>
      <c r="I702" s="5">
        <v>38.0</v>
      </c>
      <c r="J702" s="5" t="str">
        <f t="shared" si="1"/>
        <v>Advance</v>
      </c>
      <c r="K702" s="9">
        <v>49207.0</v>
      </c>
    </row>
    <row r="703" ht="15.75" customHeight="1">
      <c r="A703" s="5" t="s">
        <v>2220</v>
      </c>
      <c r="B703" s="5" t="s">
        <v>1393</v>
      </c>
      <c r="C703" s="5" t="s">
        <v>533</v>
      </c>
      <c r="D703" s="5" t="s">
        <v>45</v>
      </c>
      <c r="E703" s="5" t="s">
        <v>49</v>
      </c>
      <c r="F703" s="5" t="s">
        <v>34</v>
      </c>
      <c r="G703" s="6" t="s">
        <v>66</v>
      </c>
      <c r="H703" s="5">
        <v>19.0</v>
      </c>
      <c r="I703" s="5">
        <v>31.0</v>
      </c>
      <c r="J703" s="5" t="str">
        <f t="shared" si="1"/>
        <v>Advance</v>
      </c>
      <c r="K703" s="9">
        <v>5670.0</v>
      </c>
    </row>
    <row r="704" ht="15.75" customHeight="1">
      <c r="A704" s="5" t="s">
        <v>2222</v>
      </c>
      <c r="B704" s="5" t="s">
        <v>1491</v>
      </c>
      <c r="C704" s="5" t="s">
        <v>533</v>
      </c>
      <c r="D704" s="5" t="s">
        <v>45</v>
      </c>
      <c r="E704" s="5" t="s">
        <v>49</v>
      </c>
      <c r="F704" s="5" t="s">
        <v>34</v>
      </c>
      <c r="G704" s="6" t="s">
        <v>66</v>
      </c>
      <c r="H704" s="5">
        <v>14.0</v>
      </c>
      <c r="I704" s="5">
        <v>33.0</v>
      </c>
      <c r="J704" s="5" t="str">
        <f t="shared" si="1"/>
        <v>Advance</v>
      </c>
      <c r="K704" s="9">
        <v>4724.0</v>
      </c>
    </row>
    <row r="705" ht="15.75" customHeight="1">
      <c r="A705" s="5" t="s">
        <v>2223</v>
      </c>
      <c r="B705" s="5" t="s">
        <v>1470</v>
      </c>
      <c r="C705" s="5" t="s">
        <v>533</v>
      </c>
      <c r="D705" s="5" t="s">
        <v>45</v>
      </c>
      <c r="E705" s="5" t="s">
        <v>49</v>
      </c>
      <c r="F705" s="5" t="s">
        <v>34</v>
      </c>
      <c r="G705" s="6" t="s">
        <v>180</v>
      </c>
      <c r="H705" s="5">
        <v>17.25</v>
      </c>
      <c r="I705" s="5">
        <v>40.0</v>
      </c>
      <c r="J705" s="5" t="str">
        <f t="shared" si="1"/>
        <v>Advance</v>
      </c>
      <c r="K705" s="9">
        <v>7176.0</v>
      </c>
    </row>
    <row r="706" ht="15.75" customHeight="1">
      <c r="A706" s="5" t="s">
        <v>2224</v>
      </c>
      <c r="B706" s="5" t="s">
        <v>1392</v>
      </c>
      <c r="C706" s="5" t="s">
        <v>533</v>
      </c>
      <c r="D706" s="5" t="s">
        <v>45</v>
      </c>
      <c r="E706" s="5" t="s">
        <v>49</v>
      </c>
      <c r="F706" s="5" t="s">
        <v>34</v>
      </c>
      <c r="G706" s="6" t="s">
        <v>66</v>
      </c>
      <c r="H706" s="5">
        <v>22.83</v>
      </c>
      <c r="I706" s="5">
        <v>33.0</v>
      </c>
      <c r="J706" s="5" t="str">
        <f t="shared" si="1"/>
        <v>Advance</v>
      </c>
      <c r="K706" s="9">
        <v>4724.0</v>
      </c>
    </row>
    <row r="707" ht="15.75" customHeight="1">
      <c r="A707" s="5" t="s">
        <v>2225</v>
      </c>
      <c r="B707" s="5" t="s">
        <v>1422</v>
      </c>
      <c r="C707" s="5" t="s">
        <v>533</v>
      </c>
      <c r="D707" s="5" t="s">
        <v>45</v>
      </c>
      <c r="E707" s="5" t="s">
        <v>49</v>
      </c>
      <c r="F707" s="5" t="s">
        <v>34</v>
      </c>
      <c r="G707" s="6" t="s">
        <v>66</v>
      </c>
      <c r="H707" s="5">
        <v>13.17</v>
      </c>
      <c r="I707" s="5">
        <v>45.0</v>
      </c>
      <c r="J707" s="5" t="str">
        <f t="shared" si="1"/>
        <v>Advance</v>
      </c>
      <c r="K707" s="9">
        <v>7847.0</v>
      </c>
    </row>
    <row r="708" ht="15.75" customHeight="1">
      <c r="A708" s="5" t="s">
        <v>2226</v>
      </c>
      <c r="B708" s="5" t="s">
        <v>1477</v>
      </c>
      <c r="C708" s="5" t="s">
        <v>533</v>
      </c>
      <c r="D708" s="5" t="s">
        <v>43</v>
      </c>
      <c r="E708" s="5" t="s">
        <v>68</v>
      </c>
      <c r="F708" s="5" t="s">
        <v>34</v>
      </c>
      <c r="G708" s="6">
        <v>1.0</v>
      </c>
      <c r="H708" s="5">
        <v>6.25</v>
      </c>
      <c r="I708" s="5">
        <v>38.0</v>
      </c>
      <c r="J708" s="5" t="str">
        <f t="shared" si="1"/>
        <v>Advance</v>
      </c>
      <c r="K708" s="9">
        <v>5850.0</v>
      </c>
    </row>
    <row r="709" ht="15.75" customHeight="1">
      <c r="A709" s="5" t="s">
        <v>2227</v>
      </c>
      <c r="B709" s="5" t="s">
        <v>1426</v>
      </c>
      <c r="C709" s="5" t="s">
        <v>533</v>
      </c>
      <c r="D709" s="5" t="s">
        <v>45</v>
      </c>
      <c r="E709" s="5" t="s">
        <v>49</v>
      </c>
      <c r="F709" s="5" t="s">
        <v>34</v>
      </c>
      <c r="G709" s="6" t="s">
        <v>66</v>
      </c>
      <c r="H709" s="5">
        <v>11.92</v>
      </c>
      <c r="I709" s="5">
        <v>39.0</v>
      </c>
      <c r="J709" s="5" t="str">
        <f t="shared" si="1"/>
        <v>Advance</v>
      </c>
      <c r="K709" s="9">
        <v>5456.0</v>
      </c>
    </row>
    <row r="710" ht="15.75" customHeight="1">
      <c r="A710" s="5" t="s">
        <v>2228</v>
      </c>
      <c r="B710" s="5" t="s">
        <v>1398</v>
      </c>
      <c r="C710" s="5" t="s">
        <v>533</v>
      </c>
      <c r="D710" s="5" t="s">
        <v>45</v>
      </c>
      <c r="E710" s="5" t="s">
        <v>49</v>
      </c>
      <c r="F710" s="5" t="s">
        <v>34</v>
      </c>
      <c r="G710" s="6" t="s">
        <v>66</v>
      </c>
      <c r="H710" s="5">
        <v>27.5</v>
      </c>
      <c r="I710" s="5">
        <v>18.0</v>
      </c>
      <c r="J710" s="5" t="str">
        <f t="shared" si="1"/>
        <v>Moderate</v>
      </c>
      <c r="K710" s="9">
        <v>4724.0</v>
      </c>
    </row>
    <row r="711" ht="15.75" customHeight="1">
      <c r="A711" s="5" t="s">
        <v>2229</v>
      </c>
      <c r="B711" s="5" t="s">
        <v>1488</v>
      </c>
      <c r="C711" s="5" t="s">
        <v>533</v>
      </c>
      <c r="D711" s="5" t="s">
        <v>45</v>
      </c>
      <c r="E711" s="5" t="s">
        <v>49</v>
      </c>
      <c r="F711" s="5" t="s">
        <v>34</v>
      </c>
      <c r="G711" s="6" t="s">
        <v>66</v>
      </c>
      <c r="H711" s="5">
        <v>12.33</v>
      </c>
      <c r="I711" s="5">
        <v>35.0</v>
      </c>
      <c r="J711" s="5" t="str">
        <f t="shared" si="1"/>
        <v>Advance</v>
      </c>
      <c r="K711" s="9">
        <v>5565.0</v>
      </c>
    </row>
    <row r="712" ht="15.75" customHeight="1">
      <c r="A712" s="5" t="s">
        <v>2230</v>
      </c>
      <c r="B712" s="5" t="s">
        <v>1450</v>
      </c>
      <c r="C712" s="5" t="s">
        <v>533</v>
      </c>
      <c r="D712" s="5" t="s">
        <v>45</v>
      </c>
      <c r="E712" s="5" t="s">
        <v>49</v>
      </c>
      <c r="F712" s="5" t="s">
        <v>34</v>
      </c>
      <c r="G712" s="6" t="s">
        <v>66</v>
      </c>
      <c r="H712" s="5">
        <v>27.83</v>
      </c>
      <c r="I712" s="5">
        <v>7.0</v>
      </c>
      <c r="J712" s="5" t="str">
        <f t="shared" si="1"/>
        <v>Last Minute</v>
      </c>
      <c r="K712" s="9">
        <v>12054.0</v>
      </c>
    </row>
    <row r="713" ht="15.75" customHeight="1">
      <c r="A713" s="5" t="s">
        <v>2231</v>
      </c>
      <c r="B713" s="5" t="s">
        <v>1405</v>
      </c>
      <c r="C713" s="5" t="s">
        <v>533</v>
      </c>
      <c r="D713" s="5" t="s">
        <v>45</v>
      </c>
      <c r="E713" s="5" t="s">
        <v>49</v>
      </c>
      <c r="F713" s="5" t="s">
        <v>34</v>
      </c>
      <c r="G713" s="6" t="s">
        <v>66</v>
      </c>
      <c r="H713" s="5">
        <v>24.83</v>
      </c>
      <c r="I713" s="5">
        <v>3.0</v>
      </c>
      <c r="J713" s="5" t="str">
        <f t="shared" si="1"/>
        <v>Last Minute</v>
      </c>
      <c r="K713" s="9">
        <v>15165.0</v>
      </c>
    </row>
    <row r="714" ht="15.75" customHeight="1">
      <c r="A714" s="5" t="s">
        <v>2233</v>
      </c>
      <c r="B714" s="5" t="s">
        <v>1442</v>
      </c>
      <c r="C714" s="5" t="s">
        <v>533</v>
      </c>
      <c r="D714" s="5" t="s">
        <v>20</v>
      </c>
      <c r="E714" s="5" t="s">
        <v>52</v>
      </c>
      <c r="F714" s="5" t="s">
        <v>34</v>
      </c>
      <c r="G714" s="6" t="s">
        <v>66</v>
      </c>
      <c r="H714" s="5">
        <v>12.5</v>
      </c>
      <c r="I714" s="5">
        <v>7.0</v>
      </c>
      <c r="J714" s="5" t="str">
        <f t="shared" si="1"/>
        <v>Last Minute</v>
      </c>
      <c r="K714" s="9">
        <v>19539.0</v>
      </c>
    </row>
    <row r="715" ht="15.75" customHeight="1">
      <c r="A715" s="5" t="s">
        <v>2235</v>
      </c>
      <c r="B715" s="5" t="s">
        <v>1474</v>
      </c>
      <c r="C715" s="5" t="s">
        <v>533</v>
      </c>
      <c r="D715" s="5" t="s">
        <v>45</v>
      </c>
      <c r="E715" s="5" t="s">
        <v>49</v>
      </c>
      <c r="F715" s="5" t="s">
        <v>34</v>
      </c>
      <c r="G715" s="6">
        <v>1.0</v>
      </c>
      <c r="H715" s="5">
        <v>13.17</v>
      </c>
      <c r="I715" s="5">
        <v>38.0</v>
      </c>
      <c r="J715" s="5" t="str">
        <f t="shared" si="1"/>
        <v>Advance</v>
      </c>
      <c r="K715" s="9">
        <v>4489.0</v>
      </c>
    </row>
    <row r="716" ht="15.75" customHeight="1">
      <c r="A716" s="5" t="s">
        <v>2237</v>
      </c>
      <c r="B716" s="5" t="s">
        <v>1485</v>
      </c>
      <c r="C716" s="5" t="s">
        <v>533</v>
      </c>
      <c r="D716" s="5" t="s">
        <v>45</v>
      </c>
      <c r="E716" s="5" t="s">
        <v>49</v>
      </c>
      <c r="F716" s="5" t="s">
        <v>53</v>
      </c>
      <c r="G716" s="6" t="s">
        <v>66</v>
      </c>
      <c r="H716" s="5">
        <v>9.58</v>
      </c>
      <c r="I716" s="5">
        <v>31.0</v>
      </c>
      <c r="J716" s="5" t="str">
        <f t="shared" si="1"/>
        <v>Advance</v>
      </c>
      <c r="K716" s="9">
        <v>37016.0</v>
      </c>
    </row>
    <row r="717" ht="15.75" customHeight="1">
      <c r="A717" s="5" t="s">
        <v>2239</v>
      </c>
      <c r="B717" s="5" t="s">
        <v>1407</v>
      </c>
      <c r="C717" s="5" t="s">
        <v>533</v>
      </c>
      <c r="D717" s="5" t="s">
        <v>45</v>
      </c>
      <c r="E717" s="5" t="s">
        <v>49</v>
      </c>
      <c r="F717" s="5" t="s">
        <v>34</v>
      </c>
      <c r="G717" s="6" t="s">
        <v>180</v>
      </c>
      <c r="H717" s="5">
        <v>8.08</v>
      </c>
      <c r="I717" s="5">
        <v>10.0</v>
      </c>
      <c r="J717" s="5" t="str">
        <f t="shared" si="1"/>
        <v>Short Notice</v>
      </c>
      <c r="K717" s="9">
        <v>14154.0</v>
      </c>
    </row>
    <row r="718" ht="15.75" customHeight="1">
      <c r="A718" s="5" t="s">
        <v>2240</v>
      </c>
      <c r="B718" s="5" t="s">
        <v>1414</v>
      </c>
      <c r="C718" s="5" t="s">
        <v>533</v>
      </c>
      <c r="D718" s="5" t="s">
        <v>29</v>
      </c>
      <c r="E718" s="5" t="s">
        <v>32</v>
      </c>
      <c r="F718" s="5" t="s">
        <v>34</v>
      </c>
      <c r="G718" s="6" t="s">
        <v>66</v>
      </c>
      <c r="H718" s="5">
        <v>5.92</v>
      </c>
      <c r="I718" s="5">
        <v>46.0</v>
      </c>
      <c r="J718" s="5" t="str">
        <f t="shared" si="1"/>
        <v>Advance</v>
      </c>
      <c r="K718" s="9">
        <v>4589.0</v>
      </c>
    </row>
    <row r="719" ht="15.75" customHeight="1">
      <c r="A719" s="5" t="s">
        <v>2243</v>
      </c>
      <c r="B719" s="5" t="s">
        <v>1456</v>
      </c>
      <c r="C719" s="5" t="s">
        <v>533</v>
      </c>
      <c r="D719" s="5" t="s">
        <v>45</v>
      </c>
      <c r="E719" s="5" t="s">
        <v>49</v>
      </c>
      <c r="F719" s="5" t="s">
        <v>34</v>
      </c>
      <c r="G719" s="6" t="s">
        <v>66</v>
      </c>
      <c r="H719" s="5">
        <v>29.83</v>
      </c>
      <c r="I719" s="5">
        <v>27.0</v>
      </c>
      <c r="J719" s="5" t="str">
        <f t="shared" si="1"/>
        <v>Moderate</v>
      </c>
      <c r="K719" s="9">
        <v>4724.0</v>
      </c>
    </row>
    <row r="720" ht="15.75" customHeight="1">
      <c r="A720" s="5" t="s">
        <v>2245</v>
      </c>
      <c r="B720" s="5" t="s">
        <v>1493</v>
      </c>
      <c r="C720" s="5" t="s">
        <v>533</v>
      </c>
      <c r="D720" s="5" t="s">
        <v>20</v>
      </c>
      <c r="E720" s="5" t="s">
        <v>52</v>
      </c>
      <c r="F720" s="5" t="s">
        <v>34</v>
      </c>
      <c r="G720" s="6" t="s">
        <v>66</v>
      </c>
      <c r="H720" s="5">
        <v>17.5</v>
      </c>
      <c r="I720" s="5">
        <v>4.0</v>
      </c>
      <c r="J720" s="5" t="str">
        <f t="shared" si="1"/>
        <v>Last Minute</v>
      </c>
      <c r="K720" s="9">
        <v>14310.0</v>
      </c>
    </row>
    <row r="721" ht="15.75" customHeight="1">
      <c r="A721" s="5" t="s">
        <v>2247</v>
      </c>
      <c r="B721" s="5" t="s">
        <v>1423</v>
      </c>
      <c r="C721" s="5" t="s">
        <v>533</v>
      </c>
      <c r="D721" s="5" t="s">
        <v>20</v>
      </c>
      <c r="E721" s="5" t="s">
        <v>52</v>
      </c>
      <c r="F721" s="5" t="s">
        <v>34</v>
      </c>
      <c r="G721" s="6" t="s">
        <v>66</v>
      </c>
      <c r="H721" s="5">
        <v>21.42</v>
      </c>
      <c r="I721" s="5">
        <v>4.0</v>
      </c>
      <c r="J721" s="5" t="str">
        <f t="shared" si="1"/>
        <v>Last Minute</v>
      </c>
      <c r="K721" s="9">
        <v>14469.0</v>
      </c>
    </row>
    <row r="722" ht="15.75" customHeight="1">
      <c r="A722" s="5" t="s">
        <v>2250</v>
      </c>
      <c r="B722" s="5" t="s">
        <v>1429</v>
      </c>
      <c r="C722" s="5" t="s">
        <v>533</v>
      </c>
      <c r="D722" s="5" t="s">
        <v>45</v>
      </c>
      <c r="E722" s="5" t="s">
        <v>49</v>
      </c>
      <c r="F722" s="5" t="s">
        <v>53</v>
      </c>
      <c r="G722" s="6" t="s">
        <v>66</v>
      </c>
      <c r="H722" s="5">
        <v>25.08</v>
      </c>
      <c r="I722" s="5">
        <v>4.0</v>
      </c>
      <c r="J722" s="5" t="str">
        <f t="shared" si="1"/>
        <v>Last Minute</v>
      </c>
      <c r="K722" s="9">
        <v>75382.0</v>
      </c>
    </row>
    <row r="723" ht="15.75" customHeight="1">
      <c r="A723" s="5" t="s">
        <v>2251</v>
      </c>
      <c r="B723" s="5" t="s">
        <v>1495</v>
      </c>
      <c r="C723" s="5" t="s">
        <v>533</v>
      </c>
      <c r="D723" s="5" t="s">
        <v>29</v>
      </c>
      <c r="E723" s="5" t="s">
        <v>32</v>
      </c>
      <c r="F723" s="5" t="s">
        <v>34</v>
      </c>
      <c r="G723" s="6" t="s">
        <v>66</v>
      </c>
      <c r="H723" s="5">
        <v>14.92</v>
      </c>
      <c r="I723" s="5">
        <v>6.0</v>
      </c>
      <c r="J723" s="5" t="str">
        <f t="shared" si="1"/>
        <v>Last Minute</v>
      </c>
      <c r="K723" s="9">
        <v>6487.0</v>
      </c>
    </row>
    <row r="724" ht="15.75" customHeight="1">
      <c r="A724" s="5" t="s">
        <v>2253</v>
      </c>
      <c r="B724" s="5" t="s">
        <v>1448</v>
      </c>
      <c r="C724" s="5" t="s">
        <v>533</v>
      </c>
      <c r="D724" s="5" t="s">
        <v>45</v>
      </c>
      <c r="E724" s="5" t="s">
        <v>49</v>
      </c>
      <c r="F724" s="5" t="s">
        <v>53</v>
      </c>
      <c r="G724" s="6" t="s">
        <v>66</v>
      </c>
      <c r="H724" s="5">
        <v>14.58</v>
      </c>
      <c r="I724" s="5">
        <v>34.0</v>
      </c>
      <c r="J724" s="5" t="str">
        <f t="shared" si="1"/>
        <v>Advance</v>
      </c>
      <c r="K724" s="9">
        <v>37016.0</v>
      </c>
    </row>
    <row r="725" ht="15.75" customHeight="1">
      <c r="A725" s="5" t="s">
        <v>2256</v>
      </c>
      <c r="B725" s="5" t="s">
        <v>1466</v>
      </c>
      <c r="C725" s="5" t="s">
        <v>533</v>
      </c>
      <c r="D725" s="5" t="s">
        <v>45</v>
      </c>
      <c r="E725" s="5" t="s">
        <v>49</v>
      </c>
      <c r="F725" s="5" t="s">
        <v>34</v>
      </c>
      <c r="G725" s="6" t="s">
        <v>180</v>
      </c>
      <c r="H725" s="5">
        <v>13.42</v>
      </c>
      <c r="I725" s="5">
        <v>6.0</v>
      </c>
      <c r="J725" s="5" t="str">
        <f t="shared" si="1"/>
        <v>Last Minute</v>
      </c>
      <c r="K725" s="9">
        <v>12321.0</v>
      </c>
    </row>
    <row r="726" ht="15.75" customHeight="1">
      <c r="A726" s="5" t="s">
        <v>2260</v>
      </c>
      <c r="B726" s="5" t="s">
        <v>1462</v>
      </c>
      <c r="C726" s="5" t="s">
        <v>533</v>
      </c>
      <c r="D726" s="5" t="s">
        <v>45</v>
      </c>
      <c r="E726" s="5" t="s">
        <v>49</v>
      </c>
      <c r="F726" s="5" t="s">
        <v>34</v>
      </c>
      <c r="G726" s="6" t="s">
        <v>180</v>
      </c>
      <c r="H726" s="5">
        <v>16.42</v>
      </c>
      <c r="I726" s="5">
        <v>6.0</v>
      </c>
      <c r="J726" s="5" t="str">
        <f t="shared" si="1"/>
        <v>Last Minute</v>
      </c>
      <c r="K726" s="9">
        <v>12321.0</v>
      </c>
    </row>
    <row r="727" ht="15.75" customHeight="1">
      <c r="A727" s="5" t="s">
        <v>2263</v>
      </c>
      <c r="B727" s="5" t="s">
        <v>1459</v>
      </c>
      <c r="C727" s="5" t="s">
        <v>533</v>
      </c>
      <c r="D727" s="5" t="s">
        <v>29</v>
      </c>
      <c r="E727" s="5" t="s">
        <v>32</v>
      </c>
      <c r="F727" s="5" t="s">
        <v>34</v>
      </c>
      <c r="G727" s="6" t="s">
        <v>180</v>
      </c>
      <c r="H727" s="5">
        <v>12.42</v>
      </c>
      <c r="I727" s="5">
        <v>36.0</v>
      </c>
      <c r="J727" s="5" t="str">
        <f t="shared" si="1"/>
        <v>Advance</v>
      </c>
      <c r="K727" s="9">
        <v>4589.0</v>
      </c>
    </row>
    <row r="728" ht="15.75" customHeight="1">
      <c r="A728" s="5" t="s">
        <v>2265</v>
      </c>
      <c r="B728" s="5" t="s">
        <v>1437</v>
      </c>
      <c r="C728" s="5" t="s">
        <v>533</v>
      </c>
      <c r="D728" s="5" t="s">
        <v>43</v>
      </c>
      <c r="E728" s="5" t="s">
        <v>68</v>
      </c>
      <c r="F728" s="5" t="s">
        <v>34</v>
      </c>
      <c r="G728" s="6" t="s">
        <v>66</v>
      </c>
      <c r="H728" s="5">
        <v>6.67</v>
      </c>
      <c r="I728" s="5">
        <v>17.0</v>
      </c>
      <c r="J728" s="5" t="str">
        <f t="shared" si="1"/>
        <v>Moderate</v>
      </c>
      <c r="K728" s="9">
        <v>6977.0</v>
      </c>
    </row>
    <row r="729" ht="15.75" customHeight="1">
      <c r="A729" s="5" t="s">
        <v>2268</v>
      </c>
      <c r="B729" s="5" t="s">
        <v>1418</v>
      </c>
      <c r="C729" s="5" t="s">
        <v>533</v>
      </c>
      <c r="D729" s="5" t="s">
        <v>58</v>
      </c>
      <c r="E729" s="5" t="s">
        <v>59</v>
      </c>
      <c r="F729" s="5" t="s">
        <v>34</v>
      </c>
      <c r="G729" s="6" t="s">
        <v>37</v>
      </c>
      <c r="H729" s="5">
        <v>2.33</v>
      </c>
      <c r="I729" s="5">
        <v>26.0</v>
      </c>
      <c r="J729" s="5" t="str">
        <f t="shared" si="1"/>
        <v>Moderate</v>
      </c>
      <c r="K729" s="9">
        <v>2437.0</v>
      </c>
    </row>
    <row r="730" ht="15.75" customHeight="1">
      <c r="A730" s="5" t="s">
        <v>2271</v>
      </c>
      <c r="B730" s="5" t="s">
        <v>1452</v>
      </c>
      <c r="C730" s="5" t="s">
        <v>533</v>
      </c>
      <c r="D730" s="5" t="s">
        <v>58</v>
      </c>
      <c r="E730" s="5" t="s">
        <v>59</v>
      </c>
      <c r="F730" s="5" t="s">
        <v>34</v>
      </c>
      <c r="G730" s="6" t="s">
        <v>66</v>
      </c>
      <c r="H730" s="5">
        <v>14.92</v>
      </c>
      <c r="I730" s="5">
        <v>32.0</v>
      </c>
      <c r="J730" s="5" t="str">
        <f t="shared" si="1"/>
        <v>Advance</v>
      </c>
      <c r="K730" s="9">
        <v>5018.0</v>
      </c>
    </row>
    <row r="731" ht="15.75" customHeight="1">
      <c r="A731" s="5" t="s">
        <v>2273</v>
      </c>
      <c r="B731" s="5" t="s">
        <v>1400</v>
      </c>
      <c r="C731" s="5" t="s">
        <v>533</v>
      </c>
      <c r="D731" s="5" t="s">
        <v>58</v>
      </c>
      <c r="E731" s="5" t="s">
        <v>59</v>
      </c>
      <c r="F731" s="5" t="s">
        <v>34</v>
      </c>
      <c r="G731" s="6" t="s">
        <v>37</v>
      </c>
      <c r="H731" s="5">
        <v>2.17</v>
      </c>
      <c r="I731" s="5">
        <v>26.0</v>
      </c>
      <c r="J731" s="5" t="str">
        <f t="shared" si="1"/>
        <v>Moderate</v>
      </c>
      <c r="K731" s="9">
        <v>2437.0</v>
      </c>
    </row>
    <row r="732" ht="15.75" customHeight="1">
      <c r="A732" s="5" t="s">
        <v>2275</v>
      </c>
      <c r="B732" s="5" t="s">
        <v>1455</v>
      </c>
      <c r="C732" s="5" t="s">
        <v>533</v>
      </c>
      <c r="D732" s="5" t="s">
        <v>45</v>
      </c>
      <c r="E732" s="5" t="s">
        <v>49</v>
      </c>
      <c r="F732" s="5" t="s">
        <v>34</v>
      </c>
      <c r="G732" s="6" t="s">
        <v>66</v>
      </c>
      <c r="H732" s="5">
        <v>21.5</v>
      </c>
      <c r="I732" s="5">
        <v>40.0</v>
      </c>
      <c r="J732" s="5" t="str">
        <f t="shared" si="1"/>
        <v>Advance</v>
      </c>
      <c r="K732" s="9">
        <v>7176.0</v>
      </c>
    </row>
    <row r="733" ht="15.75" customHeight="1">
      <c r="A733" s="5" t="s">
        <v>2277</v>
      </c>
      <c r="B733" s="5" t="s">
        <v>1432</v>
      </c>
      <c r="C733" s="5" t="s">
        <v>533</v>
      </c>
      <c r="D733" s="5" t="s">
        <v>45</v>
      </c>
      <c r="E733" s="5" t="s">
        <v>49</v>
      </c>
      <c r="F733" s="5" t="s">
        <v>34</v>
      </c>
      <c r="G733" s="6" t="s">
        <v>66</v>
      </c>
      <c r="H733" s="5">
        <v>12.5</v>
      </c>
      <c r="I733" s="5">
        <v>49.0</v>
      </c>
      <c r="J733" s="5" t="str">
        <f t="shared" si="1"/>
        <v>Advance</v>
      </c>
      <c r="K733" s="9">
        <v>5670.0</v>
      </c>
    </row>
    <row r="734" ht="15.75" customHeight="1">
      <c r="A734" s="5" t="s">
        <v>2278</v>
      </c>
      <c r="B734" s="5" t="s">
        <v>1482</v>
      </c>
      <c r="C734" s="5" t="s">
        <v>533</v>
      </c>
      <c r="D734" s="5" t="s">
        <v>20</v>
      </c>
      <c r="E734" s="5" t="s">
        <v>52</v>
      </c>
      <c r="F734" s="5" t="s">
        <v>53</v>
      </c>
      <c r="G734" s="6" t="s">
        <v>66</v>
      </c>
      <c r="H734" s="5">
        <v>25.08</v>
      </c>
      <c r="I734" s="5">
        <v>48.0</v>
      </c>
      <c r="J734" s="5" t="str">
        <f t="shared" si="1"/>
        <v>Advance</v>
      </c>
      <c r="K734" s="9">
        <v>52175.0</v>
      </c>
    </row>
    <row r="735" ht="15.75" customHeight="1">
      <c r="A735" s="5" t="s">
        <v>2280</v>
      </c>
      <c r="B735" s="5" t="s">
        <v>1410</v>
      </c>
      <c r="C735" s="5" t="s">
        <v>533</v>
      </c>
      <c r="D735" s="5" t="s">
        <v>43</v>
      </c>
      <c r="E735" s="5" t="s">
        <v>68</v>
      </c>
      <c r="F735" s="5" t="s">
        <v>34</v>
      </c>
      <c r="G735" s="6" t="s">
        <v>66</v>
      </c>
      <c r="H735" s="5">
        <v>5.75</v>
      </c>
      <c r="J735" s="5" t="str">
        <f t="shared" si="1"/>
        <v>Last Minute</v>
      </c>
      <c r="K735" s="9">
        <v>3401.0</v>
      </c>
    </row>
    <row r="736" ht="15.75" customHeight="1">
      <c r="A736" s="5" t="s">
        <v>2282</v>
      </c>
      <c r="B736" s="5" t="s">
        <v>1396</v>
      </c>
      <c r="C736" s="5" t="s">
        <v>533</v>
      </c>
      <c r="D736" s="5" t="s">
        <v>43</v>
      </c>
      <c r="E736" s="5" t="s">
        <v>68</v>
      </c>
      <c r="F736" s="5" t="s">
        <v>34</v>
      </c>
      <c r="G736" s="6" t="s">
        <v>66</v>
      </c>
      <c r="H736" s="5">
        <v>4.33</v>
      </c>
      <c r="I736" s="5">
        <v>46.0</v>
      </c>
      <c r="J736" s="5" t="str">
        <f t="shared" si="1"/>
        <v>Advance</v>
      </c>
      <c r="K736" s="9">
        <v>4367.0</v>
      </c>
    </row>
    <row r="737" ht="15.75" customHeight="1">
      <c r="A737" s="5" t="s">
        <v>2283</v>
      </c>
      <c r="B737" s="5" t="s">
        <v>1389</v>
      </c>
      <c r="C737" s="5" t="s">
        <v>533</v>
      </c>
      <c r="D737" s="5" t="s">
        <v>45</v>
      </c>
      <c r="E737" s="5" t="s">
        <v>49</v>
      </c>
      <c r="F737" s="5" t="s">
        <v>53</v>
      </c>
      <c r="G737" s="6" t="s">
        <v>66</v>
      </c>
      <c r="H737" s="5">
        <v>26.08</v>
      </c>
      <c r="I737" s="5">
        <v>48.0</v>
      </c>
      <c r="J737" s="5" t="str">
        <f t="shared" si="1"/>
        <v>Advance</v>
      </c>
      <c r="K737" s="9">
        <v>52063.0</v>
      </c>
    </row>
    <row r="738" ht="15.75" customHeight="1">
      <c r="A738" s="5" t="s">
        <v>2286</v>
      </c>
      <c r="B738" s="5" t="s">
        <v>1439</v>
      </c>
      <c r="C738" s="5" t="s">
        <v>533</v>
      </c>
      <c r="D738" s="5" t="s">
        <v>20</v>
      </c>
      <c r="E738" s="5" t="s">
        <v>52</v>
      </c>
      <c r="F738" s="5" t="s">
        <v>53</v>
      </c>
      <c r="G738" s="6" t="s">
        <v>66</v>
      </c>
      <c r="H738" s="5">
        <v>26.58</v>
      </c>
      <c r="I738" s="5">
        <v>48.0</v>
      </c>
      <c r="J738" s="5" t="str">
        <f t="shared" si="1"/>
        <v>Advance</v>
      </c>
      <c r="K738" s="9">
        <v>52175.0</v>
      </c>
    </row>
    <row r="739" ht="15.75" customHeight="1">
      <c r="A739" s="5" t="s">
        <v>2288</v>
      </c>
      <c r="B739" s="5" t="s">
        <v>1481</v>
      </c>
      <c r="C739" s="5" t="s">
        <v>533</v>
      </c>
      <c r="D739" s="5" t="s">
        <v>45</v>
      </c>
      <c r="E739" s="5" t="s">
        <v>49</v>
      </c>
      <c r="F739" s="5" t="s">
        <v>34</v>
      </c>
      <c r="G739" s="6" t="s">
        <v>66</v>
      </c>
      <c r="H739" s="5">
        <v>21.83</v>
      </c>
      <c r="I739" s="5">
        <v>46.0</v>
      </c>
      <c r="J739" s="5" t="str">
        <f t="shared" si="1"/>
        <v>Advance</v>
      </c>
      <c r="K739" s="9">
        <v>5429.0</v>
      </c>
    </row>
    <row r="740" ht="15.75" customHeight="1">
      <c r="A740" s="5" t="s">
        <v>2291</v>
      </c>
      <c r="B740" s="5" t="s">
        <v>1467</v>
      </c>
      <c r="C740" s="5" t="s">
        <v>533</v>
      </c>
      <c r="D740" s="5" t="s">
        <v>45</v>
      </c>
      <c r="E740" s="5" t="s">
        <v>49</v>
      </c>
      <c r="F740" s="5" t="s">
        <v>34</v>
      </c>
      <c r="G740" s="6" t="s">
        <v>180</v>
      </c>
      <c r="H740" s="5">
        <v>39.83</v>
      </c>
      <c r="I740" s="5">
        <v>48.0</v>
      </c>
      <c r="J740" s="5" t="str">
        <f t="shared" si="1"/>
        <v>Advance</v>
      </c>
      <c r="K740" s="9">
        <v>6972.0</v>
      </c>
    </row>
    <row r="741" ht="15.75" customHeight="1">
      <c r="A741" s="5" t="s">
        <v>2293</v>
      </c>
      <c r="B741" s="5" t="s">
        <v>1601</v>
      </c>
      <c r="C741" s="5" t="s">
        <v>549</v>
      </c>
      <c r="D741" s="5" t="s">
        <v>43</v>
      </c>
      <c r="E741" s="5" t="s">
        <v>68</v>
      </c>
      <c r="F741" s="5" t="s">
        <v>34</v>
      </c>
      <c r="G741" s="6" t="s">
        <v>37</v>
      </c>
      <c r="H741" s="5">
        <v>2.33</v>
      </c>
      <c r="I741" s="5">
        <v>28.0</v>
      </c>
      <c r="J741" s="5" t="str">
        <f t="shared" si="1"/>
        <v>Moderate</v>
      </c>
      <c r="K741" s="9">
        <v>7329.0</v>
      </c>
    </row>
    <row r="742" ht="15.75" customHeight="1">
      <c r="A742" s="5" t="s">
        <v>2295</v>
      </c>
      <c r="B742" s="5" t="s">
        <v>1583</v>
      </c>
      <c r="C742" s="5" t="s">
        <v>549</v>
      </c>
      <c r="D742" s="5" t="s">
        <v>45</v>
      </c>
      <c r="E742" s="5" t="s">
        <v>49</v>
      </c>
      <c r="F742" s="5" t="s">
        <v>53</v>
      </c>
      <c r="G742" s="6" t="s">
        <v>66</v>
      </c>
      <c r="H742" s="5">
        <v>13.17</v>
      </c>
      <c r="I742" s="5">
        <v>23.0</v>
      </c>
      <c r="J742" s="5" t="str">
        <f t="shared" si="1"/>
        <v>Moderate</v>
      </c>
      <c r="K742" s="9">
        <v>55983.0</v>
      </c>
    </row>
    <row r="743" ht="15.75" customHeight="1">
      <c r="A743" s="5" t="s">
        <v>2298</v>
      </c>
      <c r="B743" s="5" t="s">
        <v>1645</v>
      </c>
      <c r="C743" s="5" t="s">
        <v>549</v>
      </c>
      <c r="D743" s="5" t="s">
        <v>45</v>
      </c>
      <c r="E743" s="5" t="s">
        <v>49</v>
      </c>
      <c r="F743" s="5" t="s">
        <v>34</v>
      </c>
      <c r="G743" s="6" t="s">
        <v>66</v>
      </c>
      <c r="H743" s="5">
        <v>8.08</v>
      </c>
      <c r="I743" s="5">
        <v>36.0</v>
      </c>
      <c r="J743" s="5" t="str">
        <f t="shared" si="1"/>
        <v>Advance</v>
      </c>
      <c r="K743" s="9">
        <v>4969.0</v>
      </c>
    </row>
    <row r="744" ht="15.75" customHeight="1">
      <c r="A744" s="5" t="s">
        <v>2299</v>
      </c>
      <c r="B744" s="5" t="s">
        <v>1627</v>
      </c>
      <c r="C744" s="5" t="s">
        <v>549</v>
      </c>
      <c r="D744" s="5" t="s">
        <v>20</v>
      </c>
      <c r="E744" s="5" t="s">
        <v>52</v>
      </c>
      <c r="F744" s="5" t="s">
        <v>34</v>
      </c>
      <c r="G744" s="6" t="s">
        <v>66</v>
      </c>
      <c r="H744" s="5">
        <v>28.92</v>
      </c>
      <c r="I744" s="5">
        <v>1.0</v>
      </c>
      <c r="J744" s="5" t="str">
        <f t="shared" si="1"/>
        <v>Last Minute</v>
      </c>
      <c r="K744" s="9">
        <v>17094.0</v>
      </c>
    </row>
    <row r="745" ht="15.75" customHeight="1">
      <c r="A745" s="5" t="s">
        <v>2301</v>
      </c>
      <c r="B745" s="5" t="s">
        <v>1612</v>
      </c>
      <c r="C745" s="5" t="s">
        <v>549</v>
      </c>
      <c r="D745" s="5" t="s">
        <v>20</v>
      </c>
      <c r="E745" s="5" t="s">
        <v>52</v>
      </c>
      <c r="F745" s="5" t="s">
        <v>34</v>
      </c>
      <c r="G745" s="6" t="s">
        <v>66</v>
      </c>
      <c r="H745" s="5">
        <v>26.33</v>
      </c>
      <c r="I745" s="5">
        <v>42.0</v>
      </c>
      <c r="J745" s="5" t="str">
        <f t="shared" si="1"/>
        <v>Advance</v>
      </c>
      <c r="K745" s="9">
        <v>7021.0</v>
      </c>
    </row>
    <row r="746" ht="15.75" customHeight="1">
      <c r="A746" s="5" t="s">
        <v>2304</v>
      </c>
      <c r="B746" s="5" t="s">
        <v>1586</v>
      </c>
      <c r="C746" s="5" t="s">
        <v>549</v>
      </c>
      <c r="D746" s="5" t="s">
        <v>45</v>
      </c>
      <c r="E746" s="5" t="s">
        <v>49</v>
      </c>
      <c r="F746" s="5" t="s">
        <v>53</v>
      </c>
      <c r="G746" s="6" t="s">
        <v>66</v>
      </c>
      <c r="H746" s="5">
        <v>26.25</v>
      </c>
      <c r="I746" s="5">
        <v>9.0</v>
      </c>
      <c r="J746" s="5" t="str">
        <f t="shared" si="1"/>
        <v>Short Notice</v>
      </c>
      <c r="K746" s="9">
        <v>55983.0</v>
      </c>
    </row>
    <row r="747" ht="15.75" customHeight="1">
      <c r="A747" s="5" t="s">
        <v>2307</v>
      </c>
      <c r="B747" s="5" t="s">
        <v>1629</v>
      </c>
      <c r="C747" s="5" t="s">
        <v>549</v>
      </c>
      <c r="D747" s="5" t="s">
        <v>20</v>
      </c>
      <c r="E747" s="5" t="s">
        <v>52</v>
      </c>
      <c r="F747" s="5" t="s">
        <v>34</v>
      </c>
      <c r="G747" s="6" t="s">
        <v>66</v>
      </c>
      <c r="H747" s="5">
        <v>15.25</v>
      </c>
      <c r="I747" s="5">
        <v>37.0</v>
      </c>
      <c r="J747" s="5" t="str">
        <f t="shared" si="1"/>
        <v>Advance</v>
      </c>
      <c r="K747" s="9">
        <v>7141.0</v>
      </c>
    </row>
    <row r="748" ht="15.75" customHeight="1">
      <c r="A748" s="5" t="s">
        <v>2309</v>
      </c>
      <c r="B748" s="5" t="s">
        <v>1637</v>
      </c>
      <c r="C748" s="5" t="s">
        <v>549</v>
      </c>
      <c r="D748" s="5" t="s">
        <v>43</v>
      </c>
      <c r="E748" s="5" t="s">
        <v>68</v>
      </c>
      <c r="F748" s="5" t="s">
        <v>34</v>
      </c>
      <c r="G748" s="6" t="s">
        <v>66</v>
      </c>
      <c r="H748" s="5">
        <v>9.67</v>
      </c>
      <c r="I748" s="5">
        <v>28.0</v>
      </c>
      <c r="J748" s="5" t="str">
        <f t="shared" si="1"/>
        <v>Moderate</v>
      </c>
      <c r="K748" s="9">
        <v>6489.0</v>
      </c>
    </row>
    <row r="749" ht="15.75" customHeight="1">
      <c r="A749" s="5" t="s">
        <v>2311</v>
      </c>
      <c r="B749" s="5" t="s">
        <v>1590</v>
      </c>
      <c r="C749" s="5" t="s">
        <v>549</v>
      </c>
      <c r="D749" s="5" t="s">
        <v>43</v>
      </c>
      <c r="E749" s="5" t="s">
        <v>68</v>
      </c>
      <c r="F749" s="5" t="s">
        <v>34</v>
      </c>
      <c r="G749" s="6">
        <v>1.0</v>
      </c>
      <c r="H749" s="5">
        <v>8.67</v>
      </c>
      <c r="I749" s="5">
        <v>9.0</v>
      </c>
      <c r="J749" s="5" t="str">
        <f t="shared" si="1"/>
        <v>Short Notice</v>
      </c>
      <c r="K749" s="9">
        <v>10936.0</v>
      </c>
    </row>
    <row r="750" ht="15.75" customHeight="1">
      <c r="A750" s="5" t="s">
        <v>2313</v>
      </c>
      <c r="B750" s="5" t="s">
        <v>1574</v>
      </c>
      <c r="C750" s="5" t="s">
        <v>549</v>
      </c>
      <c r="D750" s="5" t="s">
        <v>43</v>
      </c>
      <c r="E750" s="5" t="s">
        <v>68</v>
      </c>
      <c r="F750" s="5" t="s">
        <v>34</v>
      </c>
      <c r="G750" s="6" t="s">
        <v>66</v>
      </c>
      <c r="H750" s="5">
        <v>7.67</v>
      </c>
      <c r="I750" s="5">
        <v>39.0</v>
      </c>
      <c r="J750" s="5" t="str">
        <f t="shared" si="1"/>
        <v>Advance</v>
      </c>
      <c r="K750" s="9">
        <v>5120.0</v>
      </c>
    </row>
    <row r="751" ht="15.75" customHeight="1">
      <c r="A751" s="5" t="s">
        <v>2314</v>
      </c>
      <c r="B751" s="5" t="s">
        <v>1605</v>
      </c>
      <c r="C751" s="5" t="s">
        <v>549</v>
      </c>
      <c r="D751" s="5" t="s">
        <v>43</v>
      </c>
      <c r="E751" s="5" t="s">
        <v>68</v>
      </c>
      <c r="F751" s="5" t="s">
        <v>34</v>
      </c>
      <c r="G751" s="6" t="s">
        <v>66</v>
      </c>
      <c r="H751" s="5">
        <v>10.0</v>
      </c>
      <c r="I751" s="5">
        <v>28.0</v>
      </c>
      <c r="J751" s="5" t="str">
        <f t="shared" si="1"/>
        <v>Moderate</v>
      </c>
      <c r="K751" s="9">
        <v>6207.0</v>
      </c>
    </row>
    <row r="752" ht="15.75" customHeight="1">
      <c r="A752" s="5" t="s">
        <v>2317</v>
      </c>
      <c r="B752" s="5" t="s">
        <v>1624</v>
      </c>
      <c r="C752" s="5" t="s">
        <v>549</v>
      </c>
      <c r="D752" s="5" t="s">
        <v>45</v>
      </c>
      <c r="E752" s="5" t="s">
        <v>49</v>
      </c>
      <c r="F752" s="5" t="s">
        <v>34</v>
      </c>
      <c r="G752" s="6" t="s">
        <v>66</v>
      </c>
      <c r="H752" s="5">
        <v>17.67</v>
      </c>
      <c r="I752" s="5">
        <v>12.0</v>
      </c>
      <c r="J752" s="5" t="str">
        <f t="shared" si="1"/>
        <v>Short Notice</v>
      </c>
      <c r="K752" s="9">
        <v>13944.0</v>
      </c>
    </row>
    <row r="753" ht="15.75" customHeight="1">
      <c r="A753" s="5" t="s">
        <v>2319</v>
      </c>
      <c r="B753" s="5" t="s">
        <v>1640</v>
      </c>
      <c r="C753" s="5" t="s">
        <v>549</v>
      </c>
      <c r="D753" s="5" t="s">
        <v>45</v>
      </c>
      <c r="E753" s="5" t="s">
        <v>49</v>
      </c>
      <c r="F753" s="5" t="s">
        <v>34</v>
      </c>
      <c r="G753" s="6" t="s">
        <v>180</v>
      </c>
      <c r="H753" s="5">
        <v>34.58</v>
      </c>
      <c r="I753" s="5">
        <v>17.0</v>
      </c>
      <c r="J753" s="5" t="str">
        <f t="shared" si="1"/>
        <v>Moderate</v>
      </c>
      <c r="K753" s="9">
        <v>7543.0</v>
      </c>
    </row>
    <row r="754" ht="15.75" customHeight="1">
      <c r="A754" s="5" t="s">
        <v>2322</v>
      </c>
      <c r="B754" s="5" t="s">
        <v>1620</v>
      </c>
      <c r="C754" s="5" t="s">
        <v>549</v>
      </c>
      <c r="D754" s="5" t="s">
        <v>45</v>
      </c>
      <c r="E754" s="5" t="s">
        <v>49</v>
      </c>
      <c r="F754" s="5" t="s">
        <v>34</v>
      </c>
      <c r="G754" s="6" t="s">
        <v>180</v>
      </c>
      <c r="H754" s="5">
        <v>33.33</v>
      </c>
      <c r="I754" s="5">
        <v>3.0</v>
      </c>
      <c r="J754" s="5" t="str">
        <f t="shared" si="1"/>
        <v>Last Minute</v>
      </c>
      <c r="K754" s="9">
        <v>16782.0</v>
      </c>
    </row>
    <row r="755" ht="15.75" customHeight="1">
      <c r="A755" s="5" t="s">
        <v>2323</v>
      </c>
      <c r="B755" s="5" t="s">
        <v>1599</v>
      </c>
      <c r="C755" s="5" t="s">
        <v>549</v>
      </c>
      <c r="D755" s="5" t="s">
        <v>20</v>
      </c>
      <c r="E755" s="5" t="s">
        <v>52</v>
      </c>
      <c r="F755" s="5" t="s">
        <v>34</v>
      </c>
      <c r="G755" s="6" t="s">
        <v>66</v>
      </c>
      <c r="H755" s="5">
        <v>12.75</v>
      </c>
      <c r="I755" s="5">
        <v>28.0</v>
      </c>
      <c r="J755" s="5" t="str">
        <f t="shared" si="1"/>
        <v>Moderate</v>
      </c>
      <c r="K755" s="9">
        <v>8589.0</v>
      </c>
    </row>
    <row r="756" ht="15.75" customHeight="1">
      <c r="A756" s="5" t="s">
        <v>2325</v>
      </c>
      <c r="B756" s="5" t="s">
        <v>1626</v>
      </c>
      <c r="C756" s="5" t="s">
        <v>549</v>
      </c>
      <c r="D756" s="5" t="s">
        <v>45</v>
      </c>
      <c r="E756" s="5" t="s">
        <v>49</v>
      </c>
      <c r="F756" s="5" t="s">
        <v>34</v>
      </c>
      <c r="G756" s="6" t="s">
        <v>180</v>
      </c>
      <c r="H756" s="5">
        <v>19.42</v>
      </c>
      <c r="I756" s="5">
        <v>6.0</v>
      </c>
      <c r="J756" s="5" t="str">
        <f t="shared" si="1"/>
        <v>Last Minute</v>
      </c>
      <c r="K756" s="9">
        <v>12792.0</v>
      </c>
    </row>
    <row r="757" ht="15.75" customHeight="1">
      <c r="A757" s="5" t="s">
        <v>2327</v>
      </c>
      <c r="B757" s="5" t="s">
        <v>1635</v>
      </c>
      <c r="C757" s="5" t="s">
        <v>549</v>
      </c>
      <c r="D757" s="5" t="s">
        <v>20</v>
      </c>
      <c r="E757" s="5" t="s">
        <v>52</v>
      </c>
      <c r="F757" s="5" t="s">
        <v>53</v>
      </c>
      <c r="G757" s="6" t="s">
        <v>66</v>
      </c>
      <c r="H757" s="5">
        <v>26.33</v>
      </c>
      <c r="I757" s="5">
        <v>37.0</v>
      </c>
      <c r="J757" s="5" t="str">
        <f t="shared" si="1"/>
        <v>Advance</v>
      </c>
      <c r="K757" s="9">
        <v>55983.0</v>
      </c>
    </row>
    <row r="758" ht="15.75" customHeight="1">
      <c r="A758" s="5" t="s">
        <v>2329</v>
      </c>
      <c r="B758" s="5" t="s">
        <v>1616</v>
      </c>
      <c r="C758" s="5" t="s">
        <v>549</v>
      </c>
      <c r="D758" s="5" t="s">
        <v>45</v>
      </c>
      <c r="E758" s="5" t="s">
        <v>49</v>
      </c>
      <c r="F758" s="5" t="s">
        <v>34</v>
      </c>
      <c r="G758" s="6" t="s">
        <v>180</v>
      </c>
      <c r="H758" s="5">
        <v>21.33</v>
      </c>
      <c r="I758" s="5">
        <v>14.0</v>
      </c>
      <c r="J758" s="5" t="str">
        <f t="shared" si="1"/>
        <v>Short Notice</v>
      </c>
      <c r="K758" s="9">
        <v>12792.0</v>
      </c>
    </row>
    <row r="759" ht="15.75" customHeight="1">
      <c r="A759" s="5" t="s">
        <v>2332</v>
      </c>
      <c r="B759" s="5" t="s">
        <v>1584</v>
      </c>
      <c r="C759" s="5" t="s">
        <v>549</v>
      </c>
      <c r="D759" s="5" t="s">
        <v>20</v>
      </c>
      <c r="E759" s="5" t="s">
        <v>52</v>
      </c>
      <c r="F759" s="5" t="s">
        <v>53</v>
      </c>
      <c r="G759" s="6" t="s">
        <v>66</v>
      </c>
      <c r="H759" s="5">
        <v>5.5</v>
      </c>
      <c r="I759" s="5">
        <v>5.0</v>
      </c>
      <c r="J759" s="5" t="str">
        <f t="shared" si="1"/>
        <v>Last Minute</v>
      </c>
      <c r="K759" s="9">
        <v>55502.0</v>
      </c>
    </row>
    <row r="760" ht="15.75" customHeight="1">
      <c r="A760" s="5" t="s">
        <v>2334</v>
      </c>
      <c r="B760" s="5" t="s">
        <v>1576</v>
      </c>
      <c r="C760" s="5" t="s">
        <v>549</v>
      </c>
      <c r="D760" s="5" t="s">
        <v>45</v>
      </c>
      <c r="E760" s="5" t="s">
        <v>49</v>
      </c>
      <c r="F760" s="5" t="s">
        <v>34</v>
      </c>
      <c r="G760" s="6" t="s">
        <v>180</v>
      </c>
      <c r="H760" s="5">
        <v>13.75</v>
      </c>
      <c r="I760" s="5">
        <v>7.0</v>
      </c>
      <c r="J760" s="5" t="str">
        <f t="shared" si="1"/>
        <v>Last Minute</v>
      </c>
      <c r="K760" s="9">
        <v>18879.0</v>
      </c>
    </row>
    <row r="761" ht="15.75" customHeight="1">
      <c r="A761" s="5" t="s">
        <v>2336</v>
      </c>
      <c r="B761" s="5" t="s">
        <v>1608</v>
      </c>
      <c r="C761" s="5" t="s">
        <v>549</v>
      </c>
      <c r="D761" s="5" t="s">
        <v>20</v>
      </c>
      <c r="E761" s="5" t="s">
        <v>52</v>
      </c>
      <c r="F761" s="5" t="s">
        <v>34</v>
      </c>
      <c r="G761" s="6" t="s">
        <v>66</v>
      </c>
      <c r="H761" s="5">
        <v>15.92</v>
      </c>
      <c r="I761" s="5">
        <v>17.0</v>
      </c>
      <c r="J761" s="5" t="str">
        <f t="shared" si="1"/>
        <v>Moderate</v>
      </c>
      <c r="K761" s="9">
        <v>8799.0</v>
      </c>
    </row>
    <row r="762" ht="15.75" customHeight="1">
      <c r="A762" s="5" t="s">
        <v>2338</v>
      </c>
      <c r="B762" s="5" t="s">
        <v>1610</v>
      </c>
      <c r="C762" s="5" t="s">
        <v>549</v>
      </c>
      <c r="D762" s="5" t="s">
        <v>43</v>
      </c>
      <c r="E762" s="5" t="s">
        <v>68</v>
      </c>
      <c r="F762" s="5" t="s">
        <v>34</v>
      </c>
      <c r="G762" s="6" t="s">
        <v>66</v>
      </c>
      <c r="H762" s="5">
        <v>10.17</v>
      </c>
      <c r="I762" s="5">
        <v>10.0</v>
      </c>
      <c r="J762" s="5" t="str">
        <f t="shared" si="1"/>
        <v>Short Notice</v>
      </c>
      <c r="K762" s="9">
        <v>8495.0</v>
      </c>
    </row>
    <row r="763" ht="15.75" customHeight="1">
      <c r="A763" s="5" t="s">
        <v>2340</v>
      </c>
      <c r="B763" s="5" t="s">
        <v>1617</v>
      </c>
      <c r="C763" s="5" t="s">
        <v>549</v>
      </c>
      <c r="D763" s="5" t="s">
        <v>29</v>
      </c>
      <c r="E763" s="5" t="s">
        <v>32</v>
      </c>
      <c r="F763" s="5" t="s">
        <v>34</v>
      </c>
      <c r="G763" s="6" t="s">
        <v>37</v>
      </c>
      <c r="H763" s="5">
        <v>2.67</v>
      </c>
      <c r="I763" s="5">
        <v>26.0</v>
      </c>
      <c r="J763" s="5" t="str">
        <f t="shared" si="1"/>
        <v>Moderate</v>
      </c>
      <c r="K763" s="9">
        <v>5465.0</v>
      </c>
    </row>
    <row r="764" ht="15.75" customHeight="1">
      <c r="A764" s="5" t="s">
        <v>2342</v>
      </c>
      <c r="B764" s="5" t="s">
        <v>1570</v>
      </c>
      <c r="C764" s="5" t="s">
        <v>549</v>
      </c>
      <c r="D764" s="5" t="s">
        <v>29</v>
      </c>
      <c r="E764" s="5" t="s">
        <v>32</v>
      </c>
      <c r="F764" s="5" t="s">
        <v>34</v>
      </c>
      <c r="G764" s="6" t="s">
        <v>66</v>
      </c>
      <c r="H764" s="5">
        <v>10.0</v>
      </c>
      <c r="I764" s="5">
        <v>16.0</v>
      </c>
      <c r="J764" s="5" t="str">
        <f t="shared" si="1"/>
        <v>Moderate</v>
      </c>
      <c r="K764" s="9">
        <v>3961.0</v>
      </c>
    </row>
    <row r="765" ht="15.75" customHeight="1">
      <c r="A765" s="5" t="s">
        <v>2345</v>
      </c>
      <c r="B765" s="5" t="s">
        <v>1579</v>
      </c>
      <c r="C765" s="5" t="s">
        <v>549</v>
      </c>
      <c r="D765" s="5" t="s">
        <v>45</v>
      </c>
      <c r="E765" s="5" t="s">
        <v>49</v>
      </c>
      <c r="F765" s="5" t="s">
        <v>34</v>
      </c>
      <c r="G765" s="6" t="s">
        <v>66</v>
      </c>
      <c r="H765" s="5">
        <v>19.92</v>
      </c>
      <c r="I765" s="5">
        <v>24.0</v>
      </c>
      <c r="J765" s="5" t="str">
        <f t="shared" si="1"/>
        <v>Moderate</v>
      </c>
      <c r="K765" s="9">
        <v>7763.0</v>
      </c>
    </row>
    <row r="766" ht="15.75" customHeight="1">
      <c r="A766" s="5" t="s">
        <v>2349</v>
      </c>
      <c r="B766" s="5" t="s">
        <v>1638</v>
      </c>
      <c r="C766" s="5" t="s">
        <v>549</v>
      </c>
      <c r="D766" s="5" t="s">
        <v>45</v>
      </c>
      <c r="E766" s="5" t="s">
        <v>49</v>
      </c>
      <c r="F766" s="5" t="s">
        <v>34</v>
      </c>
      <c r="G766" s="6" t="s">
        <v>66</v>
      </c>
      <c r="H766" s="5">
        <v>15.67</v>
      </c>
      <c r="I766" s="5">
        <v>43.0</v>
      </c>
      <c r="J766" s="5" t="str">
        <f t="shared" si="1"/>
        <v>Advance</v>
      </c>
      <c r="K766" s="9">
        <v>7763.0</v>
      </c>
    </row>
    <row r="767" ht="15.75" customHeight="1">
      <c r="A767" s="5" t="s">
        <v>2351</v>
      </c>
      <c r="B767" s="5" t="s">
        <v>1593</v>
      </c>
      <c r="C767" s="5" t="s">
        <v>549</v>
      </c>
      <c r="D767" s="5" t="s">
        <v>43</v>
      </c>
      <c r="E767" s="5" t="s">
        <v>68</v>
      </c>
      <c r="F767" s="5" t="s">
        <v>34</v>
      </c>
      <c r="G767" s="6" t="s">
        <v>66</v>
      </c>
      <c r="H767" s="5">
        <v>8.0</v>
      </c>
      <c r="I767" s="5">
        <v>44.0</v>
      </c>
      <c r="J767" s="5" t="str">
        <f t="shared" si="1"/>
        <v>Advance</v>
      </c>
      <c r="K767" s="9">
        <v>3015.0</v>
      </c>
    </row>
    <row r="768" ht="15.75" customHeight="1">
      <c r="A768" s="5" t="s">
        <v>2354</v>
      </c>
      <c r="B768" s="5" t="s">
        <v>1631</v>
      </c>
      <c r="C768" s="5" t="s">
        <v>549</v>
      </c>
      <c r="D768" s="5" t="s">
        <v>43</v>
      </c>
      <c r="E768" s="5" t="s">
        <v>68</v>
      </c>
      <c r="F768" s="5" t="s">
        <v>34</v>
      </c>
      <c r="G768" s="6" t="s">
        <v>66</v>
      </c>
      <c r="H768" s="5">
        <v>8.75</v>
      </c>
      <c r="I768" s="5">
        <v>44.0</v>
      </c>
      <c r="J768" s="5" t="str">
        <f t="shared" si="1"/>
        <v>Advance</v>
      </c>
      <c r="K768" s="9">
        <v>3015.0</v>
      </c>
    </row>
    <row r="769" ht="15.75" customHeight="1">
      <c r="A769" s="5" t="s">
        <v>2356</v>
      </c>
      <c r="B769" s="5" t="s">
        <v>1568</v>
      </c>
      <c r="C769" s="5" t="s">
        <v>549</v>
      </c>
      <c r="D769" s="5" t="s">
        <v>45</v>
      </c>
      <c r="E769" s="5" t="s">
        <v>49</v>
      </c>
      <c r="F769" s="5" t="s">
        <v>34</v>
      </c>
      <c r="G769" s="6">
        <v>1.0</v>
      </c>
      <c r="H769" s="5">
        <v>27.58</v>
      </c>
      <c r="I769" s="5">
        <v>44.0</v>
      </c>
      <c r="J769" s="5" t="str">
        <f t="shared" si="1"/>
        <v>Advance</v>
      </c>
      <c r="K769" s="9">
        <v>3948.0</v>
      </c>
    </row>
    <row r="770" ht="15.75" customHeight="1">
      <c r="A770" s="5" t="s">
        <v>2359</v>
      </c>
      <c r="B770" s="5" t="s">
        <v>1592</v>
      </c>
      <c r="C770" s="5" t="s">
        <v>549</v>
      </c>
      <c r="D770" s="5" t="s">
        <v>29</v>
      </c>
      <c r="E770" s="5" t="s">
        <v>32</v>
      </c>
      <c r="F770" s="5" t="s">
        <v>34</v>
      </c>
      <c r="G770" s="6" t="s">
        <v>37</v>
      </c>
      <c r="H770" s="5">
        <v>2.33</v>
      </c>
      <c r="I770" s="5">
        <v>47.0</v>
      </c>
      <c r="J770" s="5" t="str">
        <f t="shared" si="1"/>
        <v>Advance</v>
      </c>
      <c r="K770" s="9">
        <v>2966.0</v>
      </c>
    </row>
    <row r="771" ht="15.75" customHeight="1">
      <c r="A771" s="5" t="s">
        <v>2361</v>
      </c>
      <c r="B771" s="5" t="s">
        <v>1643</v>
      </c>
      <c r="C771" s="5" t="s">
        <v>549</v>
      </c>
      <c r="D771" s="5" t="s">
        <v>43</v>
      </c>
      <c r="E771" s="5" t="s">
        <v>68</v>
      </c>
      <c r="F771" s="5" t="s">
        <v>34</v>
      </c>
      <c r="G771" s="6" t="s">
        <v>66</v>
      </c>
      <c r="H771" s="5">
        <v>5.92</v>
      </c>
      <c r="I771" s="5">
        <v>47.0</v>
      </c>
      <c r="J771" s="5" t="str">
        <f t="shared" si="1"/>
        <v>Advance</v>
      </c>
      <c r="K771" s="9">
        <v>3015.0</v>
      </c>
    </row>
    <row r="772" ht="15.75" customHeight="1">
      <c r="A772" s="5" t="s">
        <v>2366</v>
      </c>
      <c r="B772" s="5" t="s">
        <v>1603</v>
      </c>
      <c r="C772" s="5" t="s">
        <v>549</v>
      </c>
      <c r="D772" s="5" t="s">
        <v>43</v>
      </c>
      <c r="E772" s="5" t="s">
        <v>68</v>
      </c>
      <c r="F772" s="5" t="s">
        <v>34</v>
      </c>
      <c r="G772" s="6" t="s">
        <v>66</v>
      </c>
      <c r="H772" s="5">
        <v>6.33</v>
      </c>
      <c r="I772" s="5">
        <v>47.0</v>
      </c>
      <c r="J772" s="5" t="str">
        <f t="shared" si="1"/>
        <v>Advance</v>
      </c>
      <c r="K772" s="9">
        <v>3015.0</v>
      </c>
    </row>
    <row r="773" ht="15.75" customHeight="1">
      <c r="A773" s="5" t="s">
        <v>2368</v>
      </c>
      <c r="B773" s="5" t="s">
        <v>1614</v>
      </c>
      <c r="C773" s="5" t="s">
        <v>549</v>
      </c>
      <c r="D773" s="5" t="s">
        <v>43</v>
      </c>
      <c r="E773" s="5" t="s">
        <v>68</v>
      </c>
      <c r="F773" s="5" t="s">
        <v>34</v>
      </c>
      <c r="G773" s="6" t="s">
        <v>66</v>
      </c>
      <c r="H773" s="5">
        <v>8.5</v>
      </c>
      <c r="I773" s="5">
        <v>47.0</v>
      </c>
      <c r="J773" s="5" t="str">
        <f t="shared" si="1"/>
        <v>Advance</v>
      </c>
      <c r="K773" s="9">
        <v>3015.0</v>
      </c>
    </row>
    <row r="774" ht="15.75" customHeight="1">
      <c r="A774" s="5" t="s">
        <v>2369</v>
      </c>
      <c r="B774" s="5" t="s">
        <v>1566</v>
      </c>
      <c r="C774" s="5" t="s">
        <v>549</v>
      </c>
      <c r="D774" s="5" t="s">
        <v>43</v>
      </c>
      <c r="E774" s="5" t="s">
        <v>68</v>
      </c>
      <c r="F774" s="5" t="s">
        <v>34</v>
      </c>
      <c r="G774" s="6" t="s">
        <v>66</v>
      </c>
      <c r="H774" s="5">
        <v>9.75</v>
      </c>
      <c r="I774" s="5">
        <v>47.0</v>
      </c>
      <c r="J774" s="5" t="str">
        <f t="shared" si="1"/>
        <v>Advance</v>
      </c>
      <c r="K774" s="9">
        <v>3015.0</v>
      </c>
    </row>
    <row r="775" ht="15.75" customHeight="1">
      <c r="A775" s="5" t="s">
        <v>2371</v>
      </c>
      <c r="B775" s="5" t="s">
        <v>1588</v>
      </c>
      <c r="C775" s="5" t="s">
        <v>549</v>
      </c>
      <c r="D775" s="5" t="s">
        <v>43</v>
      </c>
      <c r="E775" s="5" t="s">
        <v>68</v>
      </c>
      <c r="F775" s="5" t="s">
        <v>34</v>
      </c>
      <c r="G775" s="6" t="s">
        <v>66</v>
      </c>
      <c r="H775" s="5">
        <v>5.92</v>
      </c>
      <c r="I775" s="5">
        <v>47.0</v>
      </c>
      <c r="J775" s="5" t="str">
        <f t="shared" si="1"/>
        <v>Advance</v>
      </c>
      <c r="K775" s="9">
        <v>4170.0</v>
      </c>
    </row>
    <row r="776" ht="15.75" customHeight="1">
      <c r="A776" s="5" t="s">
        <v>2372</v>
      </c>
      <c r="B776" s="5" t="s">
        <v>1633</v>
      </c>
      <c r="C776" s="5" t="s">
        <v>549</v>
      </c>
      <c r="D776" s="5" t="s">
        <v>45</v>
      </c>
      <c r="E776" s="5" t="s">
        <v>49</v>
      </c>
      <c r="F776" s="5" t="s">
        <v>34</v>
      </c>
      <c r="G776" s="6" t="s">
        <v>66</v>
      </c>
      <c r="H776" s="5">
        <v>18.25</v>
      </c>
      <c r="I776" s="5">
        <v>45.0</v>
      </c>
      <c r="J776" s="5" t="str">
        <f t="shared" si="1"/>
        <v>Advance</v>
      </c>
      <c r="K776" s="9">
        <v>4893.0</v>
      </c>
    </row>
    <row r="777" ht="15.75" customHeight="1">
      <c r="A777" s="5" t="s">
        <v>2374</v>
      </c>
      <c r="B777" s="5" t="s">
        <v>1642</v>
      </c>
      <c r="C777" s="5" t="s">
        <v>549</v>
      </c>
      <c r="D777" s="5" t="s">
        <v>20</v>
      </c>
      <c r="E777" s="5" t="s">
        <v>52</v>
      </c>
      <c r="F777" s="5" t="s">
        <v>53</v>
      </c>
      <c r="G777" s="6" t="s">
        <v>66</v>
      </c>
      <c r="H777" s="5">
        <v>23.92</v>
      </c>
      <c r="I777" s="5">
        <v>48.0</v>
      </c>
      <c r="J777" s="5" t="str">
        <f t="shared" si="1"/>
        <v>Advance</v>
      </c>
      <c r="K777" s="9">
        <v>7336.0</v>
      </c>
    </row>
    <row r="778" ht="15.75" customHeight="1">
      <c r="A778" s="5" t="s">
        <v>2376</v>
      </c>
      <c r="B778" s="5" t="s">
        <v>1564</v>
      </c>
      <c r="C778" s="5" t="s">
        <v>549</v>
      </c>
      <c r="D778" s="5" t="s">
        <v>58</v>
      </c>
      <c r="E778" s="5" t="s">
        <v>59</v>
      </c>
      <c r="F778" s="5" t="s">
        <v>34</v>
      </c>
      <c r="G778" s="6" t="s">
        <v>66</v>
      </c>
      <c r="H778" s="5">
        <v>8.33</v>
      </c>
      <c r="I778" s="5">
        <v>47.0</v>
      </c>
      <c r="J778" s="5" t="str">
        <f t="shared" si="1"/>
        <v>Advance</v>
      </c>
      <c r="K778" s="9">
        <v>7336.0</v>
      </c>
    </row>
    <row r="779" ht="15.75" customHeight="1">
      <c r="A779" s="5" t="s">
        <v>2378</v>
      </c>
      <c r="B779" s="5" t="s">
        <v>1596</v>
      </c>
      <c r="C779" s="5" t="s">
        <v>549</v>
      </c>
      <c r="D779" s="5" t="s">
        <v>72</v>
      </c>
      <c r="E779" s="5" t="s">
        <v>266</v>
      </c>
      <c r="F779" s="5" t="s">
        <v>34</v>
      </c>
      <c r="G779" s="6" t="s">
        <v>37</v>
      </c>
      <c r="H779" s="5">
        <v>2.33</v>
      </c>
      <c r="I779" s="5">
        <v>48.0</v>
      </c>
      <c r="J779" s="5" t="str">
        <f t="shared" si="1"/>
        <v>Advance</v>
      </c>
      <c r="K779" s="9">
        <v>3453.0</v>
      </c>
    </row>
    <row r="780" ht="15.75" customHeight="1">
      <c r="A780" s="5" t="s">
        <v>2380</v>
      </c>
      <c r="B780" s="5" t="s">
        <v>1743</v>
      </c>
      <c r="C780" s="5" t="s">
        <v>564</v>
      </c>
      <c r="D780" s="5" t="s">
        <v>29</v>
      </c>
      <c r="E780" s="5" t="s">
        <v>32</v>
      </c>
      <c r="F780" s="5" t="s">
        <v>34</v>
      </c>
      <c r="G780" s="6" t="s">
        <v>66</v>
      </c>
      <c r="H780" s="5">
        <v>9.58</v>
      </c>
      <c r="I780" s="5">
        <v>43.0</v>
      </c>
      <c r="J780" s="5" t="str">
        <f t="shared" si="1"/>
        <v>Advance</v>
      </c>
      <c r="K780" s="9">
        <v>2695.0</v>
      </c>
    </row>
    <row r="781" ht="15.75" customHeight="1">
      <c r="A781" s="5" t="s">
        <v>2381</v>
      </c>
      <c r="B781" s="5" t="s">
        <v>1727</v>
      </c>
      <c r="C781" s="5" t="s">
        <v>564</v>
      </c>
      <c r="D781" s="5" t="s">
        <v>43</v>
      </c>
      <c r="E781" s="5" t="s">
        <v>68</v>
      </c>
      <c r="F781" s="5" t="s">
        <v>34</v>
      </c>
      <c r="G781" s="6" t="s">
        <v>37</v>
      </c>
      <c r="H781" s="5">
        <v>2.42</v>
      </c>
      <c r="I781" s="5">
        <v>1.0</v>
      </c>
      <c r="J781" s="5" t="str">
        <f t="shared" si="1"/>
        <v>Last Minute</v>
      </c>
      <c r="K781" s="9">
        <v>12853.0</v>
      </c>
    </row>
    <row r="782" ht="15.75" customHeight="1">
      <c r="A782" s="5" t="s">
        <v>2384</v>
      </c>
      <c r="B782" s="5" t="s">
        <v>1693</v>
      </c>
      <c r="C782" s="5" t="s">
        <v>564</v>
      </c>
      <c r="D782" s="5" t="s">
        <v>43</v>
      </c>
      <c r="E782" s="5" t="s">
        <v>68</v>
      </c>
      <c r="F782" s="5" t="s">
        <v>34</v>
      </c>
      <c r="G782" s="6" t="s">
        <v>66</v>
      </c>
      <c r="H782" s="5">
        <v>6.92</v>
      </c>
      <c r="I782" s="5">
        <v>1.0</v>
      </c>
      <c r="J782" s="5" t="str">
        <f t="shared" si="1"/>
        <v>Last Minute</v>
      </c>
      <c r="K782" s="9">
        <v>17578.0</v>
      </c>
    </row>
    <row r="783" ht="15.75" customHeight="1">
      <c r="A783" s="5" t="s">
        <v>2386</v>
      </c>
      <c r="B783" s="5" t="s">
        <v>1669</v>
      </c>
      <c r="C783" s="5" t="s">
        <v>564</v>
      </c>
      <c r="D783" s="5" t="s">
        <v>20</v>
      </c>
      <c r="E783" s="5" t="s">
        <v>52</v>
      </c>
      <c r="F783" s="5" t="s">
        <v>53</v>
      </c>
      <c r="G783" s="6" t="s">
        <v>37</v>
      </c>
      <c r="H783" s="5">
        <v>2.17</v>
      </c>
      <c r="J783" s="5" t="str">
        <f t="shared" si="1"/>
        <v>Last Minute</v>
      </c>
      <c r="K783" s="9">
        <v>30808.0</v>
      </c>
    </row>
    <row r="784" ht="15.75" customHeight="1">
      <c r="A784" s="5" t="s">
        <v>2389</v>
      </c>
      <c r="B784" s="5" t="s">
        <v>1662</v>
      </c>
      <c r="C784" s="5" t="s">
        <v>564</v>
      </c>
      <c r="D784" s="5" t="s">
        <v>20</v>
      </c>
      <c r="E784" s="5" t="s">
        <v>52</v>
      </c>
      <c r="F784" s="5" t="s">
        <v>34</v>
      </c>
      <c r="G784" s="6">
        <v>0.0</v>
      </c>
      <c r="H784" s="5">
        <v>16.5</v>
      </c>
      <c r="I784" s="5">
        <v>44.0</v>
      </c>
      <c r="J784" s="5" t="str">
        <f t="shared" si="1"/>
        <v>Advance</v>
      </c>
      <c r="K784" s="9">
        <v>5892.0</v>
      </c>
    </row>
    <row r="785" ht="15.75" customHeight="1">
      <c r="A785" s="5" t="s">
        <v>2391</v>
      </c>
      <c r="B785" s="5" t="s">
        <v>1713</v>
      </c>
      <c r="C785" s="5" t="s">
        <v>564</v>
      </c>
      <c r="D785" s="5" t="s">
        <v>20</v>
      </c>
      <c r="E785" s="5" t="s">
        <v>52</v>
      </c>
      <c r="F785" s="5" t="s">
        <v>34</v>
      </c>
      <c r="G785" s="6" t="s">
        <v>66</v>
      </c>
      <c r="H785" s="5">
        <v>25.42</v>
      </c>
      <c r="I785" s="5">
        <v>2.0</v>
      </c>
      <c r="J785" s="5" t="str">
        <f t="shared" si="1"/>
        <v>Last Minute</v>
      </c>
      <c r="K785" s="9">
        <v>12276.0</v>
      </c>
    </row>
    <row r="786" ht="15.75" customHeight="1">
      <c r="A786" s="5" t="s">
        <v>2393</v>
      </c>
      <c r="B786" s="5" t="s">
        <v>1691</v>
      </c>
      <c r="C786" s="5" t="s">
        <v>564</v>
      </c>
      <c r="D786" s="5" t="s">
        <v>43</v>
      </c>
      <c r="E786" s="5" t="s">
        <v>68</v>
      </c>
      <c r="F786" s="5" t="s">
        <v>34</v>
      </c>
      <c r="G786" s="6" t="s">
        <v>66</v>
      </c>
      <c r="H786" s="5">
        <v>5.0</v>
      </c>
      <c r="I786" s="5">
        <v>43.0</v>
      </c>
      <c r="J786" s="5" t="str">
        <f t="shared" si="1"/>
        <v>Advance</v>
      </c>
      <c r="K786" s="9">
        <v>3397.0</v>
      </c>
    </row>
    <row r="787" ht="15.75" customHeight="1">
      <c r="A787" s="5" t="s">
        <v>2394</v>
      </c>
      <c r="B787" s="5" t="s">
        <v>1680</v>
      </c>
      <c r="C787" s="5" t="s">
        <v>564</v>
      </c>
      <c r="D787" s="5" t="s">
        <v>58</v>
      </c>
      <c r="E787" s="5" t="s">
        <v>59</v>
      </c>
      <c r="F787" s="5" t="s">
        <v>34</v>
      </c>
      <c r="G787" s="6" t="s">
        <v>66</v>
      </c>
      <c r="H787" s="5">
        <v>10.83</v>
      </c>
      <c r="I787" s="5">
        <v>39.0</v>
      </c>
      <c r="J787" s="5" t="str">
        <f t="shared" si="1"/>
        <v>Advance</v>
      </c>
      <c r="K787" s="9">
        <v>5029.0</v>
      </c>
    </row>
    <row r="788" ht="15.75" customHeight="1">
      <c r="A788" s="5" t="s">
        <v>2396</v>
      </c>
      <c r="B788" s="5" t="s">
        <v>1716</v>
      </c>
      <c r="C788" s="5" t="s">
        <v>564</v>
      </c>
      <c r="D788" s="5" t="s">
        <v>45</v>
      </c>
      <c r="E788" s="5" t="s">
        <v>49</v>
      </c>
      <c r="F788" s="5" t="s">
        <v>34</v>
      </c>
      <c r="G788" s="6" t="s">
        <v>66</v>
      </c>
      <c r="H788" s="5">
        <v>19.83</v>
      </c>
      <c r="I788" s="5">
        <v>3.0</v>
      </c>
      <c r="J788" s="5" t="str">
        <f t="shared" si="1"/>
        <v>Last Minute</v>
      </c>
      <c r="K788" s="9">
        <v>11488.0</v>
      </c>
    </row>
    <row r="789" ht="15.75" customHeight="1">
      <c r="A789" s="5" t="s">
        <v>2398</v>
      </c>
      <c r="B789" s="5" t="s">
        <v>1656</v>
      </c>
      <c r="C789" s="5" t="s">
        <v>564</v>
      </c>
      <c r="D789" s="5" t="s">
        <v>43</v>
      </c>
      <c r="E789" s="5" t="s">
        <v>68</v>
      </c>
      <c r="F789" s="5" t="s">
        <v>34</v>
      </c>
      <c r="G789" s="6" t="s">
        <v>66</v>
      </c>
      <c r="H789" s="5">
        <v>6.75</v>
      </c>
      <c r="I789" s="5">
        <v>3.0</v>
      </c>
      <c r="J789" s="5" t="str">
        <f t="shared" si="1"/>
        <v>Last Minute</v>
      </c>
      <c r="K789" s="9">
        <v>12447.0</v>
      </c>
    </row>
    <row r="790" ht="15.75" customHeight="1">
      <c r="A790" s="5" t="s">
        <v>2399</v>
      </c>
      <c r="B790" s="5" t="s">
        <v>1741</v>
      </c>
      <c r="C790" s="5" t="s">
        <v>564</v>
      </c>
      <c r="D790" s="5" t="s">
        <v>45</v>
      </c>
      <c r="E790" s="5" t="s">
        <v>49</v>
      </c>
      <c r="F790" s="5" t="s">
        <v>53</v>
      </c>
      <c r="G790" s="6" t="s">
        <v>66</v>
      </c>
      <c r="H790" s="5">
        <v>17.0</v>
      </c>
      <c r="I790" s="5">
        <v>34.0</v>
      </c>
      <c r="J790" s="5" t="str">
        <f t="shared" si="1"/>
        <v>Advance</v>
      </c>
      <c r="K790" s="9">
        <v>56546.0</v>
      </c>
    </row>
    <row r="791" ht="15.75" customHeight="1">
      <c r="A791" s="5" t="s">
        <v>2401</v>
      </c>
      <c r="B791" s="5" t="s">
        <v>1684</v>
      </c>
      <c r="C791" s="5" t="s">
        <v>564</v>
      </c>
      <c r="D791" s="5" t="s">
        <v>45</v>
      </c>
      <c r="E791" s="5" t="s">
        <v>49</v>
      </c>
      <c r="F791" s="5" t="s">
        <v>34</v>
      </c>
      <c r="G791" s="6" t="s">
        <v>66</v>
      </c>
      <c r="H791" s="5">
        <v>20.42</v>
      </c>
      <c r="I791" s="5">
        <v>8.0</v>
      </c>
      <c r="J791" s="5" t="str">
        <f t="shared" si="1"/>
        <v>Short Notice</v>
      </c>
      <c r="K791" s="9">
        <v>14533.0</v>
      </c>
    </row>
    <row r="792" ht="15.75" customHeight="1">
      <c r="A792" s="5" t="s">
        <v>2403</v>
      </c>
      <c r="B792" s="5" t="s">
        <v>1719</v>
      </c>
      <c r="C792" s="5" t="s">
        <v>564</v>
      </c>
      <c r="D792" s="5" t="s">
        <v>20</v>
      </c>
      <c r="E792" s="5" t="s">
        <v>52</v>
      </c>
      <c r="F792" s="5" t="s">
        <v>34</v>
      </c>
      <c r="G792" s="6" t="s">
        <v>66</v>
      </c>
      <c r="H792" s="5">
        <v>6.83</v>
      </c>
      <c r="I792" s="5">
        <v>45.0</v>
      </c>
      <c r="J792" s="5" t="str">
        <f t="shared" si="1"/>
        <v>Advance</v>
      </c>
      <c r="K792" s="9">
        <v>6292.0</v>
      </c>
    </row>
    <row r="793" ht="15.75" customHeight="1">
      <c r="A793" s="5" t="s">
        <v>2404</v>
      </c>
      <c r="B793" s="5" t="s">
        <v>1705</v>
      </c>
      <c r="C793" s="5" t="s">
        <v>564</v>
      </c>
      <c r="D793" s="5" t="s">
        <v>45</v>
      </c>
      <c r="E793" s="5" t="s">
        <v>49</v>
      </c>
      <c r="F793" s="5" t="s">
        <v>34</v>
      </c>
      <c r="G793" s="6" t="s">
        <v>66</v>
      </c>
      <c r="H793" s="5">
        <v>6.33</v>
      </c>
      <c r="I793" s="5">
        <v>32.0</v>
      </c>
      <c r="J793" s="5" t="str">
        <f t="shared" si="1"/>
        <v>Advance</v>
      </c>
      <c r="K793" s="9">
        <v>6117.0</v>
      </c>
    </row>
    <row r="794" ht="15.75" customHeight="1">
      <c r="A794" s="5" t="s">
        <v>2406</v>
      </c>
      <c r="B794" s="5" t="s">
        <v>1647</v>
      </c>
      <c r="C794" s="5" t="s">
        <v>564</v>
      </c>
      <c r="D794" s="5" t="s">
        <v>45</v>
      </c>
      <c r="E794" s="5" t="s">
        <v>49</v>
      </c>
      <c r="F794" s="5" t="s">
        <v>34</v>
      </c>
      <c r="G794" s="6" t="s">
        <v>66</v>
      </c>
      <c r="H794" s="5">
        <v>11.0</v>
      </c>
      <c r="I794" s="5">
        <v>32.0</v>
      </c>
      <c r="J794" s="5" t="str">
        <f t="shared" si="1"/>
        <v>Advance</v>
      </c>
      <c r="K794" s="9">
        <v>5697.0</v>
      </c>
    </row>
    <row r="795" ht="15.75" customHeight="1">
      <c r="A795" s="5" t="s">
        <v>2409</v>
      </c>
      <c r="B795" s="5" t="s">
        <v>1710</v>
      </c>
      <c r="C795" s="5" t="s">
        <v>564</v>
      </c>
      <c r="D795" s="5" t="s">
        <v>45</v>
      </c>
      <c r="E795" s="5" t="s">
        <v>49</v>
      </c>
      <c r="F795" s="5" t="s">
        <v>34</v>
      </c>
      <c r="G795" s="6" t="s">
        <v>66</v>
      </c>
      <c r="H795" s="5">
        <v>12.0</v>
      </c>
      <c r="I795" s="5">
        <v>4.0</v>
      </c>
      <c r="J795" s="5" t="str">
        <f t="shared" si="1"/>
        <v>Last Minute</v>
      </c>
      <c r="K795" s="9">
        <v>11488.0</v>
      </c>
    </row>
    <row r="796" ht="15.75" customHeight="1">
      <c r="A796" s="5" t="s">
        <v>2410</v>
      </c>
      <c r="B796" s="5" t="s">
        <v>1704</v>
      </c>
      <c r="C796" s="5" t="s">
        <v>564</v>
      </c>
      <c r="D796" s="5" t="s">
        <v>45</v>
      </c>
      <c r="E796" s="5" t="s">
        <v>49</v>
      </c>
      <c r="F796" s="5" t="s">
        <v>34</v>
      </c>
      <c r="G796" s="6" t="s">
        <v>66</v>
      </c>
      <c r="H796" s="5">
        <v>23.17</v>
      </c>
      <c r="I796" s="5">
        <v>11.0</v>
      </c>
      <c r="J796" s="5" t="str">
        <f t="shared" si="1"/>
        <v>Short Notice</v>
      </c>
      <c r="K796" s="9">
        <v>11488.0</v>
      </c>
    </row>
    <row r="797" ht="15.75" customHeight="1">
      <c r="A797" s="5" t="s">
        <v>2412</v>
      </c>
      <c r="B797" s="5" t="s">
        <v>1733</v>
      </c>
      <c r="C797" s="5" t="s">
        <v>564</v>
      </c>
      <c r="D797" s="5" t="s">
        <v>45</v>
      </c>
      <c r="E797" s="5" t="s">
        <v>49</v>
      </c>
      <c r="F797" s="5" t="s">
        <v>34</v>
      </c>
      <c r="G797" s="6" t="s">
        <v>66</v>
      </c>
      <c r="H797" s="5">
        <v>6.17</v>
      </c>
      <c r="I797" s="5">
        <v>8.0</v>
      </c>
      <c r="J797" s="5" t="str">
        <f t="shared" si="1"/>
        <v>Short Notice</v>
      </c>
      <c r="K797" s="9">
        <v>10586.0</v>
      </c>
    </row>
    <row r="798" ht="15.75" customHeight="1">
      <c r="A798" s="5" t="s">
        <v>2414</v>
      </c>
      <c r="B798" s="5" t="s">
        <v>1672</v>
      </c>
      <c r="C798" s="5" t="s">
        <v>564</v>
      </c>
      <c r="D798" s="5" t="s">
        <v>20</v>
      </c>
      <c r="E798" s="5" t="s">
        <v>52</v>
      </c>
      <c r="F798" s="5" t="s">
        <v>34</v>
      </c>
      <c r="G798" s="6" t="s">
        <v>66</v>
      </c>
      <c r="H798" s="5">
        <v>22.25</v>
      </c>
      <c r="I798" s="5">
        <v>4.0</v>
      </c>
      <c r="J798" s="5" t="str">
        <f t="shared" si="1"/>
        <v>Last Minute</v>
      </c>
      <c r="K798" s="9">
        <v>12668.0</v>
      </c>
    </row>
    <row r="799" ht="15.75" customHeight="1">
      <c r="A799" s="5" t="s">
        <v>2416</v>
      </c>
      <c r="B799" s="5" t="s">
        <v>1688</v>
      </c>
      <c r="C799" s="5" t="s">
        <v>564</v>
      </c>
      <c r="D799" s="5" t="s">
        <v>45</v>
      </c>
      <c r="E799" s="5" t="s">
        <v>49</v>
      </c>
      <c r="F799" s="5" t="s">
        <v>34</v>
      </c>
      <c r="G799" s="6" t="s">
        <v>66</v>
      </c>
      <c r="H799" s="5">
        <v>14.92</v>
      </c>
      <c r="I799" s="5">
        <v>32.0</v>
      </c>
      <c r="J799" s="5" t="str">
        <f t="shared" si="1"/>
        <v>Advance</v>
      </c>
      <c r="K799" s="9">
        <v>4487.0</v>
      </c>
    </row>
    <row r="800" ht="15.75" customHeight="1">
      <c r="A800" s="5" t="s">
        <v>2417</v>
      </c>
      <c r="B800" s="5" t="s">
        <v>1706</v>
      </c>
      <c r="C800" s="5" t="s">
        <v>564</v>
      </c>
      <c r="D800" s="5" t="s">
        <v>29</v>
      </c>
      <c r="E800" s="5" t="s">
        <v>32</v>
      </c>
      <c r="F800" s="5" t="s">
        <v>34</v>
      </c>
      <c r="G800" s="6" t="s">
        <v>66</v>
      </c>
      <c r="H800" s="5">
        <v>7.58</v>
      </c>
      <c r="J800" s="5" t="str">
        <f t="shared" si="1"/>
        <v>Last Minute</v>
      </c>
      <c r="K800" s="9">
        <v>2228.0</v>
      </c>
    </row>
    <row r="801" ht="15.75" customHeight="1">
      <c r="A801" s="5" t="s">
        <v>2419</v>
      </c>
      <c r="B801" s="5" t="s">
        <v>1721</v>
      </c>
      <c r="C801" s="5" t="s">
        <v>564</v>
      </c>
      <c r="D801" s="5" t="s">
        <v>20</v>
      </c>
      <c r="E801" s="5" t="s">
        <v>52</v>
      </c>
      <c r="F801" s="5" t="s">
        <v>53</v>
      </c>
      <c r="G801" s="6" t="s">
        <v>66</v>
      </c>
      <c r="H801" s="5">
        <v>12.17</v>
      </c>
      <c r="I801" s="5">
        <v>5.0</v>
      </c>
      <c r="J801" s="5" t="str">
        <f t="shared" si="1"/>
        <v>Last Minute</v>
      </c>
      <c r="K801" s="9">
        <v>57990.0</v>
      </c>
    </row>
    <row r="802" ht="15.75" customHeight="1">
      <c r="A802" s="5" t="s">
        <v>2421</v>
      </c>
      <c r="B802" s="5" t="s">
        <v>1682</v>
      </c>
      <c r="C802" s="5" t="s">
        <v>564</v>
      </c>
      <c r="D802" s="5" t="s">
        <v>20</v>
      </c>
      <c r="E802" s="5" t="s">
        <v>52</v>
      </c>
      <c r="F802" s="5" t="s">
        <v>53</v>
      </c>
      <c r="G802" s="6" t="s">
        <v>66</v>
      </c>
      <c r="H802" s="5">
        <v>16.42</v>
      </c>
      <c r="I802" s="5">
        <v>5.0</v>
      </c>
      <c r="J802" s="5" t="str">
        <f t="shared" si="1"/>
        <v>Last Minute</v>
      </c>
      <c r="K802" s="9">
        <v>66614.0</v>
      </c>
    </row>
    <row r="803" ht="15.75" customHeight="1">
      <c r="A803" s="5" t="s">
        <v>2422</v>
      </c>
      <c r="B803" s="5" t="s">
        <v>1708</v>
      </c>
      <c r="C803" s="5" t="s">
        <v>564</v>
      </c>
      <c r="D803" s="5" t="s">
        <v>45</v>
      </c>
      <c r="E803" s="5" t="s">
        <v>49</v>
      </c>
      <c r="F803" s="5" t="s">
        <v>34</v>
      </c>
      <c r="G803" s="6" t="s">
        <v>66</v>
      </c>
      <c r="H803" s="5">
        <v>24.33</v>
      </c>
      <c r="I803" s="5">
        <v>10.0</v>
      </c>
      <c r="J803" s="5" t="str">
        <f t="shared" si="1"/>
        <v>Short Notice</v>
      </c>
      <c r="K803" s="9">
        <v>11488.0</v>
      </c>
    </row>
    <row r="804" ht="15.75" customHeight="1">
      <c r="A804" s="5" t="s">
        <v>2424</v>
      </c>
      <c r="B804" s="5" t="s">
        <v>1652</v>
      </c>
      <c r="C804" s="5" t="s">
        <v>564</v>
      </c>
      <c r="D804" s="5" t="s">
        <v>43</v>
      </c>
      <c r="E804" s="5" t="s">
        <v>68</v>
      </c>
      <c r="F804" s="5" t="s">
        <v>34</v>
      </c>
      <c r="G804" s="6" t="s">
        <v>66</v>
      </c>
      <c r="H804" s="5">
        <v>5.25</v>
      </c>
      <c r="I804" s="5">
        <v>9.0</v>
      </c>
      <c r="J804" s="5" t="str">
        <f t="shared" si="1"/>
        <v>Short Notice</v>
      </c>
      <c r="K804" s="9">
        <v>6186.0</v>
      </c>
    </row>
    <row r="805" ht="15.75" customHeight="1">
      <c r="A805" s="5" t="s">
        <v>2425</v>
      </c>
      <c r="B805" s="5" t="s">
        <v>1687</v>
      </c>
      <c r="C805" s="5" t="s">
        <v>564</v>
      </c>
      <c r="D805" s="5" t="s">
        <v>58</v>
      </c>
      <c r="E805" s="5" t="s">
        <v>59</v>
      </c>
      <c r="F805" s="5" t="s">
        <v>34</v>
      </c>
      <c r="G805" s="6" t="s">
        <v>66</v>
      </c>
      <c r="H805" s="5">
        <v>4.92</v>
      </c>
      <c r="I805" s="5">
        <v>26.0</v>
      </c>
      <c r="J805" s="5" t="str">
        <f t="shared" si="1"/>
        <v>Moderate</v>
      </c>
      <c r="K805" s="9">
        <v>5720.0</v>
      </c>
    </row>
    <row r="806" ht="15.75" customHeight="1">
      <c r="A806" s="5" t="s">
        <v>2427</v>
      </c>
      <c r="B806" s="5" t="s">
        <v>1660</v>
      </c>
      <c r="C806" s="5" t="s">
        <v>564</v>
      </c>
      <c r="D806" s="5" t="s">
        <v>58</v>
      </c>
      <c r="E806" s="5" t="s">
        <v>59</v>
      </c>
      <c r="F806" s="5" t="s">
        <v>34</v>
      </c>
      <c r="G806" s="6" t="s">
        <v>66</v>
      </c>
      <c r="H806" s="5">
        <v>6.5</v>
      </c>
      <c r="I806" s="5">
        <v>26.0</v>
      </c>
      <c r="J806" s="5" t="str">
        <f t="shared" si="1"/>
        <v>Moderate</v>
      </c>
      <c r="K806" s="9">
        <v>6132.0</v>
      </c>
    </row>
    <row r="807" ht="15.75" customHeight="1">
      <c r="A807" s="5" t="s">
        <v>2430</v>
      </c>
      <c r="B807" s="5" t="s">
        <v>1724</v>
      </c>
      <c r="C807" s="5" t="s">
        <v>564</v>
      </c>
      <c r="D807" s="5" t="s">
        <v>58</v>
      </c>
      <c r="E807" s="5" t="s">
        <v>59</v>
      </c>
      <c r="F807" s="5" t="s">
        <v>34</v>
      </c>
      <c r="G807" s="6" t="s">
        <v>180</v>
      </c>
      <c r="H807" s="5">
        <v>8.83</v>
      </c>
      <c r="I807" s="5">
        <v>11.0</v>
      </c>
      <c r="J807" s="5" t="str">
        <f t="shared" si="1"/>
        <v>Short Notice</v>
      </c>
      <c r="K807" s="9">
        <v>6132.0</v>
      </c>
    </row>
    <row r="808" ht="15.75" customHeight="1">
      <c r="A808" s="5" t="s">
        <v>2432</v>
      </c>
      <c r="B808" s="5" t="s">
        <v>1667</v>
      </c>
      <c r="C808" s="5" t="s">
        <v>564</v>
      </c>
      <c r="D808" s="5" t="s">
        <v>58</v>
      </c>
      <c r="E808" s="5" t="s">
        <v>59</v>
      </c>
      <c r="F808" s="5" t="s">
        <v>34</v>
      </c>
      <c r="G808" s="6" t="s">
        <v>66</v>
      </c>
      <c r="H808" s="5">
        <v>15.08</v>
      </c>
      <c r="I808" s="5">
        <v>13.0</v>
      </c>
      <c r="J808" s="5" t="str">
        <f t="shared" si="1"/>
        <v>Short Notice</v>
      </c>
      <c r="K808" s="9">
        <v>11383.0</v>
      </c>
    </row>
    <row r="809" ht="15.75" customHeight="1">
      <c r="A809" s="5" t="s">
        <v>2434</v>
      </c>
      <c r="B809" s="5" t="s">
        <v>1658</v>
      </c>
      <c r="C809" s="5" t="s">
        <v>564</v>
      </c>
      <c r="D809" s="5" t="s">
        <v>58</v>
      </c>
      <c r="E809" s="5" t="s">
        <v>59</v>
      </c>
      <c r="F809" s="5" t="s">
        <v>34</v>
      </c>
      <c r="G809" s="6" t="s">
        <v>66</v>
      </c>
      <c r="H809" s="5">
        <v>10.0</v>
      </c>
      <c r="I809" s="5">
        <v>36.0</v>
      </c>
      <c r="J809" s="5" t="str">
        <f t="shared" si="1"/>
        <v>Advance</v>
      </c>
      <c r="K809" s="9">
        <v>6198.0</v>
      </c>
    </row>
    <row r="810" ht="15.75" customHeight="1">
      <c r="A810" s="5" t="s">
        <v>2435</v>
      </c>
      <c r="B810" s="5" t="s">
        <v>1674</v>
      </c>
      <c r="C810" s="5" t="s">
        <v>564</v>
      </c>
      <c r="D810" s="5" t="s">
        <v>29</v>
      </c>
      <c r="E810" s="5" t="s">
        <v>32</v>
      </c>
      <c r="F810" s="5" t="s">
        <v>34</v>
      </c>
      <c r="G810" s="6" t="s">
        <v>66</v>
      </c>
      <c r="H810" s="5">
        <v>5.25</v>
      </c>
      <c r="I810" s="5">
        <v>46.0</v>
      </c>
      <c r="J810" s="5" t="str">
        <f t="shared" si="1"/>
        <v>Advance</v>
      </c>
      <c r="K810" s="9">
        <v>7336.0</v>
      </c>
    </row>
    <row r="811" ht="15.75" customHeight="1">
      <c r="A811" s="5" t="s">
        <v>2437</v>
      </c>
      <c r="B811" s="5" t="s">
        <v>1664</v>
      </c>
      <c r="C811" s="5" t="s">
        <v>564</v>
      </c>
      <c r="D811" s="5" t="s">
        <v>43</v>
      </c>
      <c r="E811" s="5" t="s">
        <v>68</v>
      </c>
      <c r="F811" s="5" t="s">
        <v>34</v>
      </c>
      <c r="G811" s="6" t="s">
        <v>66</v>
      </c>
      <c r="H811" s="5">
        <v>7.08</v>
      </c>
      <c r="I811" s="5">
        <v>46.0</v>
      </c>
      <c r="J811" s="5" t="str">
        <f t="shared" si="1"/>
        <v>Advance</v>
      </c>
      <c r="K811" s="9">
        <v>3397.0</v>
      </c>
    </row>
    <row r="812" ht="15.75" customHeight="1">
      <c r="A812" s="5" t="s">
        <v>2438</v>
      </c>
      <c r="B812" s="5" t="s">
        <v>1736</v>
      </c>
      <c r="C812" s="5" t="s">
        <v>564</v>
      </c>
      <c r="D812" s="5" t="s">
        <v>45</v>
      </c>
      <c r="E812" s="5" t="s">
        <v>49</v>
      </c>
      <c r="F812" s="5" t="s">
        <v>34</v>
      </c>
      <c r="G812" s="6" t="s">
        <v>66</v>
      </c>
      <c r="H812" s="5">
        <v>22.58</v>
      </c>
      <c r="I812" s="5">
        <v>46.0</v>
      </c>
      <c r="J812" s="5" t="str">
        <f t="shared" si="1"/>
        <v>Advance</v>
      </c>
      <c r="K812" s="9">
        <v>4033.0</v>
      </c>
    </row>
    <row r="813" ht="15.75" customHeight="1">
      <c r="A813" s="5" t="s">
        <v>2440</v>
      </c>
      <c r="B813" s="5" t="s">
        <v>1730</v>
      </c>
      <c r="C813" s="5" t="s">
        <v>564</v>
      </c>
      <c r="D813" s="5" t="s">
        <v>45</v>
      </c>
      <c r="E813" s="5" t="s">
        <v>49</v>
      </c>
      <c r="F813" s="5" t="s">
        <v>34</v>
      </c>
      <c r="G813" s="6" t="s">
        <v>66</v>
      </c>
      <c r="H813" s="5">
        <v>12.08</v>
      </c>
      <c r="I813" s="5">
        <v>45.0</v>
      </c>
      <c r="J813" s="5" t="str">
        <f t="shared" si="1"/>
        <v>Advance</v>
      </c>
      <c r="K813" s="9">
        <v>4387.0</v>
      </c>
    </row>
    <row r="814" ht="15.75" customHeight="1">
      <c r="A814" s="5" t="s">
        <v>2442</v>
      </c>
      <c r="B814" s="5" t="s">
        <v>1739</v>
      </c>
      <c r="C814" s="5" t="s">
        <v>564</v>
      </c>
      <c r="D814" s="5" t="s">
        <v>45</v>
      </c>
      <c r="E814" s="5" t="s">
        <v>49</v>
      </c>
      <c r="F814" s="5" t="s">
        <v>34</v>
      </c>
      <c r="G814" s="6" t="s">
        <v>66</v>
      </c>
      <c r="H814" s="5">
        <v>10.67</v>
      </c>
      <c r="I814" s="5">
        <v>47.0</v>
      </c>
      <c r="J814" s="5" t="str">
        <f t="shared" si="1"/>
        <v>Advance</v>
      </c>
      <c r="K814" s="9">
        <v>5157.0</v>
      </c>
    </row>
    <row r="815" ht="15.75" customHeight="1">
      <c r="A815" s="5" t="s">
        <v>2443</v>
      </c>
      <c r="B815" s="5" t="s">
        <v>1701</v>
      </c>
      <c r="C815" s="5" t="s">
        <v>564</v>
      </c>
      <c r="D815" s="5" t="s">
        <v>72</v>
      </c>
      <c r="E815" s="5" t="s">
        <v>266</v>
      </c>
      <c r="F815" s="5" t="s">
        <v>34</v>
      </c>
      <c r="G815" s="6" t="s">
        <v>66</v>
      </c>
      <c r="H815" s="5">
        <v>25.42</v>
      </c>
      <c r="I815" s="5">
        <v>46.0</v>
      </c>
      <c r="J815" s="5" t="str">
        <f t="shared" si="1"/>
        <v>Advance</v>
      </c>
      <c r="K815" s="9">
        <v>8394.0</v>
      </c>
    </row>
    <row r="816" ht="15.75" customHeight="1">
      <c r="A816" s="5" t="s">
        <v>2446</v>
      </c>
      <c r="B816" s="5" t="s">
        <v>1699</v>
      </c>
      <c r="C816" s="5" t="s">
        <v>564</v>
      </c>
      <c r="D816" s="5" t="s">
        <v>45</v>
      </c>
      <c r="E816" s="5" t="s">
        <v>49</v>
      </c>
      <c r="F816" s="5" t="s">
        <v>53</v>
      </c>
      <c r="G816" s="6" t="s">
        <v>66</v>
      </c>
      <c r="H816" s="5">
        <v>14.33</v>
      </c>
      <c r="I816" s="5">
        <v>48.0</v>
      </c>
      <c r="J816" s="5" t="str">
        <f t="shared" si="1"/>
        <v>Advance</v>
      </c>
      <c r="K816" s="9">
        <v>42724.0</v>
      </c>
    </row>
    <row r="817" ht="15.75" customHeight="1">
      <c r="A817" s="5" t="s">
        <v>2448</v>
      </c>
      <c r="B817" s="5" t="s">
        <v>1677</v>
      </c>
      <c r="C817" s="5" t="s">
        <v>564</v>
      </c>
      <c r="D817" s="5" t="s">
        <v>45</v>
      </c>
      <c r="E817" s="5" t="s">
        <v>49</v>
      </c>
      <c r="F817" s="5" t="s">
        <v>53</v>
      </c>
      <c r="G817" s="6" t="s">
        <v>66</v>
      </c>
      <c r="H817" s="5">
        <v>21.17</v>
      </c>
      <c r="I817" s="5">
        <v>48.0</v>
      </c>
      <c r="J817" s="5" t="str">
        <f t="shared" si="1"/>
        <v>Advance</v>
      </c>
      <c r="K817" s="9">
        <v>42724.0</v>
      </c>
    </row>
    <row r="818" ht="15.75" customHeight="1">
      <c r="A818" s="5" t="s">
        <v>2450</v>
      </c>
      <c r="B818" s="5" t="s">
        <v>1801</v>
      </c>
      <c r="C818" s="5" t="s">
        <v>590</v>
      </c>
      <c r="D818" s="5" t="s">
        <v>43</v>
      </c>
      <c r="E818" s="5" t="s">
        <v>68</v>
      </c>
      <c r="F818" s="5" t="s">
        <v>34</v>
      </c>
      <c r="G818" s="6" t="s">
        <v>66</v>
      </c>
      <c r="H818" s="5">
        <v>5.25</v>
      </c>
      <c r="I818" s="5">
        <v>2.0</v>
      </c>
      <c r="J818" s="5" t="str">
        <f t="shared" si="1"/>
        <v>Last Minute</v>
      </c>
      <c r="K818" s="9">
        <v>15058.0</v>
      </c>
    </row>
    <row r="819" ht="15.75" customHeight="1">
      <c r="A819" s="5" t="s">
        <v>2451</v>
      </c>
      <c r="B819" s="5" t="s">
        <v>1828</v>
      </c>
      <c r="C819" s="5" t="s">
        <v>590</v>
      </c>
      <c r="D819" s="5" t="s">
        <v>45</v>
      </c>
      <c r="E819" s="5" t="s">
        <v>49</v>
      </c>
      <c r="F819" s="5" t="s">
        <v>34</v>
      </c>
      <c r="G819" s="6" t="s">
        <v>180</v>
      </c>
      <c r="H819" s="5">
        <v>23.42</v>
      </c>
      <c r="I819" s="5">
        <v>2.0</v>
      </c>
      <c r="J819" s="5" t="str">
        <f t="shared" si="1"/>
        <v>Last Minute</v>
      </c>
      <c r="K819" s="9">
        <v>15252.0</v>
      </c>
    </row>
    <row r="820" ht="15.75" customHeight="1">
      <c r="A820" s="5" t="s">
        <v>2453</v>
      </c>
      <c r="B820" s="5" t="s">
        <v>1835</v>
      </c>
      <c r="C820" s="5" t="s">
        <v>590</v>
      </c>
      <c r="D820" s="5" t="s">
        <v>45</v>
      </c>
      <c r="E820" s="5" t="s">
        <v>49</v>
      </c>
      <c r="F820" s="5" t="s">
        <v>34</v>
      </c>
      <c r="G820" s="6" t="s">
        <v>66</v>
      </c>
      <c r="H820" s="5">
        <v>26.58</v>
      </c>
      <c r="I820" s="5">
        <v>2.0</v>
      </c>
      <c r="J820" s="5" t="str">
        <f t="shared" si="1"/>
        <v>Last Minute</v>
      </c>
      <c r="K820" s="9">
        <v>15702.0</v>
      </c>
    </row>
    <row r="821" ht="15.75" customHeight="1">
      <c r="A821" s="5" t="s">
        <v>2455</v>
      </c>
      <c r="B821" s="5" t="s">
        <v>1746</v>
      </c>
      <c r="C821" s="5" t="s">
        <v>590</v>
      </c>
      <c r="D821" s="5" t="s">
        <v>20</v>
      </c>
      <c r="E821" s="5" t="s">
        <v>52</v>
      </c>
      <c r="F821" s="5" t="s">
        <v>53</v>
      </c>
      <c r="G821" s="6" t="s">
        <v>66</v>
      </c>
      <c r="H821" s="5">
        <v>24.67</v>
      </c>
      <c r="I821" s="5">
        <v>37.0</v>
      </c>
      <c r="J821" s="5" t="str">
        <f t="shared" si="1"/>
        <v>Advance</v>
      </c>
      <c r="K821" s="9">
        <v>67130.0</v>
      </c>
    </row>
    <row r="822" ht="15.75" customHeight="1">
      <c r="A822" s="5" t="s">
        <v>2456</v>
      </c>
      <c r="B822" s="5" t="s">
        <v>1754</v>
      </c>
      <c r="C822" s="5" t="s">
        <v>590</v>
      </c>
      <c r="D822" s="5" t="s">
        <v>20</v>
      </c>
      <c r="E822" s="5" t="s">
        <v>52</v>
      </c>
      <c r="F822" s="5" t="s">
        <v>34</v>
      </c>
      <c r="G822" s="6" t="s">
        <v>66</v>
      </c>
      <c r="H822" s="5">
        <v>5.75</v>
      </c>
      <c r="I822" s="5">
        <v>34.0</v>
      </c>
      <c r="J822" s="5" t="str">
        <f t="shared" si="1"/>
        <v>Advance</v>
      </c>
      <c r="K822" s="9">
        <v>4731.0</v>
      </c>
    </row>
    <row r="823" ht="15.75" customHeight="1">
      <c r="A823" s="5" t="s">
        <v>2458</v>
      </c>
      <c r="B823" s="5" t="s">
        <v>1831</v>
      </c>
      <c r="C823" s="5" t="s">
        <v>590</v>
      </c>
      <c r="D823" s="5" t="s">
        <v>45</v>
      </c>
      <c r="E823" s="5" t="s">
        <v>49</v>
      </c>
      <c r="F823" s="5" t="s">
        <v>34</v>
      </c>
      <c r="G823" s="6" t="s">
        <v>66</v>
      </c>
      <c r="H823" s="5">
        <v>14.42</v>
      </c>
      <c r="I823" s="5">
        <v>34.0</v>
      </c>
      <c r="J823" s="5" t="str">
        <f t="shared" si="1"/>
        <v>Advance</v>
      </c>
      <c r="K823" s="9">
        <v>4363.0</v>
      </c>
    </row>
    <row r="824" ht="15.75" customHeight="1">
      <c r="A824" s="5" t="s">
        <v>2460</v>
      </c>
      <c r="B824" s="5" t="s">
        <v>1804</v>
      </c>
      <c r="C824" s="5" t="s">
        <v>590</v>
      </c>
      <c r="D824" s="5" t="s">
        <v>20</v>
      </c>
      <c r="E824" s="5" t="s">
        <v>52</v>
      </c>
      <c r="F824" s="5" t="s">
        <v>34</v>
      </c>
      <c r="G824" s="6" t="s">
        <v>66</v>
      </c>
      <c r="H824" s="5">
        <v>15.75</v>
      </c>
      <c r="I824" s="5">
        <v>4.0</v>
      </c>
      <c r="J824" s="5" t="str">
        <f t="shared" si="1"/>
        <v>Last Minute</v>
      </c>
      <c r="K824" s="9">
        <v>20512.0</v>
      </c>
    </row>
    <row r="825" ht="15.75" customHeight="1">
      <c r="A825" s="5" t="s">
        <v>2462</v>
      </c>
      <c r="B825" s="5" t="s">
        <v>1809</v>
      </c>
      <c r="C825" s="5" t="s">
        <v>590</v>
      </c>
      <c r="D825" s="5" t="s">
        <v>20</v>
      </c>
      <c r="E825" s="5" t="s">
        <v>52</v>
      </c>
      <c r="F825" s="5" t="s">
        <v>34</v>
      </c>
      <c r="G825" s="6" t="s">
        <v>66</v>
      </c>
      <c r="H825" s="5">
        <v>11.5</v>
      </c>
      <c r="I825" s="5">
        <v>4.0</v>
      </c>
      <c r="J825" s="5" t="str">
        <f t="shared" si="1"/>
        <v>Last Minute</v>
      </c>
      <c r="K825" s="9">
        <v>17488.0</v>
      </c>
    </row>
    <row r="826" ht="15.75" customHeight="1">
      <c r="A826" s="5" t="s">
        <v>2465</v>
      </c>
      <c r="B826" s="5" t="s">
        <v>1781</v>
      </c>
      <c r="C826" s="5" t="s">
        <v>590</v>
      </c>
      <c r="D826" s="5" t="s">
        <v>45</v>
      </c>
      <c r="E826" s="5" t="s">
        <v>49</v>
      </c>
      <c r="F826" s="5" t="s">
        <v>34</v>
      </c>
      <c r="G826" s="6" t="s">
        <v>66</v>
      </c>
      <c r="H826" s="5">
        <v>23.92</v>
      </c>
      <c r="I826" s="5">
        <v>19.0</v>
      </c>
      <c r="J826" s="5" t="str">
        <f t="shared" si="1"/>
        <v>Moderate</v>
      </c>
      <c r="K826" s="9">
        <v>4783.0</v>
      </c>
    </row>
    <row r="827" ht="15.75" customHeight="1">
      <c r="A827" s="5" t="s">
        <v>2467</v>
      </c>
      <c r="B827" s="5" t="s">
        <v>1818</v>
      </c>
      <c r="C827" s="5" t="s">
        <v>590</v>
      </c>
      <c r="D827" s="5" t="s">
        <v>45</v>
      </c>
      <c r="E827" s="5" t="s">
        <v>49</v>
      </c>
      <c r="F827" s="5" t="s">
        <v>34</v>
      </c>
      <c r="G827" s="6" t="s">
        <v>180</v>
      </c>
      <c r="H827" s="5">
        <v>34.5</v>
      </c>
      <c r="I827" s="5">
        <v>3.0</v>
      </c>
      <c r="J827" s="5" t="str">
        <f t="shared" si="1"/>
        <v>Last Minute</v>
      </c>
      <c r="K827" s="9">
        <v>13173.0</v>
      </c>
    </row>
    <row r="828" ht="15.75" customHeight="1">
      <c r="A828" s="5" t="s">
        <v>2469</v>
      </c>
      <c r="B828" s="5" t="s">
        <v>1788</v>
      </c>
      <c r="C828" s="5" t="s">
        <v>590</v>
      </c>
      <c r="D828" s="5" t="s">
        <v>20</v>
      </c>
      <c r="E828" s="5" t="s">
        <v>52</v>
      </c>
      <c r="F828" s="5" t="s">
        <v>53</v>
      </c>
      <c r="G828" s="6" t="s">
        <v>66</v>
      </c>
      <c r="H828" s="5">
        <v>10.92</v>
      </c>
      <c r="I828" s="5">
        <v>34.0</v>
      </c>
      <c r="J828" s="5" t="str">
        <f t="shared" si="1"/>
        <v>Advance</v>
      </c>
      <c r="K828" s="9">
        <v>7336.0</v>
      </c>
    </row>
    <row r="829" ht="15.75" customHeight="1">
      <c r="A829" s="5" t="s">
        <v>2470</v>
      </c>
      <c r="B829" s="5" t="s">
        <v>1779</v>
      </c>
      <c r="C829" s="5" t="s">
        <v>590</v>
      </c>
      <c r="D829" s="5" t="s">
        <v>20</v>
      </c>
      <c r="E829" s="5" t="s">
        <v>52</v>
      </c>
      <c r="F829" s="5" t="s">
        <v>34</v>
      </c>
      <c r="G829" s="6" t="s">
        <v>66</v>
      </c>
      <c r="H829" s="5">
        <v>25.0</v>
      </c>
      <c r="I829" s="5">
        <v>3.0</v>
      </c>
      <c r="J829" s="5" t="str">
        <f t="shared" si="1"/>
        <v>Last Minute</v>
      </c>
      <c r="K829" s="9">
        <v>16144.0</v>
      </c>
    </row>
    <row r="830" ht="15.75" customHeight="1">
      <c r="A830" s="5" t="s">
        <v>2472</v>
      </c>
      <c r="B830" s="5" t="s">
        <v>1833</v>
      </c>
      <c r="C830" s="5" t="s">
        <v>590</v>
      </c>
      <c r="D830" s="5" t="s">
        <v>45</v>
      </c>
      <c r="E830" s="5" t="s">
        <v>49</v>
      </c>
      <c r="F830" s="5" t="s">
        <v>34</v>
      </c>
      <c r="G830" s="6" t="s">
        <v>66</v>
      </c>
      <c r="H830" s="5">
        <v>23.42</v>
      </c>
      <c r="I830" s="5">
        <v>4.0</v>
      </c>
      <c r="J830" s="5" t="str">
        <f t="shared" si="1"/>
        <v>Last Minute</v>
      </c>
      <c r="K830" s="9">
        <v>11829.0</v>
      </c>
    </row>
    <row r="831" ht="15.75" customHeight="1">
      <c r="A831" s="5" t="s">
        <v>2474</v>
      </c>
      <c r="B831" s="5" t="s">
        <v>1773</v>
      </c>
      <c r="C831" s="5" t="s">
        <v>590</v>
      </c>
      <c r="D831" s="5" t="s">
        <v>58</v>
      </c>
      <c r="E831" s="5" t="s">
        <v>59</v>
      </c>
      <c r="F831" s="5" t="s">
        <v>34</v>
      </c>
      <c r="G831" s="6" t="s">
        <v>66</v>
      </c>
      <c r="H831" s="5">
        <v>14.67</v>
      </c>
      <c r="I831" s="5">
        <v>4.0</v>
      </c>
      <c r="J831" s="5" t="str">
        <f t="shared" si="1"/>
        <v>Last Minute</v>
      </c>
      <c r="K831" s="9">
        <v>12143.0</v>
      </c>
    </row>
    <row r="832" ht="15.75" customHeight="1">
      <c r="A832" s="5" t="s">
        <v>2475</v>
      </c>
      <c r="B832" s="5" t="s">
        <v>1748</v>
      </c>
      <c r="C832" s="5" t="s">
        <v>590</v>
      </c>
      <c r="D832" s="5" t="s">
        <v>45</v>
      </c>
      <c r="E832" s="5" t="s">
        <v>49</v>
      </c>
      <c r="F832" s="5" t="s">
        <v>34</v>
      </c>
      <c r="G832" s="6" t="s">
        <v>180</v>
      </c>
      <c r="H832" s="5">
        <v>14.92</v>
      </c>
      <c r="I832" s="5">
        <v>25.0</v>
      </c>
      <c r="J832" s="5" t="str">
        <f t="shared" si="1"/>
        <v>Moderate</v>
      </c>
      <c r="K832" s="9">
        <v>7496.0</v>
      </c>
    </row>
    <row r="833" ht="15.75" customHeight="1">
      <c r="A833" s="5" t="s">
        <v>2476</v>
      </c>
      <c r="B833" s="5" t="s">
        <v>1796</v>
      </c>
      <c r="C833" s="5" t="s">
        <v>590</v>
      </c>
      <c r="D833" s="5" t="s">
        <v>20</v>
      </c>
      <c r="E833" s="5" t="s">
        <v>52</v>
      </c>
      <c r="F833" s="5" t="s">
        <v>34</v>
      </c>
      <c r="G833" s="6" t="s">
        <v>66</v>
      </c>
      <c r="H833" s="5">
        <v>14.25</v>
      </c>
      <c r="I833" s="5">
        <v>29.0</v>
      </c>
      <c r="J833" s="5" t="str">
        <f t="shared" si="1"/>
        <v>Moderate</v>
      </c>
      <c r="K833" s="9">
        <v>8954.0</v>
      </c>
    </row>
    <row r="834" ht="15.75" customHeight="1">
      <c r="A834" s="5" t="s">
        <v>2477</v>
      </c>
      <c r="B834" s="5" t="s">
        <v>1821</v>
      </c>
      <c r="C834" s="5" t="s">
        <v>590</v>
      </c>
      <c r="D834" s="5" t="s">
        <v>20</v>
      </c>
      <c r="E834" s="5" t="s">
        <v>52</v>
      </c>
      <c r="F834" s="5" t="s">
        <v>34</v>
      </c>
      <c r="G834" s="6" t="s">
        <v>37</v>
      </c>
      <c r="H834" s="5">
        <v>1.5</v>
      </c>
      <c r="I834" s="5">
        <v>45.0</v>
      </c>
      <c r="J834" s="5" t="str">
        <f t="shared" si="1"/>
        <v>Advance</v>
      </c>
      <c r="K834" s="9">
        <v>3646.0</v>
      </c>
    </row>
    <row r="835" ht="15.75" customHeight="1">
      <c r="A835" s="5" t="s">
        <v>2478</v>
      </c>
      <c r="B835" s="5" t="s">
        <v>1793</v>
      </c>
      <c r="C835" s="5" t="s">
        <v>590</v>
      </c>
      <c r="D835" s="5" t="s">
        <v>20</v>
      </c>
      <c r="E835" s="5" t="s">
        <v>52</v>
      </c>
      <c r="F835" s="5" t="s">
        <v>34</v>
      </c>
      <c r="G835" s="6">
        <v>1.0</v>
      </c>
      <c r="H835" s="5">
        <v>16.92</v>
      </c>
      <c r="I835" s="5">
        <v>44.0</v>
      </c>
      <c r="J835" s="5" t="str">
        <f t="shared" si="1"/>
        <v>Advance</v>
      </c>
      <c r="K835" s="9">
        <v>3471.0</v>
      </c>
    </row>
    <row r="836" ht="15.75" customHeight="1">
      <c r="A836" s="5" t="s">
        <v>2479</v>
      </c>
      <c r="B836" s="5" t="s">
        <v>1751</v>
      </c>
      <c r="C836" s="5" t="s">
        <v>590</v>
      </c>
      <c r="D836" s="5" t="s">
        <v>20</v>
      </c>
      <c r="E836" s="5" t="s">
        <v>52</v>
      </c>
      <c r="F836" s="5" t="s">
        <v>53</v>
      </c>
      <c r="G836" s="6" t="s">
        <v>66</v>
      </c>
      <c r="H836" s="5">
        <v>6.17</v>
      </c>
      <c r="I836" s="5">
        <v>39.0</v>
      </c>
      <c r="J836" s="5" t="str">
        <f t="shared" si="1"/>
        <v>Advance</v>
      </c>
      <c r="K836" s="9">
        <v>66267.0</v>
      </c>
    </row>
    <row r="837" ht="15.75" customHeight="1">
      <c r="A837" s="5" t="s">
        <v>2480</v>
      </c>
      <c r="B837" s="5" t="s">
        <v>1765</v>
      </c>
      <c r="C837" s="5" t="s">
        <v>590</v>
      </c>
      <c r="D837" s="5" t="s">
        <v>20</v>
      </c>
      <c r="E837" s="5" t="s">
        <v>52</v>
      </c>
      <c r="F837" s="5" t="s">
        <v>34</v>
      </c>
      <c r="G837" s="6" t="s">
        <v>66</v>
      </c>
      <c r="H837" s="5">
        <v>5.67</v>
      </c>
      <c r="I837" s="5">
        <v>49.0</v>
      </c>
      <c r="J837" s="5" t="str">
        <f t="shared" si="1"/>
        <v>Advance</v>
      </c>
      <c r="K837" s="9">
        <v>5060.0</v>
      </c>
    </row>
    <row r="838" ht="15.75" customHeight="1">
      <c r="A838" s="5" t="s">
        <v>2481</v>
      </c>
      <c r="B838" s="5" t="s">
        <v>1812</v>
      </c>
      <c r="C838" s="5" t="s">
        <v>590</v>
      </c>
      <c r="D838" s="5" t="s">
        <v>45</v>
      </c>
      <c r="E838" s="5" t="s">
        <v>49</v>
      </c>
      <c r="F838" s="5" t="s">
        <v>34</v>
      </c>
      <c r="G838" s="6" t="s">
        <v>180</v>
      </c>
      <c r="H838" s="5">
        <v>16.42</v>
      </c>
      <c r="I838" s="5">
        <v>8.0</v>
      </c>
      <c r="J838" s="5" t="str">
        <f t="shared" si="1"/>
        <v>Short Notice</v>
      </c>
      <c r="K838" s="9">
        <v>11429.0</v>
      </c>
    </row>
    <row r="839" ht="15.75" customHeight="1">
      <c r="A839" s="5" t="s">
        <v>2483</v>
      </c>
      <c r="B839" s="5" t="s">
        <v>1823</v>
      </c>
      <c r="C839" s="5" t="s">
        <v>590</v>
      </c>
      <c r="D839" s="5" t="s">
        <v>43</v>
      </c>
      <c r="E839" s="5" t="s">
        <v>68</v>
      </c>
      <c r="F839" s="5" t="s">
        <v>34</v>
      </c>
      <c r="G839" s="6" t="s">
        <v>66</v>
      </c>
      <c r="H839" s="5">
        <v>5.0</v>
      </c>
      <c r="I839" s="5">
        <v>40.0</v>
      </c>
      <c r="J839" s="5" t="str">
        <f t="shared" si="1"/>
        <v>Advance</v>
      </c>
      <c r="K839" s="9">
        <v>7085.0</v>
      </c>
    </row>
    <row r="840" ht="15.75" customHeight="1">
      <c r="A840" s="5" t="s">
        <v>2484</v>
      </c>
      <c r="B840" s="5" t="s">
        <v>1846</v>
      </c>
      <c r="C840" s="5" t="s">
        <v>590</v>
      </c>
      <c r="D840" s="5" t="s">
        <v>45</v>
      </c>
      <c r="E840" s="5" t="s">
        <v>49</v>
      </c>
      <c r="F840" s="5" t="s">
        <v>34</v>
      </c>
      <c r="G840" s="6" t="s">
        <v>66</v>
      </c>
      <c r="H840" s="5">
        <v>31.25</v>
      </c>
      <c r="I840" s="5">
        <v>13.0</v>
      </c>
      <c r="J840" s="5" t="str">
        <f t="shared" si="1"/>
        <v>Short Notice</v>
      </c>
      <c r="K840" s="9">
        <v>10937.0</v>
      </c>
    </row>
    <row r="841" ht="15.75" customHeight="1">
      <c r="A841" s="5" t="s">
        <v>2486</v>
      </c>
      <c r="B841" s="5" t="s">
        <v>1815</v>
      </c>
      <c r="C841" s="5" t="s">
        <v>590</v>
      </c>
      <c r="D841" s="5" t="s">
        <v>29</v>
      </c>
      <c r="E841" s="5" t="s">
        <v>32</v>
      </c>
      <c r="F841" s="5" t="s">
        <v>34</v>
      </c>
      <c r="G841" s="6" t="s">
        <v>66</v>
      </c>
      <c r="H841" s="5">
        <v>6.25</v>
      </c>
      <c r="I841" s="5">
        <v>33.0</v>
      </c>
      <c r="J841" s="5" t="str">
        <f t="shared" si="1"/>
        <v>Advance</v>
      </c>
      <c r="K841" s="9">
        <v>2250.0</v>
      </c>
    </row>
    <row r="842" ht="15.75" customHeight="1">
      <c r="A842" s="5" t="s">
        <v>2488</v>
      </c>
      <c r="B842" s="5" t="s">
        <v>1837</v>
      </c>
      <c r="C842" s="5" t="s">
        <v>590</v>
      </c>
      <c r="D842" s="5" t="s">
        <v>58</v>
      </c>
      <c r="E842" s="5" t="s">
        <v>59</v>
      </c>
      <c r="F842" s="5" t="s">
        <v>34</v>
      </c>
      <c r="G842" s="6" t="s">
        <v>66</v>
      </c>
      <c r="H842" s="5">
        <v>5.67</v>
      </c>
      <c r="I842" s="5">
        <v>26.0</v>
      </c>
      <c r="J842" s="5" t="str">
        <f t="shared" si="1"/>
        <v>Moderate</v>
      </c>
      <c r="K842" s="9">
        <v>4165.0</v>
      </c>
    </row>
    <row r="843" ht="15.75" customHeight="1">
      <c r="A843" s="5" t="s">
        <v>2490</v>
      </c>
      <c r="B843" s="5" t="s">
        <v>1825</v>
      </c>
      <c r="C843" s="5" t="s">
        <v>590</v>
      </c>
      <c r="D843" s="5" t="s">
        <v>58</v>
      </c>
      <c r="E843" s="5" t="s">
        <v>59</v>
      </c>
      <c r="F843" s="5" t="s">
        <v>34</v>
      </c>
      <c r="G843" s="6" t="s">
        <v>66</v>
      </c>
      <c r="H843" s="5">
        <v>5.92</v>
      </c>
      <c r="I843" s="5">
        <v>26.0</v>
      </c>
      <c r="J843" s="5" t="str">
        <f t="shared" si="1"/>
        <v>Moderate</v>
      </c>
      <c r="K843" s="9">
        <v>4452.0</v>
      </c>
    </row>
    <row r="844" ht="15.75" customHeight="1">
      <c r="A844" s="5" t="s">
        <v>2492</v>
      </c>
      <c r="B844" s="5" t="s">
        <v>1841</v>
      </c>
      <c r="C844" s="5" t="s">
        <v>590</v>
      </c>
      <c r="D844" s="5" t="s">
        <v>20</v>
      </c>
      <c r="E844" s="5" t="s">
        <v>52</v>
      </c>
      <c r="F844" s="5" t="s">
        <v>34</v>
      </c>
      <c r="G844" s="6" t="s">
        <v>66</v>
      </c>
      <c r="H844" s="5">
        <v>26.08</v>
      </c>
      <c r="I844" s="5">
        <v>30.0</v>
      </c>
      <c r="J844" s="5" t="str">
        <f t="shared" si="1"/>
        <v>Moderate</v>
      </c>
      <c r="K844" s="9">
        <v>6028.0</v>
      </c>
    </row>
    <row r="845" ht="15.75" customHeight="1">
      <c r="A845" s="5" t="s">
        <v>2493</v>
      </c>
      <c r="B845" s="5" t="s">
        <v>1758</v>
      </c>
      <c r="C845" s="5" t="s">
        <v>590</v>
      </c>
      <c r="D845" s="5" t="s">
        <v>58</v>
      </c>
      <c r="E845" s="5" t="s">
        <v>59</v>
      </c>
      <c r="F845" s="5" t="s">
        <v>34</v>
      </c>
      <c r="G845" s="6" t="s">
        <v>66</v>
      </c>
      <c r="H845" s="5">
        <v>13.33</v>
      </c>
      <c r="I845" s="5">
        <v>44.0</v>
      </c>
      <c r="J845" s="5" t="str">
        <f t="shared" si="1"/>
        <v>Advance</v>
      </c>
      <c r="K845" s="9">
        <v>3645.0</v>
      </c>
    </row>
    <row r="846" ht="15.75" customHeight="1">
      <c r="A846" s="5" t="s">
        <v>2494</v>
      </c>
      <c r="B846" s="5" t="s">
        <v>1790</v>
      </c>
      <c r="C846" s="5" t="s">
        <v>590</v>
      </c>
      <c r="D846" s="5" t="s">
        <v>45</v>
      </c>
      <c r="E846" s="5" t="s">
        <v>49</v>
      </c>
      <c r="F846" s="5" t="s">
        <v>53</v>
      </c>
      <c r="G846" s="6" t="s">
        <v>66</v>
      </c>
      <c r="H846" s="5">
        <v>21.42</v>
      </c>
      <c r="I846" s="5">
        <v>44.0</v>
      </c>
      <c r="J846" s="5" t="str">
        <f t="shared" si="1"/>
        <v>Advance</v>
      </c>
      <c r="K846" s="9">
        <v>45883.0</v>
      </c>
    </row>
    <row r="847" ht="15.75" customHeight="1">
      <c r="A847" s="5" t="s">
        <v>2495</v>
      </c>
      <c r="B847" s="5" t="s">
        <v>1776</v>
      </c>
      <c r="C847" s="5" t="s">
        <v>590</v>
      </c>
      <c r="D847" s="5" t="s">
        <v>43</v>
      </c>
      <c r="E847" s="5" t="s">
        <v>68</v>
      </c>
      <c r="F847" s="5" t="s">
        <v>34</v>
      </c>
      <c r="G847" s="6" t="s">
        <v>37</v>
      </c>
      <c r="H847" s="5">
        <v>1.67</v>
      </c>
      <c r="I847" s="5">
        <v>46.0</v>
      </c>
      <c r="J847" s="5" t="str">
        <f t="shared" si="1"/>
        <v>Advance</v>
      </c>
      <c r="K847" s="9">
        <v>3096.0</v>
      </c>
    </row>
    <row r="848" ht="15.75" customHeight="1">
      <c r="A848" s="5" t="s">
        <v>2496</v>
      </c>
      <c r="B848" s="5" t="s">
        <v>1807</v>
      </c>
      <c r="C848" s="5" t="s">
        <v>590</v>
      </c>
      <c r="D848" s="5" t="s">
        <v>45</v>
      </c>
      <c r="E848" s="5" t="s">
        <v>49</v>
      </c>
      <c r="F848" s="5" t="s">
        <v>34</v>
      </c>
      <c r="G848" s="6" t="s">
        <v>66</v>
      </c>
      <c r="H848" s="5">
        <v>13.83</v>
      </c>
      <c r="I848" s="5">
        <v>45.0</v>
      </c>
      <c r="J848" s="5" t="str">
        <f t="shared" si="1"/>
        <v>Advance</v>
      </c>
      <c r="K848" s="9">
        <v>3844.0</v>
      </c>
    </row>
    <row r="849" ht="15.75" customHeight="1">
      <c r="A849" s="5" t="s">
        <v>2497</v>
      </c>
      <c r="B849" s="5" t="s">
        <v>1768</v>
      </c>
      <c r="C849" s="5" t="s">
        <v>590</v>
      </c>
      <c r="D849" s="5" t="s">
        <v>20</v>
      </c>
      <c r="E849" s="5" t="s">
        <v>52</v>
      </c>
      <c r="F849" s="5" t="s">
        <v>53</v>
      </c>
      <c r="G849" s="6" t="s">
        <v>66</v>
      </c>
      <c r="H849" s="5">
        <v>6.42</v>
      </c>
      <c r="I849" s="5">
        <v>48.0</v>
      </c>
      <c r="J849" s="5" t="str">
        <f t="shared" si="1"/>
        <v>Advance</v>
      </c>
      <c r="K849" s="9">
        <v>45995.0</v>
      </c>
    </row>
    <row r="850" ht="15.75" customHeight="1">
      <c r="A850" s="5" t="s">
        <v>2498</v>
      </c>
      <c r="B850" s="5" t="s">
        <v>1756</v>
      </c>
      <c r="C850" s="5" t="s">
        <v>590</v>
      </c>
      <c r="D850" s="5" t="s">
        <v>58</v>
      </c>
      <c r="E850" s="5" t="s">
        <v>59</v>
      </c>
      <c r="F850" s="5" t="s">
        <v>34</v>
      </c>
      <c r="G850" s="6" t="s">
        <v>66</v>
      </c>
      <c r="H850" s="5">
        <v>4.33</v>
      </c>
      <c r="I850" s="5">
        <v>46.0</v>
      </c>
      <c r="J850" s="5" t="str">
        <f t="shared" si="1"/>
        <v>Advance</v>
      </c>
      <c r="K850" s="9">
        <v>4123.0</v>
      </c>
    </row>
    <row r="851" ht="15.75" customHeight="1">
      <c r="A851" s="5" t="s">
        <v>2499</v>
      </c>
      <c r="B851" s="5" t="s">
        <v>1830</v>
      </c>
      <c r="C851" s="5" t="s">
        <v>590</v>
      </c>
      <c r="D851" s="5" t="s">
        <v>58</v>
      </c>
      <c r="E851" s="5" t="s">
        <v>59</v>
      </c>
      <c r="F851" s="5" t="s">
        <v>34</v>
      </c>
      <c r="G851" s="6" t="s">
        <v>66</v>
      </c>
      <c r="H851" s="5">
        <v>6.25</v>
      </c>
      <c r="I851" s="5">
        <v>46.0</v>
      </c>
      <c r="J851" s="5" t="str">
        <f t="shared" si="1"/>
        <v>Advance</v>
      </c>
      <c r="K851" s="9">
        <v>4165.0</v>
      </c>
    </row>
    <row r="852" ht="15.75" customHeight="1">
      <c r="A852" s="5" t="s">
        <v>2500</v>
      </c>
      <c r="B852" s="5" t="s">
        <v>1761</v>
      </c>
      <c r="C852" s="5" t="s">
        <v>590</v>
      </c>
      <c r="D852" s="5" t="s">
        <v>20</v>
      </c>
      <c r="E852" s="5" t="s">
        <v>52</v>
      </c>
      <c r="F852" s="5" t="s">
        <v>34</v>
      </c>
      <c r="G852" s="6" t="s">
        <v>66</v>
      </c>
      <c r="H852" s="5">
        <v>11.5</v>
      </c>
      <c r="I852" s="5">
        <v>46.0</v>
      </c>
      <c r="J852" s="5" t="str">
        <f t="shared" si="1"/>
        <v>Advance</v>
      </c>
      <c r="K852" s="9">
        <v>6341.0</v>
      </c>
    </row>
    <row r="853" ht="15.75" customHeight="1">
      <c r="A853" s="5" t="s">
        <v>2501</v>
      </c>
      <c r="B853" s="5" t="s">
        <v>1785</v>
      </c>
      <c r="C853" s="5" t="s">
        <v>590</v>
      </c>
      <c r="D853" s="5" t="s">
        <v>58</v>
      </c>
      <c r="E853" s="5" t="s">
        <v>59</v>
      </c>
      <c r="F853" s="5" t="s">
        <v>34</v>
      </c>
      <c r="G853" s="6" t="s">
        <v>66</v>
      </c>
      <c r="H853" s="5">
        <v>12.75</v>
      </c>
      <c r="I853" s="5">
        <v>47.0</v>
      </c>
      <c r="J853" s="5" t="str">
        <f t="shared" si="1"/>
        <v>Advance</v>
      </c>
      <c r="K853" s="9">
        <v>3700.0</v>
      </c>
    </row>
    <row r="854" ht="15.75" customHeight="1">
      <c r="A854" s="5" t="s">
        <v>2502</v>
      </c>
      <c r="B854" s="5" t="s">
        <v>1770</v>
      </c>
      <c r="C854" s="5" t="s">
        <v>590</v>
      </c>
      <c r="D854" s="5" t="s">
        <v>45</v>
      </c>
      <c r="E854" s="5" t="s">
        <v>49</v>
      </c>
      <c r="F854" s="5" t="s">
        <v>34</v>
      </c>
      <c r="G854" s="6" t="s">
        <v>66</v>
      </c>
      <c r="H854" s="5">
        <v>14.58</v>
      </c>
      <c r="J854" s="5" t="str">
        <f t="shared" si="1"/>
        <v>Last Minute</v>
      </c>
      <c r="K854" s="9">
        <v>5041.0</v>
      </c>
    </row>
    <row r="855" ht="15.75" customHeight="1">
      <c r="A855" s="5" t="s">
        <v>2505</v>
      </c>
      <c r="B855" s="5" t="s">
        <v>1844</v>
      </c>
      <c r="C855" s="5" t="s">
        <v>590</v>
      </c>
      <c r="D855" s="5" t="s">
        <v>45</v>
      </c>
      <c r="E855" s="5" t="s">
        <v>49</v>
      </c>
      <c r="F855" s="5" t="s">
        <v>53</v>
      </c>
      <c r="G855" s="6" t="s">
        <v>66</v>
      </c>
      <c r="H855" s="5">
        <v>23.25</v>
      </c>
      <c r="I855" s="5">
        <v>49.0</v>
      </c>
      <c r="J855" s="5" t="str">
        <f t="shared" si="1"/>
        <v>Advance</v>
      </c>
      <c r="K855" s="9">
        <v>32420.0</v>
      </c>
    </row>
    <row r="856" ht="15.75" customHeight="1">
      <c r="A856" s="5" t="s">
        <v>2508</v>
      </c>
      <c r="B856" s="5" t="s">
        <v>1947</v>
      </c>
      <c r="C856" s="5" t="s">
        <v>616</v>
      </c>
      <c r="D856" s="5" t="s">
        <v>43</v>
      </c>
      <c r="E856" s="5" t="s">
        <v>68</v>
      </c>
      <c r="F856" s="5" t="s">
        <v>34</v>
      </c>
      <c r="G856" s="6" t="s">
        <v>37</v>
      </c>
      <c r="H856" s="5">
        <v>1.33</v>
      </c>
      <c r="I856" s="5">
        <v>38.0</v>
      </c>
      <c r="J856" s="5" t="str">
        <f t="shared" si="1"/>
        <v>Advance</v>
      </c>
      <c r="K856" s="9">
        <v>2353.0</v>
      </c>
    </row>
    <row r="857" ht="15.75" customHeight="1">
      <c r="A857" s="5" t="s">
        <v>2510</v>
      </c>
      <c r="B857" s="5" t="s">
        <v>1901</v>
      </c>
      <c r="C857" s="5" t="s">
        <v>616</v>
      </c>
      <c r="D857" s="5" t="s">
        <v>45</v>
      </c>
      <c r="E857" s="5" t="s">
        <v>49</v>
      </c>
      <c r="F857" s="5" t="s">
        <v>34</v>
      </c>
      <c r="G857" s="6" t="s">
        <v>66</v>
      </c>
      <c r="H857" s="5">
        <v>9.25</v>
      </c>
      <c r="I857" s="5">
        <v>29.0</v>
      </c>
      <c r="J857" s="5" t="str">
        <f t="shared" si="1"/>
        <v>Moderate</v>
      </c>
      <c r="K857" s="9">
        <v>7551.0</v>
      </c>
    </row>
    <row r="858" ht="15.75" customHeight="1">
      <c r="A858" s="5" t="s">
        <v>2512</v>
      </c>
      <c r="B858" s="5" t="s">
        <v>1872</v>
      </c>
      <c r="C858" s="5" t="s">
        <v>616</v>
      </c>
      <c r="D858" s="5" t="s">
        <v>45</v>
      </c>
      <c r="E858" s="5" t="s">
        <v>49</v>
      </c>
      <c r="F858" s="5" t="s">
        <v>34</v>
      </c>
      <c r="G858" s="6" t="s">
        <v>180</v>
      </c>
      <c r="H858" s="5">
        <v>25.92</v>
      </c>
      <c r="I858" s="5">
        <v>2.0</v>
      </c>
      <c r="J858" s="5" t="str">
        <f t="shared" si="1"/>
        <v>Last Minute</v>
      </c>
      <c r="K858" s="9">
        <v>13906.0</v>
      </c>
    </row>
    <row r="859" ht="15.75" customHeight="1">
      <c r="A859" s="5" t="s">
        <v>2515</v>
      </c>
      <c r="B859" s="5" t="s">
        <v>1936</v>
      </c>
      <c r="C859" s="5" t="s">
        <v>616</v>
      </c>
      <c r="D859" s="5" t="s">
        <v>20</v>
      </c>
      <c r="E859" s="5" t="s">
        <v>52</v>
      </c>
      <c r="F859" s="5" t="s">
        <v>34</v>
      </c>
      <c r="G859" s="6" t="s">
        <v>66</v>
      </c>
      <c r="H859" s="5">
        <v>29.0</v>
      </c>
      <c r="I859" s="5">
        <v>2.0</v>
      </c>
      <c r="J859" s="5" t="str">
        <f t="shared" si="1"/>
        <v>Last Minute</v>
      </c>
      <c r="K859" s="9">
        <v>19573.0</v>
      </c>
    </row>
    <row r="860" ht="15.75" customHeight="1">
      <c r="A860" s="5" t="s">
        <v>2518</v>
      </c>
      <c r="B860" s="5" t="s">
        <v>1856</v>
      </c>
      <c r="C860" s="5" t="s">
        <v>616</v>
      </c>
      <c r="D860" s="5" t="s">
        <v>20</v>
      </c>
      <c r="E860" s="5" t="s">
        <v>52</v>
      </c>
      <c r="F860" s="5" t="s">
        <v>53</v>
      </c>
      <c r="G860" s="6" t="s">
        <v>66</v>
      </c>
      <c r="H860" s="5">
        <v>26.75</v>
      </c>
      <c r="I860" s="5">
        <v>48.0</v>
      </c>
      <c r="J860" s="5" t="str">
        <f t="shared" si="1"/>
        <v>Advance</v>
      </c>
      <c r="K860" s="9">
        <v>63277.0</v>
      </c>
    </row>
    <row r="861" ht="15.75" customHeight="1">
      <c r="A861" s="5" t="s">
        <v>2520</v>
      </c>
      <c r="B861" s="5" t="s">
        <v>1907</v>
      </c>
      <c r="C861" s="5" t="s">
        <v>616</v>
      </c>
      <c r="D861" s="5" t="s">
        <v>45</v>
      </c>
      <c r="E861" s="5" t="s">
        <v>49</v>
      </c>
      <c r="F861" s="5" t="s">
        <v>34</v>
      </c>
      <c r="G861" s="6" t="s">
        <v>66</v>
      </c>
      <c r="H861" s="5">
        <v>27.33</v>
      </c>
      <c r="I861" s="5">
        <v>3.0</v>
      </c>
      <c r="J861" s="5" t="str">
        <f t="shared" si="1"/>
        <v>Last Minute</v>
      </c>
      <c r="K861" s="9">
        <v>13588.0</v>
      </c>
    </row>
    <row r="862" ht="15.75" customHeight="1">
      <c r="A862" s="5" t="s">
        <v>2522</v>
      </c>
      <c r="B862" s="5" t="s">
        <v>1957</v>
      </c>
      <c r="C862" s="5" t="s">
        <v>616</v>
      </c>
      <c r="D862" s="5" t="s">
        <v>45</v>
      </c>
      <c r="E862" s="5" t="s">
        <v>49</v>
      </c>
      <c r="F862" s="5" t="s">
        <v>34</v>
      </c>
      <c r="G862" s="6" t="s">
        <v>180</v>
      </c>
      <c r="H862" s="5">
        <v>8.75</v>
      </c>
      <c r="I862" s="5">
        <v>3.0</v>
      </c>
      <c r="J862" s="5" t="str">
        <f t="shared" si="1"/>
        <v>Last Minute</v>
      </c>
      <c r="K862" s="9">
        <v>24928.0</v>
      </c>
    </row>
    <row r="863" ht="15.75" customHeight="1">
      <c r="A863" s="5" t="s">
        <v>2525</v>
      </c>
      <c r="B863" s="5" t="s">
        <v>1945</v>
      </c>
      <c r="C863" s="5" t="s">
        <v>616</v>
      </c>
      <c r="D863" s="5" t="s">
        <v>45</v>
      </c>
      <c r="E863" s="5" t="s">
        <v>49</v>
      </c>
      <c r="F863" s="5" t="s">
        <v>34</v>
      </c>
      <c r="G863" s="6" t="s">
        <v>37</v>
      </c>
      <c r="H863" s="5">
        <v>1.17</v>
      </c>
      <c r="I863" s="5">
        <v>32.0</v>
      </c>
      <c r="J863" s="5" t="str">
        <f t="shared" si="1"/>
        <v>Advance</v>
      </c>
      <c r="K863" s="9">
        <v>2080.0</v>
      </c>
    </row>
    <row r="864" ht="15.75" customHeight="1">
      <c r="A864" s="5" t="s">
        <v>2527</v>
      </c>
      <c r="B864" s="5" t="s">
        <v>1919</v>
      </c>
      <c r="C864" s="5" t="s">
        <v>616</v>
      </c>
      <c r="D864" s="5" t="s">
        <v>45</v>
      </c>
      <c r="E864" s="5" t="s">
        <v>49</v>
      </c>
      <c r="F864" s="5" t="s">
        <v>34</v>
      </c>
      <c r="G864" s="6" t="s">
        <v>66</v>
      </c>
      <c r="H864" s="5">
        <v>18.92</v>
      </c>
      <c r="I864" s="5">
        <v>4.0</v>
      </c>
      <c r="J864" s="5" t="str">
        <f t="shared" si="1"/>
        <v>Last Minute</v>
      </c>
      <c r="K864" s="9">
        <v>8381.0</v>
      </c>
    </row>
    <row r="865" ht="15.75" customHeight="1">
      <c r="A865" s="5" t="s">
        <v>2529</v>
      </c>
      <c r="B865" s="5" t="s">
        <v>1938</v>
      </c>
      <c r="C865" s="5" t="s">
        <v>616</v>
      </c>
      <c r="D865" s="5" t="s">
        <v>45</v>
      </c>
      <c r="E865" s="5" t="s">
        <v>49</v>
      </c>
      <c r="F865" s="5" t="s">
        <v>34</v>
      </c>
      <c r="G865" s="6" t="s">
        <v>66</v>
      </c>
      <c r="H865" s="5">
        <v>19.92</v>
      </c>
      <c r="I865" s="5">
        <v>4.0</v>
      </c>
      <c r="J865" s="5" t="str">
        <f t="shared" si="1"/>
        <v>Last Minute</v>
      </c>
      <c r="K865" s="9">
        <v>13168.0</v>
      </c>
    </row>
    <row r="866" ht="15.75" customHeight="1">
      <c r="A866" s="5" t="s">
        <v>2530</v>
      </c>
      <c r="B866" s="5" t="s">
        <v>1921</v>
      </c>
      <c r="C866" s="5" t="s">
        <v>616</v>
      </c>
      <c r="D866" s="5" t="s">
        <v>45</v>
      </c>
      <c r="E866" s="5" t="s">
        <v>49</v>
      </c>
      <c r="F866" s="5" t="s">
        <v>34</v>
      </c>
      <c r="G866" s="6" t="s">
        <v>180</v>
      </c>
      <c r="H866" s="5">
        <v>15.42</v>
      </c>
      <c r="I866" s="5">
        <v>4.0</v>
      </c>
      <c r="J866" s="5" t="str">
        <f t="shared" si="1"/>
        <v>Last Minute</v>
      </c>
      <c r="K866" s="9">
        <v>14008.0</v>
      </c>
    </row>
    <row r="867" ht="15.75" customHeight="1">
      <c r="A867" s="5" t="s">
        <v>2531</v>
      </c>
      <c r="B867" s="5" t="s">
        <v>1887</v>
      </c>
      <c r="C867" s="5" t="s">
        <v>616</v>
      </c>
      <c r="D867" s="5" t="s">
        <v>45</v>
      </c>
      <c r="E867" s="5" t="s">
        <v>49</v>
      </c>
      <c r="F867" s="5" t="s">
        <v>34</v>
      </c>
      <c r="G867" s="6" t="s">
        <v>180</v>
      </c>
      <c r="H867" s="5">
        <v>23.25</v>
      </c>
      <c r="I867" s="5">
        <v>5.0</v>
      </c>
      <c r="J867" s="5" t="str">
        <f t="shared" si="1"/>
        <v>Last Minute</v>
      </c>
      <c r="K867" s="9">
        <v>13168.0</v>
      </c>
    </row>
    <row r="868" ht="15.75" customHeight="1">
      <c r="A868" s="5" t="s">
        <v>2533</v>
      </c>
      <c r="B868" s="5" t="s">
        <v>1955</v>
      </c>
      <c r="C868" s="5" t="s">
        <v>616</v>
      </c>
      <c r="D868" s="5" t="s">
        <v>20</v>
      </c>
      <c r="E868" s="5" t="s">
        <v>52</v>
      </c>
      <c r="F868" s="5" t="s">
        <v>34</v>
      </c>
      <c r="G868" s="6" t="s">
        <v>66</v>
      </c>
      <c r="H868" s="5">
        <v>14.25</v>
      </c>
      <c r="I868" s="5">
        <v>4.0</v>
      </c>
      <c r="J868" s="5" t="str">
        <f t="shared" si="1"/>
        <v>Last Minute</v>
      </c>
      <c r="K868" s="9">
        <v>15204.0</v>
      </c>
    </row>
    <row r="869" ht="15.75" customHeight="1">
      <c r="A869" s="5" t="s">
        <v>2535</v>
      </c>
      <c r="B869" s="5" t="s">
        <v>1853</v>
      </c>
      <c r="C869" s="5" t="s">
        <v>616</v>
      </c>
      <c r="D869" s="5" t="s">
        <v>20</v>
      </c>
      <c r="E869" s="5" t="s">
        <v>52</v>
      </c>
      <c r="F869" s="5" t="s">
        <v>34</v>
      </c>
      <c r="G869" s="6" t="s">
        <v>66</v>
      </c>
      <c r="H869" s="5">
        <v>18.42</v>
      </c>
      <c r="I869" s="5">
        <v>9.0</v>
      </c>
      <c r="J869" s="5" t="str">
        <f t="shared" si="1"/>
        <v>Short Notice</v>
      </c>
      <c r="K869" s="9">
        <v>12663.0</v>
      </c>
    </row>
    <row r="870" ht="15.75" customHeight="1">
      <c r="A870" s="5" t="s">
        <v>2536</v>
      </c>
      <c r="B870" s="5" t="s">
        <v>1850</v>
      </c>
      <c r="C870" s="5" t="s">
        <v>616</v>
      </c>
      <c r="D870" s="5" t="s">
        <v>45</v>
      </c>
      <c r="E870" s="5" t="s">
        <v>49</v>
      </c>
      <c r="F870" s="5" t="s">
        <v>53</v>
      </c>
      <c r="G870" s="6" t="s">
        <v>66</v>
      </c>
      <c r="H870" s="5">
        <v>14.83</v>
      </c>
      <c r="I870" s="5">
        <v>44.0</v>
      </c>
      <c r="J870" s="5" t="str">
        <f t="shared" si="1"/>
        <v>Advance</v>
      </c>
      <c r="K870" s="9">
        <v>44546.0</v>
      </c>
    </row>
    <row r="871" ht="15.75" customHeight="1">
      <c r="A871" s="5" t="s">
        <v>2537</v>
      </c>
      <c r="B871" s="5" t="s">
        <v>1892</v>
      </c>
      <c r="C871" s="5" t="s">
        <v>616</v>
      </c>
      <c r="D871" s="5" t="s">
        <v>20</v>
      </c>
      <c r="E871" s="5" t="s">
        <v>52</v>
      </c>
      <c r="F871" s="5" t="s">
        <v>34</v>
      </c>
      <c r="G871" s="6" t="s">
        <v>37</v>
      </c>
      <c r="H871" s="5">
        <v>1.17</v>
      </c>
      <c r="I871" s="5">
        <v>44.0</v>
      </c>
      <c r="J871" s="5" t="str">
        <f t="shared" si="1"/>
        <v>Advance</v>
      </c>
      <c r="K871" s="9">
        <v>1776.0</v>
      </c>
    </row>
    <row r="872" ht="15.75" customHeight="1">
      <c r="A872" s="5" t="s">
        <v>2538</v>
      </c>
      <c r="B872" s="5" t="s">
        <v>1913</v>
      </c>
      <c r="C872" s="5" t="s">
        <v>616</v>
      </c>
      <c r="D872" s="5" t="s">
        <v>58</v>
      </c>
      <c r="E872" s="5" t="s">
        <v>59</v>
      </c>
      <c r="F872" s="5" t="s">
        <v>34</v>
      </c>
      <c r="G872" s="6" t="s">
        <v>180</v>
      </c>
      <c r="H872" s="5">
        <v>8.67</v>
      </c>
      <c r="I872" s="5">
        <v>6.0</v>
      </c>
      <c r="J872" s="5" t="str">
        <f t="shared" si="1"/>
        <v>Last Minute</v>
      </c>
      <c r="K872" s="9">
        <v>4452.0</v>
      </c>
    </row>
    <row r="873" ht="15.75" customHeight="1">
      <c r="A873" s="5" t="s">
        <v>2539</v>
      </c>
      <c r="B873" s="5" t="s">
        <v>1875</v>
      </c>
      <c r="C873" s="5" t="s">
        <v>616</v>
      </c>
      <c r="D873" s="5" t="s">
        <v>20</v>
      </c>
      <c r="E873" s="5" t="s">
        <v>52</v>
      </c>
      <c r="F873" s="5" t="s">
        <v>34</v>
      </c>
      <c r="G873" s="6" t="s">
        <v>66</v>
      </c>
      <c r="H873" s="5">
        <v>10.75</v>
      </c>
      <c r="I873" s="5">
        <v>49.0</v>
      </c>
      <c r="J873" s="5" t="str">
        <f t="shared" si="1"/>
        <v>Advance</v>
      </c>
      <c r="K873" s="9">
        <v>5441.0</v>
      </c>
    </row>
    <row r="874" ht="15.75" customHeight="1">
      <c r="A874" s="5" t="s">
        <v>2540</v>
      </c>
      <c r="B874" s="5" t="s">
        <v>1858</v>
      </c>
      <c r="C874" s="5" t="s">
        <v>616</v>
      </c>
      <c r="D874" s="5" t="s">
        <v>20</v>
      </c>
      <c r="E874" s="5" t="s">
        <v>52</v>
      </c>
      <c r="F874" s="5" t="s">
        <v>34</v>
      </c>
      <c r="G874" s="6" t="s">
        <v>66</v>
      </c>
      <c r="H874" s="5">
        <v>14.33</v>
      </c>
      <c r="I874" s="5">
        <v>49.0</v>
      </c>
      <c r="J874" s="5" t="str">
        <f t="shared" si="1"/>
        <v>Advance</v>
      </c>
      <c r="K874" s="9">
        <v>5441.0</v>
      </c>
    </row>
    <row r="875" ht="15.75" customHeight="1">
      <c r="A875" s="5" t="s">
        <v>2541</v>
      </c>
      <c r="B875" s="5" t="s">
        <v>1928</v>
      </c>
      <c r="C875" s="5" t="s">
        <v>616</v>
      </c>
      <c r="D875" s="5" t="s">
        <v>20</v>
      </c>
      <c r="E875" s="5" t="s">
        <v>52</v>
      </c>
      <c r="F875" s="5" t="s">
        <v>34</v>
      </c>
      <c r="G875" s="6" t="s">
        <v>66</v>
      </c>
      <c r="H875" s="5">
        <v>9.42</v>
      </c>
      <c r="I875" s="5">
        <v>41.0</v>
      </c>
      <c r="J875" s="5" t="str">
        <f t="shared" si="1"/>
        <v>Advance</v>
      </c>
      <c r="K875" s="9">
        <v>6855.0</v>
      </c>
    </row>
    <row r="876" ht="15.75" customHeight="1">
      <c r="A876" s="5" t="s">
        <v>2555</v>
      </c>
      <c r="B876" s="5" t="s">
        <v>1915</v>
      </c>
      <c r="C876" s="5" t="s">
        <v>616</v>
      </c>
      <c r="D876" s="5" t="s">
        <v>20</v>
      </c>
      <c r="E876" s="5" t="s">
        <v>52</v>
      </c>
      <c r="F876" s="5" t="s">
        <v>34</v>
      </c>
      <c r="G876" s="6" t="s">
        <v>66</v>
      </c>
      <c r="H876" s="5">
        <v>7.25</v>
      </c>
      <c r="I876" s="5">
        <v>31.0</v>
      </c>
      <c r="J876" s="5" t="str">
        <f t="shared" si="1"/>
        <v>Advance</v>
      </c>
      <c r="K876" s="9">
        <v>7971.0</v>
      </c>
    </row>
    <row r="877" ht="15.75" customHeight="1">
      <c r="A877" s="5" t="s">
        <v>2557</v>
      </c>
      <c r="B877" s="5" t="s">
        <v>1883</v>
      </c>
      <c r="C877" s="5" t="s">
        <v>616</v>
      </c>
      <c r="D877" s="5" t="s">
        <v>43</v>
      </c>
      <c r="E877" s="5" t="s">
        <v>68</v>
      </c>
      <c r="F877" s="5" t="s">
        <v>34</v>
      </c>
      <c r="G877" s="6" t="s">
        <v>66</v>
      </c>
      <c r="H877" s="5">
        <v>0.0</v>
      </c>
      <c r="I877" s="5">
        <v>25.0</v>
      </c>
      <c r="J877" s="5" t="str">
        <f t="shared" si="1"/>
        <v>Moderate</v>
      </c>
      <c r="K877" s="9">
        <v>3072.0</v>
      </c>
    </row>
    <row r="878" ht="15.75" customHeight="1">
      <c r="A878" s="5" t="s">
        <v>2559</v>
      </c>
      <c r="B878" s="5" t="s">
        <v>1910</v>
      </c>
      <c r="C878" s="5" t="s">
        <v>616</v>
      </c>
      <c r="D878" s="5" t="s">
        <v>45</v>
      </c>
      <c r="E878" s="5" t="s">
        <v>49</v>
      </c>
      <c r="F878" s="5" t="s">
        <v>53</v>
      </c>
      <c r="G878" s="6">
        <v>1.0</v>
      </c>
      <c r="H878" s="5">
        <v>12.92</v>
      </c>
      <c r="I878" s="5">
        <v>31.0</v>
      </c>
      <c r="J878" s="5" t="str">
        <f t="shared" si="1"/>
        <v>Advance</v>
      </c>
      <c r="K878" s="9">
        <v>38043.0</v>
      </c>
    </row>
    <row r="879" ht="15.75" customHeight="1">
      <c r="A879" s="5" t="s">
        <v>2561</v>
      </c>
      <c r="B879" s="5" t="s">
        <v>1890</v>
      </c>
      <c r="C879" s="5" t="s">
        <v>616</v>
      </c>
      <c r="D879" s="5" t="s">
        <v>45</v>
      </c>
      <c r="E879" s="5" t="s">
        <v>49</v>
      </c>
      <c r="F879" s="5" t="s">
        <v>34</v>
      </c>
      <c r="G879" s="6" t="s">
        <v>180</v>
      </c>
      <c r="H879" s="5">
        <v>33.83</v>
      </c>
      <c r="I879" s="5">
        <v>9.0</v>
      </c>
      <c r="J879" s="5" t="str">
        <f t="shared" si="1"/>
        <v>Short Notice</v>
      </c>
      <c r="K879" s="9">
        <v>12499.0</v>
      </c>
    </row>
    <row r="880" ht="15.75" customHeight="1">
      <c r="A880" s="5" t="s">
        <v>2562</v>
      </c>
      <c r="B880" s="5" t="s">
        <v>1933</v>
      </c>
      <c r="C880" s="5" t="s">
        <v>616</v>
      </c>
      <c r="D880" s="5" t="s">
        <v>45</v>
      </c>
      <c r="E880" s="5" t="s">
        <v>49</v>
      </c>
      <c r="F880" s="5" t="s">
        <v>34</v>
      </c>
      <c r="G880" s="6" t="s">
        <v>180</v>
      </c>
      <c r="H880" s="5">
        <v>24.83</v>
      </c>
      <c r="I880" s="5">
        <v>10.0</v>
      </c>
      <c r="J880" s="5" t="str">
        <f t="shared" si="1"/>
        <v>Short Notice</v>
      </c>
      <c r="K880" s="9">
        <v>13339.0</v>
      </c>
    </row>
    <row r="881" ht="15.75" customHeight="1">
      <c r="A881" s="5" t="s">
        <v>2564</v>
      </c>
      <c r="B881" s="5" t="s">
        <v>1864</v>
      </c>
      <c r="C881" s="5" t="s">
        <v>616</v>
      </c>
      <c r="D881" s="5" t="s">
        <v>58</v>
      </c>
      <c r="E881" s="5" t="s">
        <v>59</v>
      </c>
      <c r="F881" s="5" t="s">
        <v>34</v>
      </c>
      <c r="G881" s="6" t="s">
        <v>66</v>
      </c>
      <c r="H881" s="5">
        <v>7.17</v>
      </c>
      <c r="I881" s="5">
        <v>22.0</v>
      </c>
      <c r="J881" s="5" t="str">
        <f t="shared" si="1"/>
        <v>Moderate</v>
      </c>
      <c r="K881" s="9">
        <v>4452.0</v>
      </c>
    </row>
    <row r="882" ht="15.75" customHeight="1">
      <c r="A882" s="5" t="s">
        <v>2567</v>
      </c>
      <c r="B882" s="5" t="s">
        <v>1924</v>
      </c>
      <c r="C882" s="5" t="s">
        <v>616</v>
      </c>
      <c r="D882" s="5" t="s">
        <v>20</v>
      </c>
      <c r="E882" s="5" t="s">
        <v>52</v>
      </c>
      <c r="F882" s="5" t="s">
        <v>34</v>
      </c>
      <c r="G882" s="6" t="s">
        <v>180</v>
      </c>
      <c r="H882" s="5">
        <v>10.08</v>
      </c>
      <c r="I882" s="5">
        <v>26.0</v>
      </c>
      <c r="J882" s="5" t="str">
        <f t="shared" si="1"/>
        <v>Moderate</v>
      </c>
      <c r="K882" s="9">
        <v>6461.0</v>
      </c>
    </row>
    <row r="883" ht="15.75" customHeight="1">
      <c r="A883" s="5" t="s">
        <v>2570</v>
      </c>
      <c r="B883" s="5" t="s">
        <v>1877</v>
      </c>
      <c r="C883" s="5" t="s">
        <v>616</v>
      </c>
      <c r="D883" s="5" t="s">
        <v>43</v>
      </c>
      <c r="E883" s="5" t="s">
        <v>68</v>
      </c>
      <c r="F883" s="5" t="s">
        <v>34</v>
      </c>
      <c r="G883" s="6" t="s">
        <v>66</v>
      </c>
      <c r="H883" s="5">
        <v>7.83</v>
      </c>
      <c r="I883" s="5">
        <v>27.0</v>
      </c>
      <c r="J883" s="5" t="str">
        <f t="shared" si="1"/>
        <v>Moderate</v>
      </c>
      <c r="K883" s="9">
        <v>5136.0</v>
      </c>
    </row>
    <row r="884" ht="15.75" customHeight="1">
      <c r="A884" s="5" t="s">
        <v>2572</v>
      </c>
      <c r="B884" s="5" t="s">
        <v>1861</v>
      </c>
      <c r="C884" s="5" t="s">
        <v>616</v>
      </c>
      <c r="D884" s="5" t="s">
        <v>29</v>
      </c>
      <c r="E884" s="5" t="s">
        <v>32</v>
      </c>
      <c r="F884" s="5" t="s">
        <v>34</v>
      </c>
      <c r="G884" s="6" t="s">
        <v>66</v>
      </c>
      <c r="H884" s="5">
        <v>14.17</v>
      </c>
      <c r="I884" s="5">
        <v>44.0</v>
      </c>
      <c r="J884" s="5" t="str">
        <f t="shared" si="1"/>
        <v>Advance</v>
      </c>
      <c r="K884" s="9">
        <v>2738.0</v>
      </c>
    </row>
    <row r="885" ht="15.75" customHeight="1">
      <c r="A885" s="5" t="s">
        <v>2575</v>
      </c>
      <c r="B885" s="5" t="s">
        <v>1881</v>
      </c>
      <c r="C885" s="5" t="s">
        <v>616</v>
      </c>
      <c r="D885" s="5" t="s">
        <v>43</v>
      </c>
      <c r="E885" s="5" t="s">
        <v>68</v>
      </c>
      <c r="F885" s="5" t="s">
        <v>34</v>
      </c>
      <c r="G885" s="6" t="s">
        <v>37</v>
      </c>
      <c r="H885" s="5">
        <v>1.25</v>
      </c>
      <c r="I885" s="5">
        <v>46.0</v>
      </c>
      <c r="J885" s="5" t="str">
        <f t="shared" si="1"/>
        <v>Advance</v>
      </c>
      <c r="K885" s="9">
        <v>1776.0</v>
      </c>
    </row>
    <row r="886" ht="15.75" customHeight="1">
      <c r="A886" s="5" t="s">
        <v>2576</v>
      </c>
      <c r="B886" s="5" t="s">
        <v>1899</v>
      </c>
      <c r="C886" s="5" t="s">
        <v>616</v>
      </c>
      <c r="D886" s="5" t="s">
        <v>43</v>
      </c>
      <c r="E886" s="5" t="s">
        <v>68</v>
      </c>
      <c r="F886" s="5" t="s">
        <v>34</v>
      </c>
      <c r="G886" s="6" t="s">
        <v>66</v>
      </c>
      <c r="H886" s="5">
        <v>7.67</v>
      </c>
      <c r="I886" s="5">
        <v>46.0</v>
      </c>
      <c r="J886" s="5" t="str">
        <f t="shared" si="1"/>
        <v>Advance</v>
      </c>
      <c r="K886" s="9">
        <v>3374.0</v>
      </c>
    </row>
    <row r="887" ht="15.75" customHeight="1">
      <c r="A887" s="5" t="s">
        <v>2579</v>
      </c>
      <c r="B887" s="5" t="s">
        <v>1866</v>
      </c>
      <c r="C887" s="5" t="s">
        <v>616</v>
      </c>
      <c r="D887" s="5" t="s">
        <v>45</v>
      </c>
      <c r="E887" s="5" t="s">
        <v>49</v>
      </c>
      <c r="F887" s="5" t="s">
        <v>34</v>
      </c>
      <c r="G887" s="6" t="s">
        <v>66</v>
      </c>
      <c r="H887" s="5">
        <v>17.33</v>
      </c>
      <c r="I887" s="5">
        <v>47.0</v>
      </c>
      <c r="J887" s="5" t="str">
        <f t="shared" si="1"/>
        <v>Advance</v>
      </c>
      <c r="K887" s="9">
        <v>5019.0</v>
      </c>
    </row>
    <row r="888" ht="15.75" customHeight="1">
      <c r="A888" s="5" t="s">
        <v>2582</v>
      </c>
      <c r="B888" s="5" t="s">
        <v>1905</v>
      </c>
      <c r="C888" s="5" t="s">
        <v>616</v>
      </c>
      <c r="D888" s="5" t="s">
        <v>45</v>
      </c>
      <c r="E888" s="5" t="s">
        <v>49</v>
      </c>
      <c r="F888" s="5" t="s">
        <v>34</v>
      </c>
      <c r="G888" s="6" t="s">
        <v>66</v>
      </c>
      <c r="H888" s="5">
        <v>10.25</v>
      </c>
      <c r="I888" s="5">
        <v>47.0</v>
      </c>
      <c r="J888" s="5" t="str">
        <f t="shared" si="1"/>
        <v>Advance</v>
      </c>
      <c r="K888" s="9">
        <v>5019.0</v>
      </c>
    </row>
    <row r="889" ht="15.75" customHeight="1">
      <c r="A889" s="5" t="s">
        <v>2585</v>
      </c>
      <c r="B889" s="5" t="s">
        <v>1848</v>
      </c>
      <c r="C889" s="5" t="s">
        <v>616</v>
      </c>
      <c r="D889" s="5" t="s">
        <v>20</v>
      </c>
      <c r="E889" s="5" t="s">
        <v>52</v>
      </c>
      <c r="F889" s="5" t="s">
        <v>34</v>
      </c>
      <c r="G889" s="6" t="s">
        <v>180</v>
      </c>
      <c r="H889" s="5">
        <v>7.0</v>
      </c>
      <c r="I889" s="5">
        <v>46.0</v>
      </c>
      <c r="J889" s="5" t="str">
        <f t="shared" si="1"/>
        <v>Advance</v>
      </c>
      <c r="K889" s="9">
        <v>6461.0</v>
      </c>
    </row>
    <row r="890" ht="15.75" customHeight="1">
      <c r="A890" s="5" t="s">
        <v>2589</v>
      </c>
      <c r="B890" s="5" t="s">
        <v>1950</v>
      </c>
      <c r="C890" s="5" t="s">
        <v>616</v>
      </c>
      <c r="D890" s="5" t="s">
        <v>58</v>
      </c>
      <c r="E890" s="5" t="s">
        <v>59</v>
      </c>
      <c r="F890" s="5" t="s">
        <v>34</v>
      </c>
      <c r="G890" s="6" t="s">
        <v>66</v>
      </c>
      <c r="H890" s="5">
        <v>13.0</v>
      </c>
      <c r="I890" s="5">
        <v>46.0</v>
      </c>
      <c r="J890" s="5" t="str">
        <f t="shared" si="1"/>
        <v>Advance</v>
      </c>
      <c r="K890" s="9">
        <v>6256.0</v>
      </c>
    </row>
    <row r="891" ht="15.75" customHeight="1">
      <c r="A891" s="5" t="s">
        <v>2590</v>
      </c>
      <c r="B891" s="5" t="s">
        <v>1930</v>
      </c>
      <c r="C891" s="5" t="s">
        <v>616</v>
      </c>
      <c r="D891" s="5" t="s">
        <v>45</v>
      </c>
      <c r="E891" s="5" t="s">
        <v>49</v>
      </c>
      <c r="F891" s="5" t="s">
        <v>34</v>
      </c>
      <c r="G891" s="6" t="s">
        <v>37</v>
      </c>
      <c r="H891" s="5">
        <v>1.08</v>
      </c>
      <c r="I891" s="5">
        <v>49.0</v>
      </c>
      <c r="J891" s="5" t="str">
        <f t="shared" si="1"/>
        <v>Advance</v>
      </c>
      <c r="K891" s="9">
        <v>2080.0</v>
      </c>
    </row>
    <row r="892" ht="15.75" customHeight="1">
      <c r="A892" s="5" t="s">
        <v>2593</v>
      </c>
      <c r="B892" s="5" t="s">
        <v>1942</v>
      </c>
      <c r="C892" s="5" t="s">
        <v>616</v>
      </c>
      <c r="D892" s="5" t="s">
        <v>45</v>
      </c>
      <c r="E892" s="5" t="s">
        <v>49</v>
      </c>
      <c r="F892" s="5" t="s">
        <v>34</v>
      </c>
      <c r="G892" s="6" t="s">
        <v>66</v>
      </c>
      <c r="H892" s="5">
        <v>5.67</v>
      </c>
      <c r="I892" s="5">
        <v>48.0</v>
      </c>
      <c r="J892" s="5" t="str">
        <f t="shared" si="1"/>
        <v>Advance</v>
      </c>
      <c r="K892" s="9">
        <v>4054.0</v>
      </c>
    </row>
    <row r="893" ht="15.75" customHeight="1">
      <c r="A893" s="5" t="s">
        <v>2594</v>
      </c>
      <c r="B893" s="5" t="s">
        <v>2027</v>
      </c>
      <c r="C893" s="5" t="s">
        <v>640</v>
      </c>
      <c r="D893" s="5" t="s">
        <v>43</v>
      </c>
      <c r="E893" s="5" t="s">
        <v>68</v>
      </c>
      <c r="F893" s="5" t="s">
        <v>34</v>
      </c>
      <c r="G893" s="6" t="s">
        <v>66</v>
      </c>
      <c r="H893" s="5">
        <v>5.08</v>
      </c>
      <c r="I893" s="5">
        <v>25.0</v>
      </c>
      <c r="J893" s="5" t="str">
        <f t="shared" si="1"/>
        <v>Moderate</v>
      </c>
      <c r="K893" s="9">
        <v>5293.0</v>
      </c>
    </row>
    <row r="894" ht="15.75" customHeight="1">
      <c r="A894" s="5" t="s">
        <v>2597</v>
      </c>
      <c r="B894" s="5" t="s">
        <v>1988</v>
      </c>
      <c r="C894" s="5" t="s">
        <v>640</v>
      </c>
      <c r="D894" s="5" t="s">
        <v>45</v>
      </c>
      <c r="E894" s="5" t="s">
        <v>49</v>
      </c>
      <c r="F894" s="5" t="s">
        <v>34</v>
      </c>
      <c r="G894" s="6" t="s">
        <v>66</v>
      </c>
      <c r="H894" s="5">
        <v>22.33</v>
      </c>
      <c r="I894" s="5">
        <v>32.0</v>
      </c>
      <c r="J894" s="5" t="str">
        <f t="shared" si="1"/>
        <v>Advance</v>
      </c>
      <c r="K894" s="9">
        <v>4368.0</v>
      </c>
    </row>
    <row r="895" ht="15.75" customHeight="1">
      <c r="A895" s="5" t="s">
        <v>2600</v>
      </c>
      <c r="B895" s="5" t="s">
        <v>2018</v>
      </c>
      <c r="C895" s="5" t="s">
        <v>640</v>
      </c>
      <c r="D895" s="5" t="s">
        <v>43</v>
      </c>
      <c r="E895" s="5" t="s">
        <v>68</v>
      </c>
      <c r="F895" s="5" t="s">
        <v>34</v>
      </c>
      <c r="G895" s="6" t="s">
        <v>66</v>
      </c>
      <c r="H895" s="5">
        <v>5.5</v>
      </c>
      <c r="I895" s="5">
        <v>1.0</v>
      </c>
      <c r="J895" s="5" t="str">
        <f t="shared" si="1"/>
        <v>Last Minute</v>
      </c>
      <c r="K895" s="9">
        <v>24561.0</v>
      </c>
    </row>
    <row r="896" ht="15.75" customHeight="1">
      <c r="A896" s="5" t="s">
        <v>2602</v>
      </c>
      <c r="B896" s="5" t="s">
        <v>1965</v>
      </c>
      <c r="C896" s="5" t="s">
        <v>640</v>
      </c>
      <c r="D896" s="5" t="s">
        <v>43</v>
      </c>
      <c r="E896" s="5" t="s">
        <v>68</v>
      </c>
      <c r="F896" s="5" t="s">
        <v>34</v>
      </c>
      <c r="G896" s="6" t="s">
        <v>66</v>
      </c>
      <c r="H896" s="5">
        <v>7.25</v>
      </c>
      <c r="I896" s="5">
        <v>39.0</v>
      </c>
      <c r="J896" s="5" t="str">
        <f t="shared" si="1"/>
        <v>Advance</v>
      </c>
      <c r="K896" s="9">
        <v>4390.0</v>
      </c>
    </row>
    <row r="897" ht="15.75" customHeight="1">
      <c r="A897" s="5" t="s">
        <v>2603</v>
      </c>
      <c r="B897" s="5" t="s">
        <v>2001</v>
      </c>
      <c r="C897" s="5" t="s">
        <v>640</v>
      </c>
      <c r="D897" s="5" t="s">
        <v>43</v>
      </c>
      <c r="E897" s="5" t="s">
        <v>68</v>
      </c>
      <c r="F897" s="5" t="s">
        <v>34</v>
      </c>
      <c r="G897" s="6" t="s">
        <v>66</v>
      </c>
      <c r="H897" s="5">
        <v>10.08</v>
      </c>
      <c r="I897" s="5">
        <v>4.0</v>
      </c>
      <c r="J897" s="5" t="str">
        <f t="shared" si="1"/>
        <v>Last Minute</v>
      </c>
      <c r="K897" s="9">
        <v>8034.0</v>
      </c>
    </row>
    <row r="898" ht="15.75" customHeight="1">
      <c r="A898" s="5" t="s">
        <v>2604</v>
      </c>
      <c r="B898" s="5" t="s">
        <v>1993</v>
      </c>
      <c r="C898" s="5" t="s">
        <v>640</v>
      </c>
      <c r="D898" s="5" t="s">
        <v>20</v>
      </c>
      <c r="E898" s="5" t="s">
        <v>52</v>
      </c>
      <c r="F898" s="5" t="s">
        <v>34</v>
      </c>
      <c r="G898" s="6" t="s">
        <v>66</v>
      </c>
      <c r="H898" s="5">
        <v>11.25</v>
      </c>
      <c r="I898" s="5">
        <v>33.0</v>
      </c>
      <c r="J898" s="5" t="str">
        <f t="shared" si="1"/>
        <v>Advance</v>
      </c>
      <c r="K898" s="9">
        <v>5960.0</v>
      </c>
    </row>
    <row r="899" ht="15.75" customHeight="1">
      <c r="A899" s="5" t="s">
        <v>2606</v>
      </c>
      <c r="B899" s="5" t="s">
        <v>2049</v>
      </c>
      <c r="C899" s="5" t="s">
        <v>640</v>
      </c>
      <c r="D899" s="5" t="s">
        <v>43</v>
      </c>
      <c r="E899" s="5" t="s">
        <v>68</v>
      </c>
      <c r="F899" s="5" t="s">
        <v>34</v>
      </c>
      <c r="G899" s="6" t="s">
        <v>66</v>
      </c>
      <c r="H899" s="5">
        <v>8.0</v>
      </c>
      <c r="I899" s="5">
        <v>2.0</v>
      </c>
      <c r="J899" s="5" t="str">
        <f t="shared" si="1"/>
        <v>Last Minute</v>
      </c>
      <c r="K899" s="9">
        <v>16161.0</v>
      </c>
    </row>
    <row r="900" ht="15.75" customHeight="1">
      <c r="A900" s="5" t="s">
        <v>2607</v>
      </c>
      <c r="B900" s="5" t="s">
        <v>1996</v>
      </c>
      <c r="C900" s="5" t="s">
        <v>640</v>
      </c>
      <c r="D900" s="5" t="s">
        <v>29</v>
      </c>
      <c r="E900" s="5" t="s">
        <v>32</v>
      </c>
      <c r="F900" s="5" t="s">
        <v>34</v>
      </c>
      <c r="G900" s="6" t="s">
        <v>66</v>
      </c>
      <c r="H900" s="5">
        <v>13.25</v>
      </c>
      <c r="I900" s="5">
        <v>43.0</v>
      </c>
      <c r="J900" s="5" t="str">
        <f t="shared" si="1"/>
        <v>Advance</v>
      </c>
      <c r="K900" s="9">
        <v>7336.0</v>
      </c>
    </row>
    <row r="901" ht="15.75" customHeight="1">
      <c r="A901" s="5" t="s">
        <v>2608</v>
      </c>
      <c r="B901" s="5" t="s">
        <v>2015</v>
      </c>
      <c r="C901" s="5" t="s">
        <v>640</v>
      </c>
      <c r="D901" s="5" t="s">
        <v>45</v>
      </c>
      <c r="E901" s="5" t="s">
        <v>49</v>
      </c>
      <c r="F901" s="5" t="s">
        <v>34</v>
      </c>
      <c r="G901" s="6" t="s">
        <v>66</v>
      </c>
      <c r="H901" s="5">
        <v>28.5</v>
      </c>
      <c r="I901" s="5">
        <v>31.0</v>
      </c>
      <c r="J901" s="5" t="str">
        <f t="shared" si="1"/>
        <v>Advance</v>
      </c>
      <c r="K901" s="9">
        <v>5223.0</v>
      </c>
    </row>
    <row r="902" ht="15.75" customHeight="1">
      <c r="A902" s="5" t="s">
        <v>2610</v>
      </c>
      <c r="B902" s="5" t="s">
        <v>1975</v>
      </c>
      <c r="C902" s="5" t="s">
        <v>640</v>
      </c>
      <c r="D902" s="5" t="s">
        <v>58</v>
      </c>
      <c r="E902" s="5" t="s">
        <v>59</v>
      </c>
      <c r="F902" s="5" t="s">
        <v>34</v>
      </c>
      <c r="G902" s="6" t="s">
        <v>66</v>
      </c>
      <c r="H902" s="5">
        <v>15.25</v>
      </c>
      <c r="I902" s="5">
        <v>28.0</v>
      </c>
      <c r="J902" s="5" t="str">
        <f t="shared" si="1"/>
        <v>Moderate</v>
      </c>
      <c r="K902" s="9">
        <v>5292.0</v>
      </c>
    </row>
    <row r="903" ht="15.75" customHeight="1">
      <c r="A903" s="5" t="s">
        <v>2612</v>
      </c>
      <c r="B903" s="5" t="s">
        <v>1972</v>
      </c>
      <c r="C903" s="5" t="s">
        <v>640</v>
      </c>
      <c r="D903" s="5" t="s">
        <v>45</v>
      </c>
      <c r="E903" s="5" t="s">
        <v>49</v>
      </c>
      <c r="F903" s="5" t="s">
        <v>34</v>
      </c>
      <c r="G903" s="6" t="s">
        <v>66</v>
      </c>
      <c r="H903" s="5">
        <v>22.08</v>
      </c>
      <c r="I903" s="5">
        <v>3.0</v>
      </c>
      <c r="J903" s="5" t="str">
        <f t="shared" si="1"/>
        <v>Last Minute</v>
      </c>
      <c r="K903" s="9">
        <v>15583.0</v>
      </c>
    </row>
    <row r="904" ht="15.75" customHeight="1">
      <c r="A904" s="5" t="s">
        <v>2614</v>
      </c>
      <c r="B904" s="5" t="s">
        <v>1979</v>
      </c>
      <c r="C904" s="5" t="s">
        <v>640</v>
      </c>
      <c r="D904" s="5" t="s">
        <v>45</v>
      </c>
      <c r="E904" s="5" t="s">
        <v>49</v>
      </c>
      <c r="F904" s="5" t="s">
        <v>34</v>
      </c>
      <c r="G904" s="6" t="s">
        <v>180</v>
      </c>
      <c r="H904" s="5">
        <v>33.17</v>
      </c>
      <c r="I904" s="5">
        <v>3.0</v>
      </c>
      <c r="J904" s="5" t="str">
        <f t="shared" si="1"/>
        <v>Last Minute</v>
      </c>
      <c r="K904" s="9">
        <v>16311.0</v>
      </c>
    </row>
    <row r="905" ht="15.75" customHeight="1">
      <c r="A905" s="5" t="s">
        <v>2615</v>
      </c>
      <c r="B905" s="5" t="s">
        <v>2040</v>
      </c>
      <c r="C905" s="5" t="s">
        <v>640</v>
      </c>
      <c r="D905" s="5" t="s">
        <v>20</v>
      </c>
      <c r="E905" s="5" t="s">
        <v>52</v>
      </c>
      <c r="F905" s="5" t="s">
        <v>53</v>
      </c>
      <c r="G905" s="6" t="s">
        <v>180</v>
      </c>
      <c r="H905" s="5">
        <v>23.25</v>
      </c>
      <c r="I905" s="5">
        <v>3.0</v>
      </c>
      <c r="J905" s="5" t="str">
        <f t="shared" si="1"/>
        <v>Last Minute</v>
      </c>
      <c r="K905" s="9">
        <v>71979.0</v>
      </c>
    </row>
    <row r="906" ht="15.75" customHeight="1">
      <c r="A906" s="5" t="s">
        <v>2617</v>
      </c>
      <c r="B906" s="5" t="s">
        <v>2056</v>
      </c>
      <c r="C906" s="5" t="s">
        <v>640</v>
      </c>
      <c r="D906" s="5" t="s">
        <v>43</v>
      </c>
      <c r="E906" s="5" t="s">
        <v>68</v>
      </c>
      <c r="F906" s="5" t="s">
        <v>34</v>
      </c>
      <c r="G906" s="6" t="s">
        <v>66</v>
      </c>
      <c r="H906" s="5">
        <v>7.25</v>
      </c>
      <c r="I906" s="5">
        <v>3.0</v>
      </c>
      <c r="J906" s="5" t="str">
        <f t="shared" si="1"/>
        <v>Last Minute</v>
      </c>
      <c r="K906" s="9">
        <v>20676.0</v>
      </c>
    </row>
    <row r="907" ht="15.75" customHeight="1">
      <c r="A907" s="5" t="s">
        <v>2619</v>
      </c>
      <c r="B907" s="5" t="s">
        <v>2033</v>
      </c>
      <c r="C907" s="5" t="s">
        <v>640</v>
      </c>
      <c r="D907" s="5" t="s">
        <v>45</v>
      </c>
      <c r="E907" s="5" t="s">
        <v>49</v>
      </c>
      <c r="F907" s="5" t="s">
        <v>53</v>
      </c>
      <c r="G907" s="6" t="s">
        <v>66</v>
      </c>
      <c r="H907" s="5">
        <v>20.5</v>
      </c>
      <c r="J907" s="5" t="str">
        <f t="shared" si="1"/>
        <v>Last Minute</v>
      </c>
      <c r="K907" s="9">
        <v>39948.0</v>
      </c>
    </row>
    <row r="908" ht="15.75" customHeight="1">
      <c r="A908" s="5" t="s">
        <v>2622</v>
      </c>
      <c r="B908" s="5" t="s">
        <v>2053</v>
      </c>
      <c r="C908" s="5" t="s">
        <v>640</v>
      </c>
      <c r="D908" s="5" t="s">
        <v>45</v>
      </c>
      <c r="E908" s="5" t="s">
        <v>49</v>
      </c>
      <c r="F908" s="5" t="s">
        <v>34</v>
      </c>
      <c r="G908" s="6" t="s">
        <v>66</v>
      </c>
      <c r="H908" s="5">
        <v>15.67</v>
      </c>
      <c r="I908" s="5">
        <v>3.0</v>
      </c>
      <c r="J908" s="5" t="str">
        <f t="shared" si="1"/>
        <v>Last Minute</v>
      </c>
      <c r="K908" s="9">
        <v>21883.0</v>
      </c>
    </row>
    <row r="909" ht="15.75" customHeight="1">
      <c r="A909" s="5" t="s">
        <v>2623</v>
      </c>
      <c r="B909" s="5" t="s">
        <v>1984</v>
      </c>
      <c r="C909" s="5" t="s">
        <v>640</v>
      </c>
      <c r="D909" s="5" t="s">
        <v>43</v>
      </c>
      <c r="E909" s="5" t="s">
        <v>68</v>
      </c>
      <c r="F909" s="5" t="s">
        <v>34</v>
      </c>
      <c r="G909" s="6" t="s">
        <v>66</v>
      </c>
      <c r="H909" s="5">
        <v>8.67</v>
      </c>
      <c r="I909" s="5">
        <v>4.0</v>
      </c>
      <c r="J909" s="5" t="str">
        <f t="shared" si="1"/>
        <v>Last Minute</v>
      </c>
      <c r="K909" s="9">
        <v>5293.0</v>
      </c>
    </row>
    <row r="910" ht="15.75" customHeight="1">
      <c r="A910" s="5" t="s">
        <v>2627</v>
      </c>
      <c r="B910" s="5" t="s">
        <v>1998</v>
      </c>
      <c r="C910" s="5" t="s">
        <v>640</v>
      </c>
      <c r="D910" s="5" t="s">
        <v>43</v>
      </c>
      <c r="E910" s="5" t="s">
        <v>68</v>
      </c>
      <c r="F910" s="5" t="s">
        <v>34</v>
      </c>
      <c r="G910" s="6" t="s">
        <v>66</v>
      </c>
      <c r="H910" s="5">
        <v>7.08</v>
      </c>
      <c r="I910" s="5">
        <v>4.0</v>
      </c>
      <c r="J910" s="5" t="str">
        <f t="shared" si="1"/>
        <v>Last Minute</v>
      </c>
      <c r="K910" s="9">
        <v>8034.0</v>
      </c>
    </row>
    <row r="911" ht="15.75" customHeight="1">
      <c r="A911" s="5" t="s">
        <v>2629</v>
      </c>
      <c r="B911" s="5" t="s">
        <v>2066</v>
      </c>
      <c r="C911" s="5" t="s">
        <v>640</v>
      </c>
      <c r="D911" s="5" t="s">
        <v>45</v>
      </c>
      <c r="E911" s="5" t="s">
        <v>49</v>
      </c>
      <c r="F911" s="5" t="s">
        <v>53</v>
      </c>
      <c r="G911" s="6" t="s">
        <v>66</v>
      </c>
      <c r="H911" s="5">
        <v>9.33</v>
      </c>
      <c r="I911" s="5">
        <v>32.0</v>
      </c>
      <c r="J911" s="5" t="str">
        <f t="shared" si="1"/>
        <v>Advance</v>
      </c>
      <c r="K911" s="9">
        <v>51707.0</v>
      </c>
    </row>
    <row r="912" ht="15.75" customHeight="1">
      <c r="A912" s="5" t="s">
        <v>2630</v>
      </c>
      <c r="B912" s="5" t="s">
        <v>2063</v>
      </c>
      <c r="C912" s="5" t="s">
        <v>640</v>
      </c>
      <c r="D912" s="5" t="s">
        <v>72</v>
      </c>
      <c r="E912" s="5" t="s">
        <v>266</v>
      </c>
      <c r="F912" s="5" t="s">
        <v>34</v>
      </c>
      <c r="G912" s="6" t="s">
        <v>37</v>
      </c>
      <c r="H912" s="5">
        <v>1.75</v>
      </c>
      <c r="I912" s="5">
        <v>7.0</v>
      </c>
      <c r="J912" s="5" t="str">
        <f t="shared" si="1"/>
        <v>Last Minute</v>
      </c>
      <c r="K912" s="9">
        <v>7336.0</v>
      </c>
    </row>
    <row r="913" ht="15.75" customHeight="1">
      <c r="A913" s="5" t="s">
        <v>2631</v>
      </c>
      <c r="B913" s="5" t="s">
        <v>1960</v>
      </c>
      <c r="C913" s="5" t="s">
        <v>640</v>
      </c>
      <c r="D913" s="5" t="s">
        <v>45</v>
      </c>
      <c r="E913" s="5" t="s">
        <v>49</v>
      </c>
      <c r="F913" s="5" t="s">
        <v>34</v>
      </c>
      <c r="G913" s="6" t="s">
        <v>66</v>
      </c>
      <c r="H913" s="5">
        <v>12.67</v>
      </c>
      <c r="I913" s="5">
        <v>17.0</v>
      </c>
      <c r="J913" s="5" t="str">
        <f t="shared" si="1"/>
        <v>Moderate</v>
      </c>
      <c r="K913" s="9">
        <v>5706.0</v>
      </c>
    </row>
    <row r="914" ht="15.75" customHeight="1">
      <c r="A914" s="5" t="s">
        <v>2633</v>
      </c>
      <c r="B914" s="5" t="s">
        <v>1968</v>
      </c>
      <c r="C914" s="5" t="s">
        <v>640</v>
      </c>
      <c r="D914" s="5" t="s">
        <v>43</v>
      </c>
      <c r="E914" s="5" t="s">
        <v>68</v>
      </c>
      <c r="F914" s="5" t="s">
        <v>34</v>
      </c>
      <c r="G914" s="6" t="s">
        <v>66</v>
      </c>
      <c r="H914" s="5">
        <v>7.83</v>
      </c>
      <c r="I914" s="5">
        <v>7.0</v>
      </c>
      <c r="J914" s="5" t="str">
        <f t="shared" si="1"/>
        <v>Last Minute</v>
      </c>
      <c r="K914" s="9">
        <v>8034.0</v>
      </c>
    </row>
    <row r="915" ht="15.75" customHeight="1">
      <c r="A915" s="5" t="s">
        <v>2634</v>
      </c>
      <c r="B915" s="5" t="s">
        <v>1982</v>
      </c>
      <c r="C915" s="5" t="s">
        <v>640</v>
      </c>
      <c r="D915" s="5" t="s">
        <v>45</v>
      </c>
      <c r="E915" s="5" t="s">
        <v>49</v>
      </c>
      <c r="F915" s="5" t="s">
        <v>34</v>
      </c>
      <c r="G915" s="6" t="s">
        <v>66</v>
      </c>
      <c r="H915" s="5">
        <v>30.25</v>
      </c>
      <c r="I915" s="5">
        <v>8.0</v>
      </c>
      <c r="J915" s="5" t="str">
        <f t="shared" si="1"/>
        <v>Short Notice</v>
      </c>
      <c r="K915" s="9">
        <v>12740.0</v>
      </c>
    </row>
    <row r="916" ht="15.75" customHeight="1">
      <c r="A916" s="5" t="s">
        <v>2635</v>
      </c>
      <c r="B916" s="5" t="s">
        <v>2008</v>
      </c>
      <c r="C916" s="5" t="s">
        <v>640</v>
      </c>
      <c r="D916" s="5" t="s">
        <v>43</v>
      </c>
      <c r="E916" s="5" t="s">
        <v>68</v>
      </c>
      <c r="F916" s="5" t="s">
        <v>34</v>
      </c>
      <c r="G916" s="6" t="s">
        <v>66</v>
      </c>
      <c r="H916" s="5">
        <v>9.0</v>
      </c>
      <c r="I916" s="5">
        <v>9.0</v>
      </c>
      <c r="J916" s="5" t="str">
        <f t="shared" si="1"/>
        <v>Short Notice</v>
      </c>
      <c r="K916" s="9">
        <v>14428.0</v>
      </c>
    </row>
    <row r="917" ht="15.75" customHeight="1">
      <c r="A917" s="5" t="s">
        <v>2637</v>
      </c>
      <c r="B917" s="5" t="s">
        <v>2036</v>
      </c>
      <c r="C917" s="5" t="s">
        <v>640</v>
      </c>
      <c r="D917" s="5" t="s">
        <v>20</v>
      </c>
      <c r="E917" s="5" t="s">
        <v>52</v>
      </c>
      <c r="F917" s="5" t="s">
        <v>53</v>
      </c>
      <c r="G917" s="6" t="s">
        <v>66</v>
      </c>
      <c r="H917" s="5">
        <v>26.75</v>
      </c>
      <c r="I917" s="5">
        <v>43.0</v>
      </c>
      <c r="J917" s="5" t="str">
        <f t="shared" si="1"/>
        <v>Advance</v>
      </c>
      <c r="K917" s="9">
        <v>51819.0</v>
      </c>
    </row>
    <row r="918" ht="15.75" customHeight="1">
      <c r="A918" s="5" t="s">
        <v>2639</v>
      </c>
      <c r="B918" s="5" t="s">
        <v>2023</v>
      </c>
      <c r="C918" s="5" t="s">
        <v>640</v>
      </c>
      <c r="D918" s="5" t="s">
        <v>58</v>
      </c>
      <c r="E918" s="5" t="s">
        <v>59</v>
      </c>
      <c r="F918" s="5" t="s">
        <v>34</v>
      </c>
      <c r="G918" s="6" t="s">
        <v>66</v>
      </c>
      <c r="H918" s="5">
        <v>9.67</v>
      </c>
      <c r="I918" s="5">
        <v>42.0</v>
      </c>
      <c r="J918" s="5" t="str">
        <f t="shared" si="1"/>
        <v>Advance</v>
      </c>
      <c r="K918" s="9">
        <v>5754.0</v>
      </c>
    </row>
    <row r="919" ht="15.75" customHeight="1">
      <c r="A919" s="5" t="s">
        <v>2641</v>
      </c>
      <c r="B919" s="5" t="s">
        <v>2038</v>
      </c>
      <c r="C919" s="5" t="s">
        <v>640</v>
      </c>
      <c r="D919" s="5" t="s">
        <v>45</v>
      </c>
      <c r="E919" s="5" t="s">
        <v>49</v>
      </c>
      <c r="F919" s="5" t="s">
        <v>34</v>
      </c>
      <c r="G919" s="6">
        <v>1.0</v>
      </c>
      <c r="H919" s="5">
        <v>24.42</v>
      </c>
      <c r="I919" s="5">
        <v>40.0</v>
      </c>
      <c r="J919" s="5" t="str">
        <f t="shared" si="1"/>
        <v>Advance</v>
      </c>
      <c r="K919" s="9">
        <v>5100.0</v>
      </c>
    </row>
    <row r="920" ht="15.75" customHeight="1">
      <c r="A920" s="5" t="s">
        <v>2643</v>
      </c>
      <c r="B920" s="5" t="s">
        <v>2059</v>
      </c>
      <c r="C920" s="5" t="s">
        <v>640</v>
      </c>
      <c r="D920" s="5" t="s">
        <v>43</v>
      </c>
      <c r="E920" s="5" t="s">
        <v>68</v>
      </c>
      <c r="F920" s="5" t="s">
        <v>34</v>
      </c>
      <c r="G920" s="6" t="s">
        <v>180</v>
      </c>
      <c r="H920" s="5">
        <v>6.67</v>
      </c>
      <c r="I920" s="5">
        <v>40.0</v>
      </c>
      <c r="J920" s="5" t="str">
        <f t="shared" si="1"/>
        <v>Advance</v>
      </c>
      <c r="K920" s="9">
        <v>2109.0</v>
      </c>
    </row>
    <row r="921" ht="15.75" customHeight="1">
      <c r="A921" s="5" t="s">
        <v>2645</v>
      </c>
      <c r="B921" s="5" t="s">
        <v>2006</v>
      </c>
      <c r="C921" s="5" t="s">
        <v>640</v>
      </c>
      <c r="D921" s="5" t="s">
        <v>45</v>
      </c>
      <c r="E921" s="5" t="s">
        <v>49</v>
      </c>
      <c r="F921" s="5" t="s">
        <v>34</v>
      </c>
      <c r="G921" s="6" t="s">
        <v>66</v>
      </c>
      <c r="H921" s="5">
        <v>28.75</v>
      </c>
      <c r="I921" s="5">
        <v>27.0</v>
      </c>
      <c r="J921" s="5" t="str">
        <f t="shared" si="1"/>
        <v>Moderate</v>
      </c>
      <c r="K921" s="9">
        <v>7336.0</v>
      </c>
    </row>
    <row r="922" ht="15.75" customHeight="1">
      <c r="A922" s="5" t="s">
        <v>2647</v>
      </c>
      <c r="B922" s="5" t="s">
        <v>2047</v>
      </c>
      <c r="C922" s="5" t="s">
        <v>640</v>
      </c>
      <c r="D922" s="5" t="s">
        <v>20</v>
      </c>
      <c r="E922" s="5" t="s">
        <v>52</v>
      </c>
      <c r="F922" s="5" t="s">
        <v>53</v>
      </c>
      <c r="G922" s="6" t="s">
        <v>66</v>
      </c>
      <c r="H922" s="5">
        <v>28.0</v>
      </c>
      <c r="I922" s="5">
        <v>44.0</v>
      </c>
      <c r="J922" s="5" t="str">
        <f t="shared" si="1"/>
        <v>Advance</v>
      </c>
      <c r="K922" s="9">
        <v>48851.0</v>
      </c>
    </row>
    <row r="923" ht="15.75" customHeight="1">
      <c r="A923" s="5" t="s">
        <v>2648</v>
      </c>
      <c r="B923" s="5" t="s">
        <v>2051</v>
      </c>
      <c r="C923" s="5" t="s">
        <v>640</v>
      </c>
      <c r="D923" s="5" t="s">
        <v>45</v>
      </c>
      <c r="E923" s="5" t="s">
        <v>49</v>
      </c>
      <c r="F923" s="5" t="s">
        <v>34</v>
      </c>
      <c r="G923" s="6" t="s">
        <v>66</v>
      </c>
      <c r="H923" s="5">
        <v>16.67</v>
      </c>
      <c r="I923" s="5">
        <v>46.0</v>
      </c>
      <c r="J923" s="5" t="str">
        <f t="shared" si="1"/>
        <v>Advance</v>
      </c>
      <c r="K923" s="9">
        <v>4122.0</v>
      </c>
    </row>
    <row r="924" ht="15.75" customHeight="1">
      <c r="A924" s="5" t="s">
        <v>2650</v>
      </c>
      <c r="B924" s="5" t="s">
        <v>2004</v>
      </c>
      <c r="C924" s="5" t="s">
        <v>640</v>
      </c>
      <c r="D924" s="5" t="s">
        <v>45</v>
      </c>
      <c r="E924" s="5" t="s">
        <v>49</v>
      </c>
      <c r="F924" s="5" t="s">
        <v>34</v>
      </c>
      <c r="G924" s="6" t="s">
        <v>66</v>
      </c>
      <c r="H924" s="5">
        <v>8.83</v>
      </c>
      <c r="I924" s="5">
        <v>45.0</v>
      </c>
      <c r="J924" s="5" t="str">
        <f t="shared" si="1"/>
        <v>Advance</v>
      </c>
      <c r="K924" s="9">
        <v>6312.0</v>
      </c>
    </row>
    <row r="925" ht="15.75" customHeight="1">
      <c r="A925" s="5" t="s">
        <v>2651</v>
      </c>
      <c r="B925" s="5" t="s">
        <v>1977</v>
      </c>
      <c r="C925" s="5" t="s">
        <v>640</v>
      </c>
      <c r="D925" s="5" t="s">
        <v>20</v>
      </c>
      <c r="E925" s="5" t="s">
        <v>52</v>
      </c>
      <c r="F925" s="5" t="s">
        <v>34</v>
      </c>
      <c r="G925" s="6" t="s">
        <v>180</v>
      </c>
      <c r="H925" s="5">
        <v>22.42</v>
      </c>
      <c r="I925" s="5">
        <v>47.0</v>
      </c>
      <c r="J925" s="5" t="str">
        <f t="shared" si="1"/>
        <v>Advance</v>
      </c>
      <c r="K925" s="9">
        <v>7692.0</v>
      </c>
    </row>
    <row r="926" ht="15.75" customHeight="1">
      <c r="A926" s="5" t="s">
        <v>2652</v>
      </c>
      <c r="B926" s="5" t="s">
        <v>2045</v>
      </c>
      <c r="C926" s="5" t="s">
        <v>640</v>
      </c>
      <c r="D926" s="5" t="s">
        <v>43</v>
      </c>
      <c r="E926" s="5" t="s">
        <v>68</v>
      </c>
      <c r="F926" s="5" t="s">
        <v>34</v>
      </c>
      <c r="G926" s="6" t="s">
        <v>37</v>
      </c>
      <c r="H926" s="5">
        <v>2.25</v>
      </c>
      <c r="I926" s="5">
        <v>46.0</v>
      </c>
      <c r="J926" s="5" t="str">
        <f t="shared" si="1"/>
        <v>Advance</v>
      </c>
      <c r="K926" s="9">
        <v>2815.0</v>
      </c>
    </row>
    <row r="927" ht="15.75" customHeight="1">
      <c r="A927" s="5" t="s">
        <v>2654</v>
      </c>
      <c r="B927" s="5" t="s">
        <v>2012</v>
      </c>
      <c r="C927" s="5" t="s">
        <v>640</v>
      </c>
      <c r="D927" s="5" t="s">
        <v>43</v>
      </c>
      <c r="E927" s="5" t="s">
        <v>68</v>
      </c>
      <c r="F927" s="5" t="s">
        <v>34</v>
      </c>
      <c r="G927" s="6" t="s">
        <v>66</v>
      </c>
      <c r="H927" s="5">
        <v>8.0</v>
      </c>
      <c r="I927" s="5">
        <v>47.0</v>
      </c>
      <c r="J927" s="5" t="str">
        <f t="shared" si="1"/>
        <v>Advance</v>
      </c>
      <c r="K927" s="9">
        <v>7336.0</v>
      </c>
    </row>
    <row r="928" ht="15.75" customHeight="1">
      <c r="A928" s="5" t="s">
        <v>2656</v>
      </c>
      <c r="B928" s="5" t="s">
        <v>1991</v>
      </c>
      <c r="C928" s="5" t="s">
        <v>640</v>
      </c>
      <c r="D928" s="5" t="s">
        <v>45</v>
      </c>
      <c r="E928" s="5" t="s">
        <v>49</v>
      </c>
      <c r="F928" s="5" t="s">
        <v>34</v>
      </c>
      <c r="G928" s="6" t="s">
        <v>66</v>
      </c>
      <c r="H928" s="5">
        <v>32.83</v>
      </c>
      <c r="I928" s="5">
        <v>46.0</v>
      </c>
      <c r="J928" s="5" t="str">
        <f t="shared" si="1"/>
        <v>Advance</v>
      </c>
      <c r="K928" s="9">
        <v>6312.0</v>
      </c>
    </row>
    <row r="929" ht="15.75" customHeight="1">
      <c r="A929" s="5" t="s">
        <v>2658</v>
      </c>
      <c r="B929" s="5" t="s">
        <v>2021</v>
      </c>
      <c r="C929" s="5" t="s">
        <v>640</v>
      </c>
      <c r="D929" s="5" t="s">
        <v>45</v>
      </c>
      <c r="E929" s="5" t="s">
        <v>49</v>
      </c>
      <c r="F929" s="5" t="s">
        <v>34</v>
      </c>
      <c r="G929" s="6" t="s">
        <v>66</v>
      </c>
      <c r="H929" s="5">
        <v>28.75</v>
      </c>
      <c r="I929" s="5">
        <v>49.0</v>
      </c>
      <c r="J929" s="5" t="str">
        <f t="shared" si="1"/>
        <v>Advance</v>
      </c>
      <c r="K929" s="9">
        <v>4789.0</v>
      </c>
    </row>
    <row r="930" ht="15.75" customHeight="1">
      <c r="A930" s="5" t="s">
        <v>2660</v>
      </c>
      <c r="B930" s="5" t="s">
        <v>2069</v>
      </c>
      <c r="C930" s="5" t="s">
        <v>671</v>
      </c>
      <c r="D930" s="5" t="s">
        <v>20</v>
      </c>
      <c r="E930" s="5" t="s">
        <v>52</v>
      </c>
      <c r="F930" s="5" t="s">
        <v>34</v>
      </c>
      <c r="G930" s="6" t="s">
        <v>66</v>
      </c>
      <c r="H930" s="5">
        <v>26.92</v>
      </c>
      <c r="I930" s="5">
        <v>24.0</v>
      </c>
      <c r="J930" s="5" t="str">
        <f t="shared" si="1"/>
        <v>Moderate</v>
      </c>
      <c r="K930" s="9">
        <v>7336.0</v>
      </c>
    </row>
    <row r="931" ht="15.75" customHeight="1">
      <c r="A931" s="5" t="s">
        <v>2662</v>
      </c>
      <c r="B931" s="5" t="s">
        <v>2096</v>
      </c>
      <c r="C931" s="5" t="s">
        <v>671</v>
      </c>
      <c r="D931" s="5" t="s">
        <v>45</v>
      </c>
      <c r="E931" s="5" t="s">
        <v>49</v>
      </c>
      <c r="F931" s="5" t="s">
        <v>34</v>
      </c>
      <c r="G931" s="6" t="s">
        <v>66</v>
      </c>
      <c r="H931" s="5">
        <v>15.83</v>
      </c>
      <c r="I931" s="5">
        <v>40.0</v>
      </c>
      <c r="J931" s="5" t="str">
        <f t="shared" si="1"/>
        <v>Advance</v>
      </c>
      <c r="K931" s="9">
        <v>4229.0</v>
      </c>
    </row>
    <row r="932" ht="15.75" customHeight="1">
      <c r="A932" s="5" t="s">
        <v>2663</v>
      </c>
      <c r="B932" s="5" t="s">
        <v>2152</v>
      </c>
      <c r="C932" s="5" t="s">
        <v>671</v>
      </c>
      <c r="D932" s="5" t="s">
        <v>45</v>
      </c>
      <c r="E932" s="5" t="s">
        <v>49</v>
      </c>
      <c r="F932" s="5" t="s">
        <v>34</v>
      </c>
      <c r="G932" s="6" t="s">
        <v>66</v>
      </c>
      <c r="H932" s="5">
        <v>24.5</v>
      </c>
      <c r="I932" s="5">
        <v>1.0</v>
      </c>
      <c r="J932" s="5" t="str">
        <f t="shared" si="1"/>
        <v>Last Minute</v>
      </c>
      <c r="K932" s="9">
        <v>29128.0</v>
      </c>
    </row>
    <row r="933" ht="15.75" customHeight="1">
      <c r="A933" s="5" t="s">
        <v>2664</v>
      </c>
      <c r="B933" s="5" t="s">
        <v>2122</v>
      </c>
      <c r="C933" s="5" t="s">
        <v>671</v>
      </c>
      <c r="D933" s="5" t="s">
        <v>45</v>
      </c>
      <c r="E933" s="5" t="s">
        <v>49</v>
      </c>
      <c r="F933" s="5" t="s">
        <v>34</v>
      </c>
      <c r="G933" s="6" t="s">
        <v>37</v>
      </c>
      <c r="H933" s="5">
        <v>1.5</v>
      </c>
      <c r="I933" s="5">
        <v>29.0</v>
      </c>
      <c r="J933" s="5" t="str">
        <f t="shared" si="1"/>
        <v>Moderate</v>
      </c>
      <c r="K933" s="9">
        <v>1776.0</v>
      </c>
    </row>
    <row r="934" ht="15.75" customHeight="1">
      <c r="A934" s="5" t="s">
        <v>2665</v>
      </c>
      <c r="B934" s="5" t="s">
        <v>2102</v>
      </c>
      <c r="C934" s="5" t="s">
        <v>671</v>
      </c>
      <c r="D934" s="5" t="s">
        <v>43</v>
      </c>
      <c r="E934" s="5" t="s">
        <v>68</v>
      </c>
      <c r="F934" s="5" t="s">
        <v>34</v>
      </c>
      <c r="G934" s="6" t="s">
        <v>66</v>
      </c>
      <c r="H934" s="5">
        <v>10.0</v>
      </c>
      <c r="I934" s="5">
        <v>36.0</v>
      </c>
      <c r="J934" s="5" t="str">
        <f t="shared" si="1"/>
        <v>Advance</v>
      </c>
      <c r="K934" s="9">
        <v>2874.0</v>
      </c>
    </row>
    <row r="935" ht="15.75" customHeight="1">
      <c r="A935" s="5" t="s">
        <v>2666</v>
      </c>
      <c r="B935" s="5" t="s">
        <v>2105</v>
      </c>
      <c r="C935" s="5" t="s">
        <v>671</v>
      </c>
      <c r="D935" s="5" t="s">
        <v>43</v>
      </c>
      <c r="E935" s="5" t="s">
        <v>68</v>
      </c>
      <c r="F935" s="5" t="s">
        <v>34</v>
      </c>
      <c r="G935" s="6" t="s">
        <v>66</v>
      </c>
      <c r="H935" s="5">
        <v>6.0</v>
      </c>
      <c r="I935" s="5">
        <v>2.0</v>
      </c>
      <c r="J935" s="5" t="str">
        <f t="shared" si="1"/>
        <v>Last Minute</v>
      </c>
      <c r="K935" s="9">
        <v>12118.0</v>
      </c>
    </row>
    <row r="936" ht="15.75" customHeight="1">
      <c r="A936" s="5" t="s">
        <v>2667</v>
      </c>
      <c r="B936" s="5" t="s">
        <v>2109</v>
      </c>
      <c r="C936" s="5" t="s">
        <v>671</v>
      </c>
      <c r="D936" s="5" t="s">
        <v>45</v>
      </c>
      <c r="E936" s="5" t="s">
        <v>49</v>
      </c>
      <c r="F936" s="5" t="s">
        <v>34</v>
      </c>
      <c r="G936" s="6" t="s">
        <v>180</v>
      </c>
      <c r="H936" s="5">
        <v>22.17</v>
      </c>
      <c r="I936" s="5">
        <v>3.0</v>
      </c>
      <c r="J936" s="5" t="str">
        <f t="shared" si="1"/>
        <v>Last Minute</v>
      </c>
      <c r="K936" s="9">
        <v>15368.0</v>
      </c>
    </row>
    <row r="937" ht="15.75" customHeight="1">
      <c r="A937" s="5" t="s">
        <v>2668</v>
      </c>
      <c r="B937" s="5" t="s">
        <v>2094</v>
      </c>
      <c r="C937" s="5" t="s">
        <v>671</v>
      </c>
      <c r="D937" s="5" t="s">
        <v>20</v>
      </c>
      <c r="E937" s="5" t="s">
        <v>52</v>
      </c>
      <c r="F937" s="5" t="s">
        <v>34</v>
      </c>
      <c r="G937" s="6" t="s">
        <v>66</v>
      </c>
      <c r="H937" s="5">
        <v>23.67</v>
      </c>
      <c r="I937" s="5">
        <v>34.0</v>
      </c>
      <c r="J937" s="5" t="str">
        <f t="shared" si="1"/>
        <v>Advance</v>
      </c>
      <c r="K937" s="9">
        <v>7336.0</v>
      </c>
    </row>
    <row r="938" ht="15.75" customHeight="1">
      <c r="A938" s="5" t="s">
        <v>2670</v>
      </c>
      <c r="B938" s="5" t="s">
        <v>2143</v>
      </c>
      <c r="C938" s="5" t="s">
        <v>671</v>
      </c>
      <c r="D938" s="5" t="s">
        <v>72</v>
      </c>
      <c r="E938" s="5" t="s">
        <v>266</v>
      </c>
      <c r="F938" s="5" t="s">
        <v>34</v>
      </c>
      <c r="G938" s="6" t="s">
        <v>37</v>
      </c>
      <c r="H938" s="5">
        <v>1.25</v>
      </c>
      <c r="I938" s="5">
        <v>38.0</v>
      </c>
      <c r="J938" s="5" t="str">
        <f t="shared" si="1"/>
        <v>Advance</v>
      </c>
      <c r="K938" s="9">
        <v>1566.0</v>
      </c>
    </row>
    <row r="939" ht="15.75" customHeight="1">
      <c r="A939" s="5" t="s">
        <v>2672</v>
      </c>
      <c r="B939" s="5" t="s">
        <v>2142</v>
      </c>
      <c r="C939" s="5" t="s">
        <v>671</v>
      </c>
      <c r="D939" s="5" t="s">
        <v>20</v>
      </c>
      <c r="E939" s="5" t="s">
        <v>52</v>
      </c>
      <c r="F939" s="5" t="s">
        <v>34</v>
      </c>
      <c r="G939" s="6" t="s">
        <v>66</v>
      </c>
      <c r="H939" s="5">
        <v>23.58</v>
      </c>
      <c r="I939" s="5">
        <v>37.0</v>
      </c>
      <c r="J939" s="5" t="str">
        <f t="shared" si="1"/>
        <v>Advance</v>
      </c>
      <c r="K939" s="9">
        <v>4324.0</v>
      </c>
    </row>
    <row r="940" ht="15.75" customHeight="1">
      <c r="A940" s="5" t="s">
        <v>2674</v>
      </c>
      <c r="B940" s="5" t="s">
        <v>2083</v>
      </c>
      <c r="C940" s="5" t="s">
        <v>671</v>
      </c>
      <c r="D940" s="5" t="s">
        <v>45</v>
      </c>
      <c r="E940" s="5" t="s">
        <v>49</v>
      </c>
      <c r="F940" s="5" t="s">
        <v>34</v>
      </c>
      <c r="G940" s="6" t="s">
        <v>180</v>
      </c>
      <c r="H940" s="5">
        <v>14.5</v>
      </c>
      <c r="I940" s="5">
        <v>3.0</v>
      </c>
      <c r="J940" s="5" t="str">
        <f t="shared" si="1"/>
        <v>Last Minute</v>
      </c>
      <c r="K940" s="9">
        <v>16843.0</v>
      </c>
    </row>
    <row r="941" ht="15.75" customHeight="1">
      <c r="A941" s="5" t="s">
        <v>2675</v>
      </c>
      <c r="B941" s="5" t="s">
        <v>2150</v>
      </c>
      <c r="C941" s="5" t="s">
        <v>671</v>
      </c>
      <c r="D941" s="5" t="s">
        <v>45</v>
      </c>
      <c r="E941" s="5" t="s">
        <v>49</v>
      </c>
      <c r="F941" s="5" t="s">
        <v>34</v>
      </c>
      <c r="G941" s="6" t="s">
        <v>66</v>
      </c>
      <c r="H941" s="5">
        <v>7.67</v>
      </c>
      <c r="I941" s="5">
        <v>43.0</v>
      </c>
      <c r="J941" s="5" t="str">
        <f t="shared" si="1"/>
        <v>Advance</v>
      </c>
      <c r="K941" s="9">
        <v>4229.0</v>
      </c>
    </row>
    <row r="942" ht="15.75" customHeight="1">
      <c r="A942" s="5" t="s">
        <v>2676</v>
      </c>
      <c r="B942" s="5" t="s">
        <v>2172</v>
      </c>
      <c r="C942" s="5" t="s">
        <v>671</v>
      </c>
      <c r="D942" s="5" t="s">
        <v>20</v>
      </c>
      <c r="E942" s="5" t="s">
        <v>52</v>
      </c>
      <c r="F942" s="5" t="s">
        <v>53</v>
      </c>
      <c r="G942" s="6" t="s">
        <v>66</v>
      </c>
      <c r="H942" s="5">
        <v>6.0</v>
      </c>
      <c r="I942" s="5">
        <v>34.0</v>
      </c>
      <c r="J942" s="5" t="str">
        <f t="shared" si="1"/>
        <v>Advance</v>
      </c>
      <c r="K942" s="9">
        <v>51707.0</v>
      </c>
    </row>
    <row r="943" ht="15.75" customHeight="1">
      <c r="A943" s="5" t="s">
        <v>2677</v>
      </c>
      <c r="B943" s="5" t="s">
        <v>2124</v>
      </c>
      <c r="C943" s="5" t="s">
        <v>671</v>
      </c>
      <c r="D943" s="5" t="s">
        <v>43</v>
      </c>
      <c r="E943" s="5" t="s">
        <v>68</v>
      </c>
      <c r="F943" s="5" t="s">
        <v>34</v>
      </c>
      <c r="G943" s="6" t="s">
        <v>66</v>
      </c>
      <c r="H943" s="5">
        <v>3.25</v>
      </c>
      <c r="I943" s="5">
        <v>39.0</v>
      </c>
      <c r="J943" s="5" t="str">
        <f t="shared" si="1"/>
        <v>Advance</v>
      </c>
      <c r="K943" s="9">
        <v>1543.0</v>
      </c>
    </row>
    <row r="944" ht="15.75" customHeight="1">
      <c r="A944" s="5" t="s">
        <v>2678</v>
      </c>
      <c r="B944" s="5" t="s">
        <v>2114</v>
      </c>
      <c r="C944" s="5" t="s">
        <v>671</v>
      </c>
      <c r="D944" s="5" t="s">
        <v>20</v>
      </c>
      <c r="E944" s="5" t="s">
        <v>52</v>
      </c>
      <c r="F944" s="5" t="s">
        <v>34</v>
      </c>
      <c r="G944" s="6" t="s">
        <v>66</v>
      </c>
      <c r="H944" s="5">
        <v>19.92</v>
      </c>
      <c r="I944" s="5">
        <v>45.0</v>
      </c>
      <c r="J944" s="5" t="str">
        <f t="shared" si="1"/>
        <v>Advance</v>
      </c>
      <c r="K944" s="9">
        <v>7336.0</v>
      </c>
    </row>
    <row r="945" ht="15.75" customHeight="1">
      <c r="A945" s="5" t="s">
        <v>2679</v>
      </c>
      <c r="B945" s="5" t="s">
        <v>2072</v>
      </c>
      <c r="C945" s="5" t="s">
        <v>671</v>
      </c>
      <c r="D945" s="5" t="s">
        <v>20</v>
      </c>
      <c r="E945" s="5" t="s">
        <v>52</v>
      </c>
      <c r="F945" s="5" t="s">
        <v>34</v>
      </c>
      <c r="G945" s="6" t="s">
        <v>66</v>
      </c>
      <c r="H945" s="5">
        <v>7.0</v>
      </c>
      <c r="I945" s="5">
        <v>45.0</v>
      </c>
      <c r="J945" s="5" t="str">
        <f t="shared" si="1"/>
        <v>Advance</v>
      </c>
      <c r="K945" s="9">
        <v>6287.0</v>
      </c>
    </row>
    <row r="946" ht="15.75" customHeight="1">
      <c r="A946" s="5" t="s">
        <v>2680</v>
      </c>
      <c r="B946" s="5" t="s">
        <v>2121</v>
      </c>
      <c r="C946" s="5" t="s">
        <v>671</v>
      </c>
      <c r="D946" s="5" t="s">
        <v>20</v>
      </c>
      <c r="E946" s="5" t="s">
        <v>52</v>
      </c>
      <c r="F946" s="5" t="s">
        <v>34</v>
      </c>
      <c r="G946" s="6" t="s">
        <v>66</v>
      </c>
      <c r="H946" s="5">
        <v>9.58</v>
      </c>
      <c r="I946" s="5">
        <v>43.0</v>
      </c>
      <c r="J946" s="5" t="str">
        <f t="shared" si="1"/>
        <v>Advance</v>
      </c>
      <c r="K946" s="9">
        <v>7302.0</v>
      </c>
    </row>
    <row r="947" ht="15.75" customHeight="1">
      <c r="A947" s="5" t="s">
        <v>2681</v>
      </c>
      <c r="B947" s="5" t="s">
        <v>2119</v>
      </c>
      <c r="C947" s="5" t="s">
        <v>671</v>
      </c>
      <c r="D947" s="5" t="s">
        <v>20</v>
      </c>
      <c r="E947" s="5" t="s">
        <v>52</v>
      </c>
      <c r="F947" s="5" t="s">
        <v>53</v>
      </c>
      <c r="G947" s="6" t="s">
        <v>66</v>
      </c>
      <c r="H947" s="5">
        <v>14.58</v>
      </c>
      <c r="I947" s="5">
        <v>5.0</v>
      </c>
      <c r="J947" s="5" t="str">
        <f t="shared" si="1"/>
        <v>Last Minute</v>
      </c>
      <c r="K947" s="9">
        <v>45189.0</v>
      </c>
    </row>
    <row r="948" ht="15.75" customHeight="1">
      <c r="A948" s="5" t="s">
        <v>2682</v>
      </c>
      <c r="B948" s="5" t="s">
        <v>2146</v>
      </c>
      <c r="C948" s="5" t="s">
        <v>671</v>
      </c>
      <c r="D948" s="5" t="s">
        <v>20</v>
      </c>
      <c r="E948" s="5" t="s">
        <v>52</v>
      </c>
      <c r="F948" s="5" t="s">
        <v>34</v>
      </c>
      <c r="G948" s="6" t="s">
        <v>180</v>
      </c>
      <c r="H948" s="5">
        <v>14.33</v>
      </c>
      <c r="I948" s="5">
        <v>14.0</v>
      </c>
      <c r="J948" s="5" t="str">
        <f t="shared" si="1"/>
        <v>Short Notice</v>
      </c>
      <c r="K948" s="9">
        <v>13240.0</v>
      </c>
    </row>
    <row r="949" ht="15.75" customHeight="1">
      <c r="A949" s="5" t="s">
        <v>2683</v>
      </c>
      <c r="B949" s="5" t="s">
        <v>2086</v>
      </c>
      <c r="C949" s="5" t="s">
        <v>671</v>
      </c>
      <c r="D949" s="5" t="s">
        <v>45</v>
      </c>
      <c r="E949" s="5" t="s">
        <v>49</v>
      </c>
      <c r="F949" s="5" t="s">
        <v>34</v>
      </c>
      <c r="G949" s="6" t="s">
        <v>66</v>
      </c>
      <c r="H949" s="5">
        <v>12.5</v>
      </c>
      <c r="I949" s="5">
        <v>14.0</v>
      </c>
      <c r="J949" s="5" t="str">
        <f t="shared" si="1"/>
        <v>Short Notice</v>
      </c>
      <c r="K949" s="9">
        <v>14008.0</v>
      </c>
    </row>
    <row r="950" ht="15.75" customHeight="1">
      <c r="A950" s="5" t="s">
        <v>2684</v>
      </c>
      <c r="B950" s="5" t="s">
        <v>2170</v>
      </c>
      <c r="C950" s="5" t="s">
        <v>671</v>
      </c>
      <c r="D950" s="5" t="s">
        <v>43</v>
      </c>
      <c r="E950" s="5" t="s">
        <v>68</v>
      </c>
      <c r="F950" s="5" t="s">
        <v>34</v>
      </c>
      <c r="G950" s="6" t="s">
        <v>66</v>
      </c>
      <c r="H950" s="5">
        <v>4.08</v>
      </c>
      <c r="I950" s="5">
        <v>44.0</v>
      </c>
      <c r="J950" s="5" t="str">
        <f t="shared" si="1"/>
        <v>Advance</v>
      </c>
      <c r="K950" s="9">
        <v>1543.0</v>
      </c>
    </row>
    <row r="951" ht="15.75" customHeight="1">
      <c r="A951" s="5" t="s">
        <v>2685</v>
      </c>
      <c r="B951" s="5" t="s">
        <v>2081</v>
      </c>
      <c r="C951" s="5" t="s">
        <v>671</v>
      </c>
      <c r="D951" s="5" t="s">
        <v>43</v>
      </c>
      <c r="E951" s="5" t="s">
        <v>68</v>
      </c>
      <c r="F951" s="5" t="s">
        <v>34</v>
      </c>
      <c r="G951" s="6" t="s">
        <v>66</v>
      </c>
      <c r="H951" s="5">
        <v>6.83</v>
      </c>
      <c r="I951" s="5">
        <v>16.0</v>
      </c>
      <c r="J951" s="5" t="str">
        <f t="shared" si="1"/>
        <v>Moderate</v>
      </c>
      <c r="K951" s="9">
        <v>3772.0</v>
      </c>
    </row>
    <row r="952" ht="15.75" customHeight="1">
      <c r="A952" s="5" t="s">
        <v>2686</v>
      </c>
      <c r="B952" s="5" t="s">
        <v>2165</v>
      </c>
      <c r="C952" s="5" t="s">
        <v>671</v>
      </c>
      <c r="D952" s="5" t="s">
        <v>43</v>
      </c>
      <c r="E952" s="5" t="s">
        <v>68</v>
      </c>
      <c r="F952" s="5" t="s">
        <v>34</v>
      </c>
      <c r="G952" s="6" t="s">
        <v>66</v>
      </c>
      <c r="H952" s="5">
        <v>7.5</v>
      </c>
      <c r="I952" s="5">
        <v>40.0</v>
      </c>
      <c r="J952" s="5" t="str">
        <f t="shared" si="1"/>
        <v>Advance</v>
      </c>
      <c r="K952" s="9">
        <v>1543.0</v>
      </c>
    </row>
    <row r="953" ht="15.75" customHeight="1">
      <c r="A953" s="5" t="s">
        <v>2687</v>
      </c>
      <c r="B953" s="5" t="s">
        <v>2074</v>
      </c>
      <c r="C953" s="5" t="s">
        <v>671</v>
      </c>
      <c r="D953" s="5" t="s">
        <v>43</v>
      </c>
      <c r="E953" s="5" t="s">
        <v>68</v>
      </c>
      <c r="F953" s="5" t="s">
        <v>34</v>
      </c>
      <c r="G953" s="6" t="s">
        <v>66</v>
      </c>
      <c r="H953" s="5">
        <v>6.5</v>
      </c>
      <c r="I953" s="5">
        <v>44.0</v>
      </c>
      <c r="J953" s="5" t="str">
        <f t="shared" si="1"/>
        <v>Advance</v>
      </c>
      <c r="K953" s="9">
        <v>3451.0</v>
      </c>
    </row>
    <row r="954" ht="15.75" customHeight="1">
      <c r="A954" s="5" t="s">
        <v>2688</v>
      </c>
      <c r="B954" s="5" t="s">
        <v>2127</v>
      </c>
      <c r="C954" s="5" t="s">
        <v>671</v>
      </c>
      <c r="D954" s="5" t="s">
        <v>45</v>
      </c>
      <c r="E954" s="5" t="s">
        <v>49</v>
      </c>
      <c r="F954" s="5" t="s">
        <v>34</v>
      </c>
      <c r="G954" s="6" t="s">
        <v>180</v>
      </c>
      <c r="H954" s="5">
        <v>14.83</v>
      </c>
      <c r="I954" s="5">
        <v>9.0</v>
      </c>
      <c r="J954" s="5" t="str">
        <f t="shared" si="1"/>
        <v>Short Notice</v>
      </c>
      <c r="K954" s="9">
        <v>20623.0</v>
      </c>
    </row>
    <row r="955" ht="15.75" customHeight="1">
      <c r="A955" s="5" t="s">
        <v>2689</v>
      </c>
      <c r="B955" s="5" t="s">
        <v>2130</v>
      </c>
      <c r="C955" s="5" t="s">
        <v>671</v>
      </c>
      <c r="D955" s="5" t="s">
        <v>43</v>
      </c>
      <c r="E955" s="5" t="s">
        <v>68</v>
      </c>
      <c r="F955" s="5" t="s">
        <v>34</v>
      </c>
      <c r="G955" s="6" t="s">
        <v>66</v>
      </c>
      <c r="H955" s="5">
        <v>8.33</v>
      </c>
      <c r="I955" s="5">
        <v>43.0</v>
      </c>
      <c r="J955" s="5" t="str">
        <f t="shared" si="1"/>
        <v>Advance</v>
      </c>
      <c r="K955" s="9">
        <v>1543.0</v>
      </c>
    </row>
    <row r="956" ht="15.75" customHeight="1">
      <c r="A956" s="5" t="s">
        <v>2690</v>
      </c>
      <c r="B956" s="5" t="s">
        <v>2076</v>
      </c>
      <c r="C956" s="5" t="s">
        <v>671</v>
      </c>
      <c r="D956" s="5" t="s">
        <v>45</v>
      </c>
      <c r="E956" s="5" t="s">
        <v>49</v>
      </c>
      <c r="F956" s="5" t="s">
        <v>34</v>
      </c>
      <c r="G956" s="6" t="s">
        <v>180</v>
      </c>
      <c r="H956" s="5">
        <v>26.25</v>
      </c>
      <c r="I956" s="5">
        <v>12.0</v>
      </c>
      <c r="J956" s="5" t="str">
        <f t="shared" si="1"/>
        <v>Short Notice</v>
      </c>
      <c r="K956" s="9">
        <v>7336.0</v>
      </c>
    </row>
    <row r="957" ht="15.75" customHeight="1">
      <c r="A957" s="5" t="s">
        <v>2691</v>
      </c>
      <c r="B957" s="5" t="s">
        <v>2128</v>
      </c>
      <c r="C957" s="5" t="s">
        <v>671</v>
      </c>
      <c r="D957" s="5" t="s">
        <v>45</v>
      </c>
      <c r="E957" s="5" t="s">
        <v>49</v>
      </c>
      <c r="F957" s="5" t="s">
        <v>34</v>
      </c>
      <c r="G957" s="6" t="s">
        <v>180</v>
      </c>
      <c r="H957" s="5">
        <v>23.58</v>
      </c>
      <c r="I957" s="5">
        <v>12.0</v>
      </c>
      <c r="J957" s="5" t="str">
        <f t="shared" si="1"/>
        <v>Short Notice</v>
      </c>
      <c r="K957" s="9">
        <v>13339.0</v>
      </c>
    </row>
    <row r="958" ht="15.75" customHeight="1">
      <c r="A958" s="5" t="s">
        <v>2692</v>
      </c>
      <c r="B958" s="5" t="s">
        <v>2157</v>
      </c>
      <c r="C958" s="5" t="s">
        <v>671</v>
      </c>
      <c r="D958" s="5" t="s">
        <v>20</v>
      </c>
      <c r="E958" s="5" t="s">
        <v>52</v>
      </c>
      <c r="F958" s="5" t="s">
        <v>34</v>
      </c>
      <c r="G958" s="6" t="s">
        <v>66</v>
      </c>
      <c r="H958" s="5">
        <v>16.25</v>
      </c>
      <c r="I958" s="5">
        <v>17.0</v>
      </c>
      <c r="J958" s="5" t="str">
        <f t="shared" si="1"/>
        <v>Moderate</v>
      </c>
      <c r="K958" s="9">
        <v>7617.0</v>
      </c>
    </row>
    <row r="959" ht="15.75" customHeight="1">
      <c r="A959" s="5" t="s">
        <v>2693</v>
      </c>
      <c r="B959" s="5" t="s">
        <v>2167</v>
      </c>
      <c r="C959" s="5" t="s">
        <v>671</v>
      </c>
      <c r="D959" s="5" t="s">
        <v>43</v>
      </c>
      <c r="E959" s="5" t="s">
        <v>68</v>
      </c>
      <c r="F959" s="5" t="s">
        <v>34</v>
      </c>
      <c r="G959" s="6" t="s">
        <v>37</v>
      </c>
      <c r="H959" s="5">
        <v>1.25</v>
      </c>
      <c r="I959" s="5">
        <v>42.0</v>
      </c>
      <c r="J959" s="5" t="str">
        <f t="shared" si="1"/>
        <v>Advance</v>
      </c>
      <c r="K959" s="9">
        <v>1788.0</v>
      </c>
    </row>
    <row r="960" ht="15.75" customHeight="1">
      <c r="A960" s="5" t="s">
        <v>2694</v>
      </c>
      <c r="B960" s="5" t="s">
        <v>2111</v>
      </c>
      <c r="C960" s="5" t="s">
        <v>671</v>
      </c>
      <c r="D960" s="5" t="s">
        <v>43</v>
      </c>
      <c r="E960" s="5" t="s">
        <v>68</v>
      </c>
      <c r="F960" s="5" t="s">
        <v>34</v>
      </c>
      <c r="G960" s="6" t="s">
        <v>37</v>
      </c>
      <c r="H960" s="5">
        <v>1.25</v>
      </c>
      <c r="I960" s="5">
        <v>46.0</v>
      </c>
      <c r="J960" s="5" t="str">
        <f t="shared" si="1"/>
        <v>Advance</v>
      </c>
      <c r="K960" s="9">
        <v>1543.0</v>
      </c>
    </row>
    <row r="961" ht="15.75" customHeight="1">
      <c r="A961" s="5" t="s">
        <v>2695</v>
      </c>
      <c r="B961" s="5" t="s">
        <v>2089</v>
      </c>
      <c r="C961" s="5" t="s">
        <v>671</v>
      </c>
      <c r="D961" s="5" t="s">
        <v>43</v>
      </c>
      <c r="E961" s="5" t="s">
        <v>68</v>
      </c>
      <c r="F961" s="5" t="s">
        <v>34</v>
      </c>
      <c r="G961" s="6" t="s">
        <v>66</v>
      </c>
      <c r="H961" s="5">
        <v>6.67</v>
      </c>
      <c r="I961" s="5">
        <v>46.0</v>
      </c>
      <c r="J961" s="5" t="str">
        <f t="shared" si="1"/>
        <v>Advance</v>
      </c>
      <c r="K961" s="9">
        <v>1543.0</v>
      </c>
    </row>
    <row r="962" ht="15.75" customHeight="1">
      <c r="A962" s="5" t="s">
        <v>2697</v>
      </c>
      <c r="B962" s="5" t="s">
        <v>2175</v>
      </c>
      <c r="C962" s="5" t="s">
        <v>671</v>
      </c>
      <c r="D962" s="5" t="s">
        <v>43</v>
      </c>
      <c r="E962" s="5" t="s">
        <v>68</v>
      </c>
      <c r="F962" s="5" t="s">
        <v>34</v>
      </c>
      <c r="G962" s="6" t="s">
        <v>66</v>
      </c>
      <c r="H962" s="5">
        <v>7.67</v>
      </c>
      <c r="I962" s="5">
        <v>46.0</v>
      </c>
      <c r="J962" s="5" t="str">
        <f t="shared" si="1"/>
        <v>Advance</v>
      </c>
      <c r="K962" s="9">
        <v>1543.0</v>
      </c>
    </row>
    <row r="963" ht="15.75" customHeight="1">
      <c r="A963" s="5" t="s">
        <v>2699</v>
      </c>
      <c r="B963" s="5" t="s">
        <v>2091</v>
      </c>
      <c r="C963" s="5" t="s">
        <v>671</v>
      </c>
      <c r="D963" s="5" t="s">
        <v>43</v>
      </c>
      <c r="E963" s="5" t="s">
        <v>68</v>
      </c>
      <c r="F963" s="5" t="s">
        <v>34</v>
      </c>
      <c r="G963" s="6" t="s">
        <v>37</v>
      </c>
      <c r="H963" s="5">
        <v>1.25</v>
      </c>
      <c r="I963" s="5">
        <v>46.0</v>
      </c>
      <c r="J963" s="5" t="str">
        <f t="shared" si="1"/>
        <v>Advance</v>
      </c>
      <c r="K963" s="9">
        <v>1788.0</v>
      </c>
    </row>
    <row r="964" ht="15.75" customHeight="1">
      <c r="A964" s="5" t="s">
        <v>2702</v>
      </c>
      <c r="B964" s="5" t="s">
        <v>2154</v>
      </c>
      <c r="C964" s="5" t="s">
        <v>671</v>
      </c>
      <c r="D964" s="5" t="s">
        <v>20</v>
      </c>
      <c r="E964" s="5" t="s">
        <v>52</v>
      </c>
      <c r="F964" s="5" t="s">
        <v>53</v>
      </c>
      <c r="G964" s="6" t="s">
        <v>66</v>
      </c>
      <c r="H964" s="5">
        <v>13.5</v>
      </c>
      <c r="I964" s="5">
        <v>48.0</v>
      </c>
      <c r="J964" s="5" t="str">
        <f t="shared" si="1"/>
        <v>Advance</v>
      </c>
      <c r="K964" s="9">
        <v>51707.0</v>
      </c>
    </row>
    <row r="965" ht="15.75" customHeight="1">
      <c r="A965" s="5" t="s">
        <v>2704</v>
      </c>
      <c r="B965" s="5" t="s">
        <v>2133</v>
      </c>
      <c r="C965" s="5" t="s">
        <v>671</v>
      </c>
      <c r="D965" s="5" t="s">
        <v>20</v>
      </c>
      <c r="E965" s="5" t="s">
        <v>52</v>
      </c>
      <c r="F965" s="5" t="s">
        <v>53</v>
      </c>
      <c r="G965" s="6" t="s">
        <v>66</v>
      </c>
      <c r="H965" s="5">
        <v>26.92</v>
      </c>
      <c r="I965" s="5">
        <v>48.0</v>
      </c>
      <c r="J965" s="5" t="str">
        <f t="shared" si="1"/>
        <v>Advance</v>
      </c>
      <c r="K965" s="9">
        <v>51707.0</v>
      </c>
    </row>
    <row r="966" ht="15.75" customHeight="1">
      <c r="A966" s="5" t="s">
        <v>2706</v>
      </c>
      <c r="B966" s="5" t="s">
        <v>2099</v>
      </c>
      <c r="C966" s="5" t="s">
        <v>671</v>
      </c>
      <c r="D966" s="5" t="s">
        <v>20</v>
      </c>
      <c r="E966" s="5" t="s">
        <v>52</v>
      </c>
      <c r="F966" s="5" t="s">
        <v>53</v>
      </c>
      <c r="G966" s="6">
        <v>1.0</v>
      </c>
      <c r="H966" s="5">
        <v>13.25</v>
      </c>
      <c r="I966" s="5">
        <v>48.0</v>
      </c>
      <c r="J966" s="5" t="str">
        <f t="shared" si="1"/>
        <v>Advance</v>
      </c>
      <c r="K966" s="9">
        <v>51707.0</v>
      </c>
    </row>
    <row r="967" ht="15.75" customHeight="1">
      <c r="A967" s="5" t="s">
        <v>2708</v>
      </c>
      <c r="B967" s="5" t="s">
        <v>2116</v>
      </c>
      <c r="C967" s="5" t="s">
        <v>671</v>
      </c>
      <c r="D967" s="5" t="s">
        <v>45</v>
      </c>
      <c r="E967" s="5" t="s">
        <v>49</v>
      </c>
      <c r="F967" s="5" t="s">
        <v>53</v>
      </c>
      <c r="G967" s="6" t="s">
        <v>66</v>
      </c>
      <c r="H967" s="5">
        <v>20.67</v>
      </c>
      <c r="I967" s="5">
        <v>45.0</v>
      </c>
      <c r="J967" s="5" t="str">
        <f t="shared" si="1"/>
        <v>Advance</v>
      </c>
      <c r="K967" s="9">
        <v>51595.0</v>
      </c>
    </row>
    <row r="968" ht="15.75" customHeight="1">
      <c r="A968" s="5" t="s">
        <v>2711</v>
      </c>
      <c r="B968" s="5" t="s">
        <v>2148</v>
      </c>
      <c r="C968" s="5" t="s">
        <v>671</v>
      </c>
      <c r="D968" s="5" t="s">
        <v>45</v>
      </c>
      <c r="E968" s="5" t="s">
        <v>49</v>
      </c>
      <c r="F968" s="5" t="s">
        <v>34</v>
      </c>
      <c r="G968" s="6" t="s">
        <v>66</v>
      </c>
      <c r="H968" s="5">
        <v>28.0</v>
      </c>
      <c r="I968" s="5">
        <v>47.0</v>
      </c>
      <c r="J968" s="5" t="str">
        <f t="shared" si="1"/>
        <v>Advance</v>
      </c>
      <c r="K968" s="9">
        <v>4437.0</v>
      </c>
    </row>
    <row r="969" ht="15.75" customHeight="1">
      <c r="A969" s="5" t="s">
        <v>2714</v>
      </c>
      <c r="B969" s="5" t="s">
        <v>2078</v>
      </c>
      <c r="C969" s="5" t="s">
        <v>671</v>
      </c>
      <c r="D969" s="5" t="s">
        <v>45</v>
      </c>
      <c r="E969" s="5" t="s">
        <v>49</v>
      </c>
      <c r="F969" s="5" t="s">
        <v>53</v>
      </c>
      <c r="G969" s="6" t="s">
        <v>37</v>
      </c>
      <c r="H969" s="5">
        <v>1.25</v>
      </c>
      <c r="I969" s="5">
        <v>48.0</v>
      </c>
      <c r="J969" s="5" t="str">
        <f t="shared" si="1"/>
        <v>Advance</v>
      </c>
      <c r="K969" s="9">
        <v>15250.0</v>
      </c>
    </row>
    <row r="970" ht="15.75" customHeight="1">
      <c r="A970" s="5" t="s">
        <v>2716</v>
      </c>
      <c r="B970" s="5" t="s">
        <v>2248</v>
      </c>
      <c r="C970" s="5" t="s">
        <v>699</v>
      </c>
      <c r="D970" s="5" t="s">
        <v>43</v>
      </c>
      <c r="E970" s="5" t="s">
        <v>68</v>
      </c>
      <c r="F970" s="5" t="s">
        <v>34</v>
      </c>
      <c r="G970" s="6" t="s">
        <v>66</v>
      </c>
      <c r="H970" s="5">
        <v>5.67</v>
      </c>
      <c r="I970" s="5">
        <v>39.0</v>
      </c>
      <c r="J970" s="5" t="str">
        <f t="shared" si="1"/>
        <v>Advance</v>
      </c>
      <c r="K970" s="9">
        <v>3860.0</v>
      </c>
    </row>
    <row r="971" ht="15.75" customHeight="1">
      <c r="A971" s="5" t="s">
        <v>2718</v>
      </c>
      <c r="B971" s="5" t="s">
        <v>2254</v>
      </c>
      <c r="C971" s="5" t="s">
        <v>699</v>
      </c>
      <c r="D971" s="5" t="s">
        <v>72</v>
      </c>
      <c r="E971" s="5" t="s">
        <v>266</v>
      </c>
      <c r="F971" s="5" t="s">
        <v>34</v>
      </c>
      <c r="G971" s="6" t="s">
        <v>66</v>
      </c>
      <c r="H971" s="5">
        <v>7.0</v>
      </c>
      <c r="J971" s="5" t="str">
        <f t="shared" si="1"/>
        <v>Last Minute</v>
      </c>
      <c r="K971" s="9">
        <v>18729.0</v>
      </c>
    </row>
    <row r="972" ht="15.75" customHeight="1">
      <c r="A972" s="5" t="s">
        <v>2720</v>
      </c>
      <c r="B972" s="5" t="s">
        <v>2294</v>
      </c>
      <c r="C972" s="5" t="s">
        <v>699</v>
      </c>
      <c r="D972" s="5" t="s">
        <v>72</v>
      </c>
      <c r="E972" s="5" t="s">
        <v>266</v>
      </c>
      <c r="F972" s="5" t="s">
        <v>34</v>
      </c>
      <c r="G972" s="6" t="s">
        <v>66</v>
      </c>
      <c r="H972" s="5">
        <v>6.25</v>
      </c>
      <c r="I972" s="5">
        <v>16.0</v>
      </c>
      <c r="J972" s="5" t="str">
        <f t="shared" si="1"/>
        <v>Moderate</v>
      </c>
      <c r="K972" s="9">
        <v>4048.0</v>
      </c>
    </row>
    <row r="973" ht="15.75" customHeight="1">
      <c r="A973" s="5" t="s">
        <v>2723</v>
      </c>
      <c r="B973" s="5" t="s">
        <v>2272</v>
      </c>
      <c r="C973" s="5" t="s">
        <v>699</v>
      </c>
      <c r="D973" s="5" t="s">
        <v>43</v>
      </c>
      <c r="E973" s="5" t="s">
        <v>68</v>
      </c>
      <c r="F973" s="5" t="s">
        <v>34</v>
      </c>
      <c r="G973" s="6" t="s">
        <v>66</v>
      </c>
      <c r="H973" s="5">
        <v>6.17</v>
      </c>
      <c r="I973" s="5">
        <v>2.0</v>
      </c>
      <c r="J973" s="5" t="str">
        <f t="shared" si="1"/>
        <v>Last Minute</v>
      </c>
      <c r="K973" s="9">
        <v>22525.0</v>
      </c>
    </row>
    <row r="974" ht="15.75" customHeight="1">
      <c r="A974" s="5" t="s">
        <v>2725</v>
      </c>
      <c r="B974" s="5" t="s">
        <v>2264</v>
      </c>
      <c r="C974" s="5" t="s">
        <v>699</v>
      </c>
      <c r="D974" s="5" t="s">
        <v>45</v>
      </c>
      <c r="E974" s="5" t="s">
        <v>49</v>
      </c>
      <c r="F974" s="5" t="s">
        <v>34</v>
      </c>
      <c r="G974" s="6" t="s">
        <v>66</v>
      </c>
      <c r="H974" s="5">
        <v>14.75</v>
      </c>
      <c r="I974" s="5">
        <v>31.0</v>
      </c>
      <c r="J974" s="5" t="str">
        <f t="shared" si="1"/>
        <v>Advance</v>
      </c>
      <c r="K974" s="9">
        <v>4767.0</v>
      </c>
    </row>
    <row r="975" ht="15.75" customHeight="1">
      <c r="A975" s="5" t="s">
        <v>2728</v>
      </c>
      <c r="B975" s="5" t="s">
        <v>2287</v>
      </c>
      <c r="C975" s="5" t="s">
        <v>699</v>
      </c>
      <c r="D975" s="5" t="s">
        <v>45</v>
      </c>
      <c r="E975" s="5" t="s">
        <v>49</v>
      </c>
      <c r="F975" s="5" t="s">
        <v>53</v>
      </c>
      <c r="G975" s="6" t="s">
        <v>66</v>
      </c>
      <c r="H975" s="5">
        <v>5.92</v>
      </c>
      <c r="I975" s="5">
        <v>33.0</v>
      </c>
      <c r="J975" s="5" t="str">
        <f t="shared" si="1"/>
        <v>Advance</v>
      </c>
      <c r="K975" s="9">
        <v>45185.0</v>
      </c>
    </row>
    <row r="976" ht="15.75" customHeight="1">
      <c r="A976" s="5" t="s">
        <v>2730</v>
      </c>
      <c r="B976" s="5" t="s">
        <v>2244</v>
      </c>
      <c r="C976" s="5" t="s">
        <v>699</v>
      </c>
      <c r="D976" s="5" t="s">
        <v>45</v>
      </c>
      <c r="E976" s="5" t="s">
        <v>49</v>
      </c>
      <c r="F976" s="5" t="s">
        <v>34</v>
      </c>
      <c r="G976" s="6" t="s">
        <v>66</v>
      </c>
      <c r="H976" s="5">
        <v>11.92</v>
      </c>
      <c r="I976" s="5">
        <v>3.0</v>
      </c>
      <c r="J976" s="5" t="str">
        <f t="shared" si="1"/>
        <v>Last Minute</v>
      </c>
      <c r="K976" s="9">
        <v>11448.0</v>
      </c>
    </row>
    <row r="977" ht="15.75" customHeight="1">
      <c r="A977" s="5" t="s">
        <v>2732</v>
      </c>
      <c r="B977" s="5" t="s">
        <v>2215</v>
      </c>
      <c r="C977" s="5" t="s">
        <v>699</v>
      </c>
      <c r="D977" s="5" t="s">
        <v>45</v>
      </c>
      <c r="E977" s="5" t="s">
        <v>49</v>
      </c>
      <c r="F977" s="5" t="s">
        <v>53</v>
      </c>
      <c r="G977" s="6" t="s">
        <v>66</v>
      </c>
      <c r="H977" s="5">
        <v>14.92</v>
      </c>
      <c r="I977" s="5">
        <v>33.0</v>
      </c>
      <c r="J977" s="5" t="str">
        <f t="shared" si="1"/>
        <v>Advance</v>
      </c>
      <c r="K977" s="9">
        <v>45185.0</v>
      </c>
    </row>
    <row r="978" ht="15.75" customHeight="1">
      <c r="A978" s="5" t="s">
        <v>2733</v>
      </c>
      <c r="B978" s="5" t="s">
        <v>2236</v>
      </c>
      <c r="C978" s="5" t="s">
        <v>699</v>
      </c>
      <c r="D978" s="5" t="s">
        <v>45</v>
      </c>
      <c r="E978" s="5" t="s">
        <v>49</v>
      </c>
      <c r="F978" s="5" t="s">
        <v>53</v>
      </c>
      <c r="G978" s="6" t="s">
        <v>66</v>
      </c>
      <c r="H978" s="5">
        <v>17.42</v>
      </c>
      <c r="I978" s="5">
        <v>28.0</v>
      </c>
      <c r="J978" s="5" t="str">
        <f t="shared" si="1"/>
        <v>Moderate</v>
      </c>
      <c r="K978" s="9">
        <v>45185.0</v>
      </c>
    </row>
    <row r="979" ht="15.75" customHeight="1">
      <c r="A979" s="5" t="s">
        <v>2735</v>
      </c>
      <c r="B979" s="5" t="s">
        <v>2181</v>
      </c>
      <c r="C979" s="5" t="s">
        <v>699</v>
      </c>
      <c r="D979" s="5" t="s">
        <v>45</v>
      </c>
      <c r="E979" s="5" t="s">
        <v>49</v>
      </c>
      <c r="F979" s="5" t="s">
        <v>34</v>
      </c>
      <c r="G979" s="6" t="s">
        <v>66</v>
      </c>
      <c r="H979" s="5">
        <v>28.42</v>
      </c>
      <c r="I979" s="5">
        <v>3.0</v>
      </c>
      <c r="J979" s="5" t="str">
        <f t="shared" si="1"/>
        <v>Last Minute</v>
      </c>
      <c r="K979" s="9">
        <v>11448.0</v>
      </c>
    </row>
    <row r="980" ht="15.75" customHeight="1">
      <c r="A980" s="5" t="s">
        <v>2738</v>
      </c>
      <c r="B980" s="5" t="s">
        <v>2203</v>
      </c>
      <c r="C980" s="5" t="s">
        <v>699</v>
      </c>
      <c r="D980" s="5" t="s">
        <v>20</v>
      </c>
      <c r="E980" s="5" t="s">
        <v>52</v>
      </c>
      <c r="F980" s="5" t="s">
        <v>53</v>
      </c>
      <c r="G980" s="6" t="s">
        <v>66</v>
      </c>
      <c r="H980" s="5">
        <v>10.92</v>
      </c>
      <c r="I980" s="5">
        <v>23.0</v>
      </c>
      <c r="J980" s="5" t="str">
        <f t="shared" si="1"/>
        <v>Moderate</v>
      </c>
      <c r="K980" s="9">
        <v>68112.0</v>
      </c>
    </row>
    <row r="981" ht="15.75" customHeight="1">
      <c r="A981" s="5" t="s">
        <v>2740</v>
      </c>
      <c r="B981" s="5" t="s">
        <v>2292</v>
      </c>
      <c r="C981" s="5" t="s">
        <v>699</v>
      </c>
      <c r="D981" s="5" t="s">
        <v>45</v>
      </c>
      <c r="E981" s="5" t="s">
        <v>49</v>
      </c>
      <c r="F981" s="5" t="s">
        <v>34</v>
      </c>
      <c r="G981" s="6" t="s">
        <v>66</v>
      </c>
      <c r="H981" s="5">
        <v>5.33</v>
      </c>
      <c r="I981" s="5">
        <v>26.0</v>
      </c>
      <c r="J981" s="5" t="str">
        <f t="shared" si="1"/>
        <v>Moderate</v>
      </c>
      <c r="K981" s="9">
        <v>6331.0</v>
      </c>
    </row>
    <row r="982" ht="15.75" customHeight="1">
      <c r="A982" s="5" t="s">
        <v>2743</v>
      </c>
      <c r="B982" s="5" t="s">
        <v>2258</v>
      </c>
      <c r="C982" s="5" t="s">
        <v>699</v>
      </c>
      <c r="D982" s="5" t="s">
        <v>45</v>
      </c>
      <c r="E982" s="5" t="s">
        <v>49</v>
      </c>
      <c r="F982" s="5" t="s">
        <v>34</v>
      </c>
      <c r="G982" s="6" t="s">
        <v>66</v>
      </c>
      <c r="H982" s="5">
        <v>16.0</v>
      </c>
      <c r="I982" s="5">
        <v>32.0</v>
      </c>
      <c r="J982" s="5" t="str">
        <f t="shared" si="1"/>
        <v>Advance</v>
      </c>
      <c r="K982" s="9">
        <v>4767.0</v>
      </c>
    </row>
    <row r="983" ht="15.75" customHeight="1">
      <c r="A983" s="5" t="s">
        <v>2745</v>
      </c>
      <c r="B983" s="5" t="s">
        <v>2261</v>
      </c>
      <c r="C983" s="5" t="s">
        <v>699</v>
      </c>
      <c r="D983" s="5" t="s">
        <v>72</v>
      </c>
      <c r="E983" s="5" t="s">
        <v>266</v>
      </c>
      <c r="F983" s="5" t="s">
        <v>34</v>
      </c>
      <c r="G983" s="6" t="s">
        <v>37</v>
      </c>
      <c r="H983" s="5">
        <v>2.75</v>
      </c>
      <c r="I983" s="5">
        <v>14.0</v>
      </c>
      <c r="J983" s="5" t="str">
        <f t="shared" si="1"/>
        <v>Short Notice</v>
      </c>
      <c r="K983" s="9">
        <v>7352.0</v>
      </c>
    </row>
    <row r="984" ht="15.75" customHeight="1">
      <c r="A984" s="5" t="s">
        <v>2747</v>
      </c>
      <c r="B984" s="5" t="s">
        <v>2246</v>
      </c>
      <c r="C984" s="5" t="s">
        <v>699</v>
      </c>
      <c r="D984" s="5" t="s">
        <v>20</v>
      </c>
      <c r="E984" s="5" t="s">
        <v>52</v>
      </c>
      <c r="F984" s="5" t="s">
        <v>34</v>
      </c>
      <c r="G984" s="6" t="s">
        <v>66</v>
      </c>
      <c r="H984" s="5">
        <v>33.5</v>
      </c>
      <c r="I984" s="5">
        <v>5.0</v>
      </c>
      <c r="J984" s="5" t="str">
        <f t="shared" si="1"/>
        <v>Last Minute</v>
      </c>
      <c r="K984" s="9">
        <v>13578.0</v>
      </c>
    </row>
    <row r="985" ht="15.75" customHeight="1">
      <c r="A985" s="5" t="s">
        <v>2749</v>
      </c>
      <c r="B985" s="5" t="s">
        <v>2232</v>
      </c>
      <c r="C985" s="5" t="s">
        <v>699</v>
      </c>
      <c r="D985" s="5" t="s">
        <v>20</v>
      </c>
      <c r="E985" s="5" t="s">
        <v>52</v>
      </c>
      <c r="F985" s="5" t="s">
        <v>53</v>
      </c>
      <c r="G985" s="6" t="s">
        <v>66</v>
      </c>
      <c r="H985" s="5">
        <v>9.08</v>
      </c>
      <c r="I985" s="5">
        <v>5.0</v>
      </c>
      <c r="J985" s="5" t="str">
        <f t="shared" si="1"/>
        <v>Last Minute</v>
      </c>
      <c r="K985" s="9">
        <v>89761.0</v>
      </c>
    </row>
    <row r="986" ht="15.75" customHeight="1">
      <c r="A986" s="5" t="s">
        <v>2751</v>
      </c>
      <c r="B986" s="5" t="s">
        <v>2252</v>
      </c>
      <c r="C986" s="5" t="s">
        <v>699</v>
      </c>
      <c r="D986" s="5" t="s">
        <v>45</v>
      </c>
      <c r="E986" s="5" t="s">
        <v>49</v>
      </c>
      <c r="F986" s="5" t="s">
        <v>34</v>
      </c>
      <c r="G986" s="6" t="s">
        <v>66</v>
      </c>
      <c r="H986" s="5">
        <v>33.58</v>
      </c>
      <c r="J986" s="5" t="str">
        <f t="shared" si="1"/>
        <v>Last Minute</v>
      </c>
      <c r="K986" s="9">
        <v>13426.0</v>
      </c>
    </row>
    <row r="987" ht="15.75" customHeight="1">
      <c r="A987" s="5" t="s">
        <v>2752</v>
      </c>
      <c r="B987" s="5" t="s">
        <v>2279</v>
      </c>
      <c r="C987" s="5" t="s">
        <v>699</v>
      </c>
      <c r="D987" s="5" t="s">
        <v>43</v>
      </c>
      <c r="E987" s="5" t="s">
        <v>68</v>
      </c>
      <c r="F987" s="5" t="s">
        <v>34</v>
      </c>
      <c r="G987" s="6" t="s">
        <v>66</v>
      </c>
      <c r="H987" s="5">
        <v>8.58</v>
      </c>
      <c r="I987" s="5">
        <v>7.0</v>
      </c>
      <c r="J987" s="5" t="str">
        <f t="shared" si="1"/>
        <v>Last Minute</v>
      </c>
      <c r="K987" s="9">
        <v>7877.0</v>
      </c>
    </row>
    <row r="988" ht="15.75" customHeight="1">
      <c r="A988" s="5" t="s">
        <v>2754</v>
      </c>
      <c r="B988" s="5" t="s">
        <v>2241</v>
      </c>
      <c r="C988" s="5" t="s">
        <v>699</v>
      </c>
      <c r="D988" s="5" t="s">
        <v>43</v>
      </c>
      <c r="E988" s="5" t="s">
        <v>68</v>
      </c>
      <c r="F988" s="5" t="s">
        <v>34</v>
      </c>
      <c r="G988" s="6" t="s">
        <v>66</v>
      </c>
      <c r="H988" s="5">
        <v>8.33</v>
      </c>
      <c r="I988" s="5">
        <v>9.0</v>
      </c>
      <c r="J988" s="5" t="str">
        <f t="shared" si="1"/>
        <v>Short Notice</v>
      </c>
      <c r="K988" s="9">
        <v>11106.0</v>
      </c>
    </row>
    <row r="989" ht="15.75" customHeight="1">
      <c r="A989" s="5" t="s">
        <v>2755</v>
      </c>
      <c r="B989" s="5" t="s">
        <v>2289</v>
      </c>
      <c r="C989" s="5" t="s">
        <v>699</v>
      </c>
      <c r="D989" s="5" t="s">
        <v>29</v>
      </c>
      <c r="E989" s="5" t="s">
        <v>32</v>
      </c>
      <c r="F989" s="5" t="s">
        <v>34</v>
      </c>
      <c r="G989" s="6" t="s">
        <v>180</v>
      </c>
      <c r="H989" s="5">
        <v>16.0</v>
      </c>
      <c r="I989" s="5">
        <v>29.0</v>
      </c>
      <c r="J989" s="5" t="str">
        <f t="shared" si="1"/>
        <v>Moderate</v>
      </c>
      <c r="K989" s="9">
        <v>2477.0</v>
      </c>
    </row>
    <row r="990" ht="15.75" customHeight="1">
      <c r="A990" s="5" t="s">
        <v>2757</v>
      </c>
      <c r="B990" s="5" t="s">
        <v>2199</v>
      </c>
      <c r="C990" s="5" t="s">
        <v>699</v>
      </c>
      <c r="D990" s="5" t="s">
        <v>58</v>
      </c>
      <c r="E990" s="5" t="s">
        <v>59</v>
      </c>
      <c r="F990" s="5" t="s">
        <v>34</v>
      </c>
      <c r="G990" s="6" t="s">
        <v>66</v>
      </c>
      <c r="H990" s="5">
        <v>15.17</v>
      </c>
      <c r="I990" s="5">
        <v>26.0</v>
      </c>
      <c r="J990" s="5" t="str">
        <f t="shared" si="1"/>
        <v>Moderate</v>
      </c>
      <c r="K990" s="9">
        <v>4827.0</v>
      </c>
    </row>
    <row r="991" ht="15.75" customHeight="1">
      <c r="A991" s="5" t="s">
        <v>2759</v>
      </c>
      <c r="B991" s="5" t="s">
        <v>2217</v>
      </c>
      <c r="C991" s="5" t="s">
        <v>699</v>
      </c>
      <c r="D991" s="5" t="s">
        <v>58</v>
      </c>
      <c r="E991" s="5" t="s">
        <v>59</v>
      </c>
      <c r="F991" s="5" t="s">
        <v>34</v>
      </c>
      <c r="G991" s="6" t="s">
        <v>66</v>
      </c>
      <c r="H991" s="5">
        <v>14.83</v>
      </c>
      <c r="I991" s="5">
        <v>42.0</v>
      </c>
      <c r="J991" s="5" t="str">
        <f t="shared" si="1"/>
        <v>Advance</v>
      </c>
      <c r="K991" s="9">
        <v>3219.0</v>
      </c>
    </row>
    <row r="992" ht="15.75" customHeight="1">
      <c r="A992" s="5" t="s">
        <v>2761</v>
      </c>
      <c r="B992" s="5" t="s">
        <v>2185</v>
      </c>
      <c r="C992" s="5" t="s">
        <v>699</v>
      </c>
      <c r="D992" s="5" t="s">
        <v>43</v>
      </c>
      <c r="E992" s="5" t="s">
        <v>68</v>
      </c>
      <c r="F992" s="5" t="s">
        <v>34</v>
      </c>
      <c r="G992" s="6" t="s">
        <v>66</v>
      </c>
      <c r="H992" s="5">
        <v>10.0</v>
      </c>
      <c r="I992" s="5">
        <v>24.0</v>
      </c>
      <c r="J992" s="5" t="str">
        <f t="shared" si="1"/>
        <v>Moderate</v>
      </c>
      <c r="K992" s="9">
        <v>3857.0</v>
      </c>
    </row>
    <row r="993" ht="15.75" customHeight="1">
      <c r="A993" s="5" t="s">
        <v>2763</v>
      </c>
      <c r="B993" s="5" t="s">
        <v>2195</v>
      </c>
      <c r="C993" s="5" t="s">
        <v>699</v>
      </c>
      <c r="D993" s="5" t="s">
        <v>45</v>
      </c>
      <c r="E993" s="5" t="s">
        <v>49</v>
      </c>
      <c r="F993" s="5" t="s">
        <v>34</v>
      </c>
      <c r="G993" s="6" t="s">
        <v>66</v>
      </c>
      <c r="H993" s="5">
        <v>24.42</v>
      </c>
      <c r="I993" s="5">
        <v>46.0</v>
      </c>
      <c r="J993" s="5" t="str">
        <f t="shared" si="1"/>
        <v>Advance</v>
      </c>
      <c r="K993" s="9">
        <v>3234.0</v>
      </c>
    </row>
    <row r="994" ht="15.75" customHeight="1">
      <c r="A994" s="5" t="s">
        <v>2765</v>
      </c>
      <c r="B994" s="5" t="s">
        <v>2213</v>
      </c>
      <c r="C994" s="5" t="s">
        <v>699</v>
      </c>
      <c r="D994" s="5" t="s">
        <v>45</v>
      </c>
      <c r="E994" s="5" t="s">
        <v>49</v>
      </c>
      <c r="F994" s="5" t="s">
        <v>34</v>
      </c>
      <c r="G994" s="6" t="s">
        <v>66</v>
      </c>
      <c r="H994" s="5">
        <v>19.08</v>
      </c>
      <c r="I994" s="5">
        <v>44.0</v>
      </c>
      <c r="J994" s="5" t="str">
        <f t="shared" si="1"/>
        <v>Advance</v>
      </c>
      <c r="K994" s="9">
        <v>3916.0</v>
      </c>
    </row>
    <row r="995" ht="15.75" customHeight="1">
      <c r="A995" s="5" t="s">
        <v>2768</v>
      </c>
      <c r="B995" s="5" t="s">
        <v>2296</v>
      </c>
      <c r="C995" s="5" t="s">
        <v>699</v>
      </c>
      <c r="D995" s="5" t="s">
        <v>72</v>
      </c>
      <c r="E995" s="5" t="s">
        <v>266</v>
      </c>
      <c r="F995" s="5" t="s">
        <v>34</v>
      </c>
      <c r="G995" s="6" t="s">
        <v>66</v>
      </c>
      <c r="H995" s="5">
        <v>24.75</v>
      </c>
      <c r="I995" s="5">
        <v>44.0</v>
      </c>
      <c r="J995" s="5" t="str">
        <f t="shared" si="1"/>
        <v>Advance</v>
      </c>
      <c r="K995" s="9">
        <v>4827.0</v>
      </c>
    </row>
    <row r="996" ht="15.75" customHeight="1">
      <c r="A996" s="5" t="s">
        <v>2770</v>
      </c>
      <c r="B996" s="5" t="s">
        <v>2188</v>
      </c>
      <c r="C996" s="5" t="s">
        <v>699</v>
      </c>
      <c r="D996" s="5" t="s">
        <v>45</v>
      </c>
      <c r="E996" s="5" t="s">
        <v>49</v>
      </c>
      <c r="F996" s="5" t="s">
        <v>53</v>
      </c>
      <c r="G996" s="6" t="s">
        <v>37</v>
      </c>
      <c r="H996" s="5">
        <v>2.75</v>
      </c>
      <c r="I996" s="5">
        <v>48.0</v>
      </c>
      <c r="J996" s="5" t="str">
        <f t="shared" si="1"/>
        <v>Advance</v>
      </c>
      <c r="K996" s="9">
        <v>27792.0</v>
      </c>
    </row>
    <row r="997" ht="15.75" customHeight="1">
      <c r="A997" s="5" t="s">
        <v>2772</v>
      </c>
      <c r="B997" s="5" t="s">
        <v>2281</v>
      </c>
      <c r="C997" s="5" t="s">
        <v>699</v>
      </c>
      <c r="D997" s="5" t="s">
        <v>29</v>
      </c>
      <c r="E997" s="5" t="s">
        <v>32</v>
      </c>
      <c r="F997" s="5" t="s">
        <v>34</v>
      </c>
      <c r="G997" s="6" t="s">
        <v>66</v>
      </c>
      <c r="H997" s="5">
        <v>7.17</v>
      </c>
      <c r="I997" s="5">
        <v>46.0</v>
      </c>
      <c r="J997" s="5" t="str">
        <f t="shared" si="1"/>
        <v>Advance</v>
      </c>
      <c r="K997" s="9">
        <v>2477.0</v>
      </c>
    </row>
    <row r="998" ht="15.75" customHeight="1">
      <c r="A998" s="5" t="s">
        <v>2774</v>
      </c>
      <c r="B998" s="5" t="s">
        <v>2192</v>
      </c>
      <c r="C998" s="5" t="s">
        <v>699</v>
      </c>
      <c r="D998" s="5" t="s">
        <v>43</v>
      </c>
      <c r="E998" s="5" t="s">
        <v>68</v>
      </c>
      <c r="F998" s="5" t="s">
        <v>34</v>
      </c>
      <c r="G998" s="6" t="s">
        <v>66</v>
      </c>
      <c r="H998" s="5">
        <v>6.08</v>
      </c>
      <c r="I998" s="5">
        <v>46.0</v>
      </c>
      <c r="J998" s="5" t="str">
        <f t="shared" si="1"/>
        <v>Advance</v>
      </c>
      <c r="K998" s="9">
        <v>3361.0</v>
      </c>
    </row>
    <row r="999" ht="15.75" customHeight="1">
      <c r="A999" s="5" t="s">
        <v>2776</v>
      </c>
      <c r="B999" s="5" t="s">
        <v>2276</v>
      </c>
      <c r="C999" s="5" t="s">
        <v>699</v>
      </c>
      <c r="D999" s="5" t="s">
        <v>58</v>
      </c>
      <c r="E999" s="5" t="s">
        <v>59</v>
      </c>
      <c r="F999" s="5" t="s">
        <v>34</v>
      </c>
      <c r="G999" s="6" t="s">
        <v>66</v>
      </c>
      <c r="H999" s="5">
        <v>7.42</v>
      </c>
      <c r="I999" s="5">
        <v>46.0</v>
      </c>
      <c r="J999" s="5" t="str">
        <f t="shared" si="1"/>
        <v>Advance</v>
      </c>
      <c r="K999" s="9">
        <v>4827.0</v>
      </c>
    </row>
    <row r="1000" ht="15.75" customHeight="1">
      <c r="A1000" s="5" t="s">
        <v>2779</v>
      </c>
      <c r="B1000" s="5" t="s">
        <v>2266</v>
      </c>
      <c r="C1000" s="5" t="s">
        <v>699</v>
      </c>
      <c r="D1000" s="5" t="s">
        <v>72</v>
      </c>
      <c r="E1000" s="5" t="s">
        <v>266</v>
      </c>
      <c r="F1000" s="5" t="s">
        <v>34</v>
      </c>
      <c r="G1000" s="6" t="s">
        <v>66</v>
      </c>
      <c r="H1000" s="5">
        <v>16.17</v>
      </c>
      <c r="J1000" s="5" t="str">
        <f t="shared" si="1"/>
        <v>Last Minute</v>
      </c>
      <c r="K1000" s="9">
        <v>4827.0</v>
      </c>
    </row>
    <row r="1001" ht="15.75" customHeight="1">
      <c r="A1001" s="5" t="s">
        <v>2781</v>
      </c>
      <c r="B1001" s="5" t="s">
        <v>2284</v>
      </c>
      <c r="C1001" s="5" t="s">
        <v>699</v>
      </c>
      <c r="D1001" s="5" t="s">
        <v>72</v>
      </c>
      <c r="E1001" s="5" t="s">
        <v>266</v>
      </c>
      <c r="F1001" s="5" t="s">
        <v>34</v>
      </c>
      <c r="G1001" s="6" t="s">
        <v>66</v>
      </c>
      <c r="H1001" s="5">
        <v>24.17</v>
      </c>
      <c r="I1001" s="5">
        <v>46.0</v>
      </c>
      <c r="J1001" s="5" t="str">
        <f t="shared" si="1"/>
        <v>Advance</v>
      </c>
      <c r="K1001" s="9">
        <v>4876.0</v>
      </c>
    </row>
    <row r="1002" ht="15.75" customHeight="1">
      <c r="A1002" s="5" t="s">
        <v>2786</v>
      </c>
      <c r="B1002" s="5" t="s">
        <v>2221</v>
      </c>
      <c r="C1002" s="5" t="s">
        <v>699</v>
      </c>
      <c r="D1002" s="5" t="s">
        <v>45</v>
      </c>
      <c r="E1002" s="5" t="s">
        <v>49</v>
      </c>
      <c r="F1002" s="5" t="s">
        <v>34</v>
      </c>
      <c r="G1002" s="6" t="s">
        <v>66</v>
      </c>
      <c r="H1002" s="5">
        <v>8.5</v>
      </c>
      <c r="I1002" s="5">
        <v>49.0</v>
      </c>
      <c r="J1002" s="5" t="str">
        <f t="shared" si="1"/>
        <v>Advance</v>
      </c>
      <c r="K1002" s="9">
        <v>5601.0</v>
      </c>
    </row>
    <row r="1003" ht="15.75" customHeight="1">
      <c r="A1003" s="5" t="s">
        <v>2788</v>
      </c>
      <c r="B1003" s="5" t="s">
        <v>2177</v>
      </c>
      <c r="C1003" s="5" t="s">
        <v>699</v>
      </c>
      <c r="D1003" s="5" t="s">
        <v>45</v>
      </c>
      <c r="E1003" s="5" t="s">
        <v>49</v>
      </c>
      <c r="F1003" s="5" t="s">
        <v>34</v>
      </c>
      <c r="G1003" s="6" t="s">
        <v>66</v>
      </c>
      <c r="H1003" s="5">
        <v>32.83</v>
      </c>
      <c r="I1003" s="5">
        <v>46.0</v>
      </c>
      <c r="J1003" s="5" t="str">
        <f t="shared" si="1"/>
        <v>Advance</v>
      </c>
      <c r="K1003" s="9">
        <v>6466.0</v>
      </c>
    </row>
    <row r="1004" ht="15.75" customHeight="1">
      <c r="A1004" s="5" t="s">
        <v>2789</v>
      </c>
      <c r="B1004" s="5" t="s">
        <v>2210</v>
      </c>
      <c r="C1004" s="5" t="s">
        <v>699</v>
      </c>
      <c r="D1004" s="5" t="s">
        <v>45</v>
      </c>
      <c r="E1004" s="5" t="s">
        <v>49</v>
      </c>
      <c r="F1004" s="5" t="s">
        <v>53</v>
      </c>
      <c r="G1004" s="6" t="s">
        <v>66</v>
      </c>
      <c r="H1004" s="5">
        <v>22.67</v>
      </c>
      <c r="I1004" s="5">
        <v>47.0</v>
      </c>
      <c r="J1004" s="5" t="str">
        <f t="shared" si="1"/>
        <v>Advance</v>
      </c>
      <c r="K1004" s="9">
        <v>44468.0</v>
      </c>
    </row>
    <row r="1005" ht="15.75" customHeight="1">
      <c r="A1005" s="5" t="s">
        <v>2792</v>
      </c>
      <c r="B1005" s="5" t="s">
        <v>2257</v>
      </c>
      <c r="C1005" s="5" t="s">
        <v>699</v>
      </c>
      <c r="D1005" s="5" t="s">
        <v>45</v>
      </c>
      <c r="E1005" s="5" t="s">
        <v>49</v>
      </c>
      <c r="F1005" s="5" t="s">
        <v>34</v>
      </c>
      <c r="G1005" s="6" t="s">
        <v>66</v>
      </c>
      <c r="H1005" s="5">
        <v>41.08</v>
      </c>
      <c r="I1005" s="5">
        <v>49.0</v>
      </c>
      <c r="J1005" s="5" t="str">
        <f t="shared" si="1"/>
        <v>Advance</v>
      </c>
      <c r="K1005" s="9">
        <v>5601.0</v>
      </c>
    </row>
    <row r="1006" ht="15.75" customHeight="1">
      <c r="A1006" s="5" t="s">
        <v>2793</v>
      </c>
      <c r="B1006" s="5" t="s">
        <v>2347</v>
      </c>
      <c r="C1006" s="5" t="s">
        <v>723</v>
      </c>
      <c r="D1006" s="5" t="s">
        <v>43</v>
      </c>
      <c r="E1006" s="5" t="s">
        <v>68</v>
      </c>
      <c r="F1006" s="5" t="s">
        <v>34</v>
      </c>
      <c r="G1006" s="6" t="s">
        <v>66</v>
      </c>
      <c r="H1006" s="5">
        <v>6.5</v>
      </c>
      <c r="I1006" s="5">
        <v>38.0</v>
      </c>
      <c r="J1006" s="5" t="str">
        <f t="shared" si="1"/>
        <v>Advance</v>
      </c>
      <c r="K1006" s="9">
        <v>11660.0</v>
      </c>
    </row>
    <row r="1007" ht="15.75" customHeight="1">
      <c r="A1007" s="5" t="s">
        <v>2796</v>
      </c>
      <c r="B1007" s="5" t="s">
        <v>2373</v>
      </c>
      <c r="C1007" s="5" t="s">
        <v>723</v>
      </c>
      <c r="D1007" s="5" t="s">
        <v>72</v>
      </c>
      <c r="E1007" s="5" t="s">
        <v>266</v>
      </c>
      <c r="F1007" s="5" t="s">
        <v>34</v>
      </c>
      <c r="G1007" s="6" t="s">
        <v>37</v>
      </c>
      <c r="H1007" s="5">
        <v>2.0</v>
      </c>
      <c r="I1007" s="5">
        <v>39.0</v>
      </c>
      <c r="J1007" s="5" t="str">
        <f t="shared" si="1"/>
        <v>Advance</v>
      </c>
      <c r="K1007" s="9">
        <v>3000.0</v>
      </c>
    </row>
    <row r="1008" ht="15.75" customHeight="1">
      <c r="A1008" s="5" t="s">
        <v>2797</v>
      </c>
      <c r="B1008" s="5" t="s">
        <v>2341</v>
      </c>
      <c r="C1008" s="5" t="s">
        <v>723</v>
      </c>
      <c r="D1008" s="5" t="s">
        <v>43</v>
      </c>
      <c r="E1008" s="5" t="s">
        <v>68</v>
      </c>
      <c r="F1008" s="5" t="s">
        <v>34</v>
      </c>
      <c r="G1008" s="6" t="s">
        <v>66</v>
      </c>
      <c r="H1008" s="5">
        <v>7.25</v>
      </c>
      <c r="I1008" s="5">
        <v>39.0</v>
      </c>
      <c r="J1008" s="5" t="str">
        <f t="shared" si="1"/>
        <v>Advance</v>
      </c>
      <c r="K1008" s="9">
        <v>1830.0</v>
      </c>
    </row>
    <row r="1009" ht="15.75" customHeight="1">
      <c r="A1009" s="5" t="s">
        <v>2799</v>
      </c>
      <c r="B1009" s="5" t="s">
        <v>2385</v>
      </c>
      <c r="C1009" s="5" t="s">
        <v>723</v>
      </c>
      <c r="D1009" s="5" t="s">
        <v>45</v>
      </c>
      <c r="E1009" s="5" t="s">
        <v>49</v>
      </c>
      <c r="F1009" s="5" t="s">
        <v>34</v>
      </c>
      <c r="G1009" s="6" t="s">
        <v>66</v>
      </c>
      <c r="H1009" s="5">
        <v>25.08</v>
      </c>
      <c r="I1009" s="5">
        <v>2.0</v>
      </c>
      <c r="J1009" s="5" t="str">
        <f t="shared" si="1"/>
        <v>Last Minute</v>
      </c>
      <c r="K1009" s="9">
        <v>13128.0</v>
      </c>
    </row>
    <row r="1010" ht="15.75" customHeight="1">
      <c r="A1010" s="5" t="s">
        <v>2800</v>
      </c>
      <c r="B1010" s="5" t="s">
        <v>2320</v>
      </c>
      <c r="C1010" s="5" t="s">
        <v>723</v>
      </c>
      <c r="D1010" s="5" t="s">
        <v>20</v>
      </c>
      <c r="E1010" s="5" t="s">
        <v>52</v>
      </c>
      <c r="F1010" s="5" t="s">
        <v>34</v>
      </c>
      <c r="G1010" s="6" t="s">
        <v>66</v>
      </c>
      <c r="H1010" s="5">
        <v>15.5</v>
      </c>
      <c r="I1010" s="5">
        <v>45.0</v>
      </c>
      <c r="J1010" s="5" t="str">
        <f t="shared" si="1"/>
        <v>Advance</v>
      </c>
      <c r="K1010" s="9">
        <v>4637.0</v>
      </c>
    </row>
    <row r="1011" ht="15.75" customHeight="1">
      <c r="A1011" s="5" t="s">
        <v>2801</v>
      </c>
      <c r="B1011" s="5" t="s">
        <v>2308</v>
      </c>
      <c r="C1011" s="5" t="s">
        <v>723</v>
      </c>
      <c r="D1011" s="5" t="s">
        <v>20</v>
      </c>
      <c r="E1011" s="5" t="s">
        <v>52</v>
      </c>
      <c r="F1011" s="5" t="s">
        <v>53</v>
      </c>
      <c r="G1011" s="6" t="s">
        <v>66</v>
      </c>
      <c r="H1011" s="5">
        <v>9.33</v>
      </c>
      <c r="I1011" s="5">
        <v>38.0</v>
      </c>
      <c r="J1011" s="5" t="str">
        <f t="shared" si="1"/>
        <v>Advance</v>
      </c>
      <c r="K1011" s="9">
        <v>64113.0</v>
      </c>
    </row>
    <row r="1012" ht="15.75" customHeight="1">
      <c r="A1012" s="5" t="s">
        <v>2803</v>
      </c>
      <c r="B1012" s="5" t="s">
        <v>2302</v>
      </c>
      <c r="C1012" s="5" t="s">
        <v>723</v>
      </c>
      <c r="D1012" s="5" t="s">
        <v>20</v>
      </c>
      <c r="E1012" s="5" t="s">
        <v>52</v>
      </c>
      <c r="F1012" s="5" t="s">
        <v>34</v>
      </c>
      <c r="G1012" s="6" t="s">
        <v>66</v>
      </c>
      <c r="H1012" s="5">
        <v>18.42</v>
      </c>
      <c r="I1012" s="5">
        <v>20.0</v>
      </c>
      <c r="J1012" s="5" t="str">
        <f t="shared" si="1"/>
        <v>Moderate</v>
      </c>
      <c r="K1012" s="9">
        <v>5054.0</v>
      </c>
    </row>
    <row r="1013" ht="15.75" customHeight="1">
      <c r="A1013" s="5" t="s">
        <v>2806</v>
      </c>
      <c r="B1013" s="5" t="s">
        <v>2379</v>
      </c>
      <c r="C1013" s="5" t="s">
        <v>723</v>
      </c>
      <c r="D1013" s="5" t="s">
        <v>20</v>
      </c>
      <c r="E1013" s="5" t="s">
        <v>52</v>
      </c>
      <c r="F1013" s="5" t="s">
        <v>34</v>
      </c>
      <c r="G1013" s="6" t="s">
        <v>66</v>
      </c>
      <c r="H1013" s="5">
        <v>20.58</v>
      </c>
      <c r="I1013" s="5">
        <v>46.0</v>
      </c>
      <c r="J1013" s="5" t="str">
        <f t="shared" si="1"/>
        <v>Advance</v>
      </c>
      <c r="K1013" s="9">
        <v>4294.0</v>
      </c>
    </row>
    <row r="1014" ht="15.75" customHeight="1">
      <c r="A1014" s="5" t="s">
        <v>2807</v>
      </c>
      <c r="B1014" s="5" t="s">
        <v>2335</v>
      </c>
      <c r="C1014" s="5" t="s">
        <v>723</v>
      </c>
      <c r="D1014" s="5" t="s">
        <v>20</v>
      </c>
      <c r="E1014" s="5" t="s">
        <v>52</v>
      </c>
      <c r="F1014" s="5" t="s">
        <v>53</v>
      </c>
      <c r="G1014" s="6" t="s">
        <v>66</v>
      </c>
      <c r="H1014" s="5">
        <v>13.17</v>
      </c>
      <c r="I1014" s="5">
        <v>23.0</v>
      </c>
      <c r="J1014" s="5" t="str">
        <f t="shared" si="1"/>
        <v>Moderate</v>
      </c>
      <c r="K1014" s="9">
        <v>64113.0</v>
      </c>
    </row>
    <row r="1015" ht="15.75" customHeight="1">
      <c r="A1015" s="5" t="s">
        <v>2809</v>
      </c>
      <c r="B1015" s="5" t="s">
        <v>2353</v>
      </c>
      <c r="C1015" s="5" t="s">
        <v>723</v>
      </c>
      <c r="D1015" s="5" t="s">
        <v>45</v>
      </c>
      <c r="E1015" s="5" t="s">
        <v>49</v>
      </c>
      <c r="F1015" s="5" t="s">
        <v>34</v>
      </c>
      <c r="G1015" s="6">
        <v>1.0</v>
      </c>
      <c r="H1015" s="5">
        <v>12.25</v>
      </c>
      <c r="I1015" s="5">
        <v>45.0</v>
      </c>
      <c r="J1015" s="5" t="str">
        <f t="shared" si="1"/>
        <v>Advance</v>
      </c>
      <c r="K1015" s="9">
        <v>4357.0</v>
      </c>
    </row>
    <row r="1016" ht="15.75" customHeight="1">
      <c r="A1016" s="5" t="s">
        <v>2812</v>
      </c>
      <c r="B1016" s="5" t="s">
        <v>2364</v>
      </c>
      <c r="C1016" s="5" t="s">
        <v>723</v>
      </c>
      <c r="D1016" s="5" t="s">
        <v>43</v>
      </c>
      <c r="E1016" s="5" t="s">
        <v>68</v>
      </c>
      <c r="F1016" s="5" t="s">
        <v>34</v>
      </c>
      <c r="G1016" s="6" t="s">
        <v>66</v>
      </c>
      <c r="H1016" s="5">
        <v>6.75</v>
      </c>
      <c r="I1016" s="5">
        <v>39.0</v>
      </c>
      <c r="J1016" s="5" t="str">
        <f t="shared" si="1"/>
        <v>Advance</v>
      </c>
      <c r="K1016" s="9">
        <v>1830.0</v>
      </c>
    </row>
    <row r="1017" ht="15.75" customHeight="1">
      <c r="A1017" s="5" t="s">
        <v>2814</v>
      </c>
      <c r="B1017" s="5" t="s">
        <v>2358</v>
      </c>
      <c r="C1017" s="5" t="s">
        <v>723</v>
      </c>
      <c r="D1017" s="5" t="s">
        <v>45</v>
      </c>
      <c r="E1017" s="5" t="s">
        <v>49</v>
      </c>
      <c r="F1017" s="5" t="s">
        <v>53</v>
      </c>
      <c r="G1017" s="6" t="s">
        <v>66</v>
      </c>
      <c r="H1017" s="5">
        <v>13.83</v>
      </c>
      <c r="I1017" s="5">
        <v>34.0</v>
      </c>
      <c r="J1017" s="5" t="str">
        <f t="shared" si="1"/>
        <v>Advance</v>
      </c>
      <c r="K1017" s="9">
        <v>49553.0</v>
      </c>
    </row>
    <row r="1018" ht="15.75" customHeight="1">
      <c r="A1018" s="5" t="s">
        <v>2817</v>
      </c>
      <c r="B1018" s="5" t="s">
        <v>2390</v>
      </c>
      <c r="C1018" s="5" t="s">
        <v>723</v>
      </c>
      <c r="D1018" s="5" t="s">
        <v>20</v>
      </c>
      <c r="E1018" s="5" t="s">
        <v>52</v>
      </c>
      <c r="F1018" s="5" t="s">
        <v>34</v>
      </c>
      <c r="G1018" s="6" t="s">
        <v>66</v>
      </c>
      <c r="H1018" s="5">
        <v>9.5</v>
      </c>
      <c r="I1018" s="5">
        <v>33.0</v>
      </c>
      <c r="J1018" s="5" t="str">
        <f t="shared" si="1"/>
        <v>Advance</v>
      </c>
      <c r="K1018" s="9">
        <v>8233.0</v>
      </c>
    </row>
    <row r="1019" ht="15.75" customHeight="1">
      <c r="A1019" s="5" t="s">
        <v>2821</v>
      </c>
      <c r="B1019" s="5" t="s">
        <v>2346</v>
      </c>
      <c r="C1019" s="5" t="s">
        <v>723</v>
      </c>
      <c r="D1019" s="5" t="s">
        <v>20</v>
      </c>
      <c r="E1019" s="5" t="s">
        <v>52</v>
      </c>
      <c r="F1019" s="5" t="s">
        <v>34</v>
      </c>
      <c r="G1019" s="6" t="s">
        <v>66</v>
      </c>
      <c r="H1019" s="5">
        <v>23.17</v>
      </c>
      <c r="I1019" s="5">
        <v>2.0</v>
      </c>
      <c r="J1019" s="5" t="str">
        <f t="shared" si="1"/>
        <v>Last Minute</v>
      </c>
      <c r="K1019" s="9">
        <v>27776.0</v>
      </c>
    </row>
    <row r="1020" ht="15.75" customHeight="1">
      <c r="A1020" s="5" t="s">
        <v>2824</v>
      </c>
      <c r="B1020" s="5" t="s">
        <v>2333</v>
      </c>
      <c r="C1020" s="5" t="s">
        <v>723</v>
      </c>
      <c r="D1020" s="5" t="s">
        <v>45</v>
      </c>
      <c r="E1020" s="5" t="s">
        <v>49</v>
      </c>
      <c r="F1020" s="5" t="s">
        <v>34</v>
      </c>
      <c r="G1020" s="6" t="s">
        <v>66</v>
      </c>
      <c r="H1020" s="5">
        <v>32.92</v>
      </c>
      <c r="I1020" s="5">
        <v>7.0</v>
      </c>
      <c r="J1020" s="5" t="str">
        <f t="shared" si="1"/>
        <v>Last Minute</v>
      </c>
      <c r="K1020" s="9">
        <v>16176.0</v>
      </c>
    </row>
    <row r="1021" ht="15.75" customHeight="1">
      <c r="A1021" s="5" t="s">
        <v>2826</v>
      </c>
      <c r="B1021" s="5" t="s">
        <v>2339</v>
      </c>
      <c r="C1021" s="5" t="s">
        <v>723</v>
      </c>
      <c r="D1021" s="5" t="s">
        <v>20</v>
      </c>
      <c r="E1021" s="5" t="s">
        <v>52</v>
      </c>
      <c r="F1021" s="5" t="s">
        <v>34</v>
      </c>
      <c r="G1021" s="6" t="s">
        <v>66</v>
      </c>
      <c r="H1021" s="5">
        <v>12.67</v>
      </c>
      <c r="I1021" s="5">
        <v>45.0</v>
      </c>
      <c r="J1021" s="5" t="str">
        <f t="shared" si="1"/>
        <v>Advance</v>
      </c>
      <c r="K1021" s="9">
        <v>5247.0</v>
      </c>
    </row>
    <row r="1022" ht="15.75" customHeight="1">
      <c r="A1022" s="5" t="s">
        <v>2828</v>
      </c>
      <c r="B1022" s="5" t="s">
        <v>2324</v>
      </c>
      <c r="C1022" s="5" t="s">
        <v>723</v>
      </c>
      <c r="D1022" s="5" t="s">
        <v>45</v>
      </c>
      <c r="E1022" s="5" t="s">
        <v>49</v>
      </c>
      <c r="F1022" s="5" t="s">
        <v>34</v>
      </c>
      <c r="G1022" s="6" t="s">
        <v>66</v>
      </c>
      <c r="H1022" s="5">
        <v>11.5</v>
      </c>
      <c r="I1022" s="5">
        <v>4.0</v>
      </c>
      <c r="J1022" s="5" t="str">
        <f t="shared" si="1"/>
        <v>Last Minute</v>
      </c>
      <c r="K1022" s="9">
        <v>12197.0</v>
      </c>
    </row>
    <row r="1023" ht="15.75" customHeight="1">
      <c r="A1023" s="5" t="s">
        <v>2829</v>
      </c>
      <c r="B1023" s="5" t="s">
        <v>2392</v>
      </c>
      <c r="C1023" s="5" t="s">
        <v>723</v>
      </c>
      <c r="D1023" s="5" t="s">
        <v>72</v>
      </c>
      <c r="E1023" s="5" t="s">
        <v>266</v>
      </c>
      <c r="F1023" s="5" t="s">
        <v>34</v>
      </c>
      <c r="G1023" s="6" t="s">
        <v>66</v>
      </c>
      <c r="H1023" s="5">
        <v>15.5</v>
      </c>
      <c r="I1023" s="5">
        <v>5.0</v>
      </c>
      <c r="J1023" s="5" t="str">
        <f t="shared" si="1"/>
        <v>Last Minute</v>
      </c>
      <c r="K1023" s="9">
        <v>5881.0</v>
      </c>
    </row>
    <row r="1024" ht="15.75" customHeight="1">
      <c r="A1024" s="5" t="s">
        <v>2830</v>
      </c>
      <c r="B1024" s="5" t="s">
        <v>2326</v>
      </c>
      <c r="C1024" s="5" t="s">
        <v>723</v>
      </c>
      <c r="D1024" s="5" t="s">
        <v>20</v>
      </c>
      <c r="E1024" s="5" t="s">
        <v>52</v>
      </c>
      <c r="F1024" s="5" t="s">
        <v>34</v>
      </c>
      <c r="G1024" s="6" t="s">
        <v>66</v>
      </c>
      <c r="H1024" s="5">
        <v>6.67</v>
      </c>
      <c r="I1024" s="5">
        <v>35.0</v>
      </c>
      <c r="J1024" s="5" t="str">
        <f t="shared" si="1"/>
        <v>Advance</v>
      </c>
      <c r="K1024" s="9">
        <v>4137.0</v>
      </c>
    </row>
    <row r="1025" ht="15.75" customHeight="1">
      <c r="A1025" s="5" t="s">
        <v>2832</v>
      </c>
      <c r="B1025" s="5" t="s">
        <v>2352</v>
      </c>
      <c r="C1025" s="5" t="s">
        <v>723</v>
      </c>
      <c r="D1025" s="5" t="s">
        <v>20</v>
      </c>
      <c r="E1025" s="5" t="s">
        <v>52</v>
      </c>
      <c r="F1025" s="5" t="s">
        <v>34</v>
      </c>
      <c r="G1025" s="6" t="s">
        <v>66</v>
      </c>
      <c r="H1025" s="5">
        <v>10.0</v>
      </c>
      <c r="I1025" s="5">
        <v>36.0</v>
      </c>
      <c r="J1025" s="5" t="str">
        <f t="shared" si="1"/>
        <v>Advance</v>
      </c>
      <c r="K1025" s="9">
        <v>8233.0</v>
      </c>
    </row>
    <row r="1026" ht="15.75" customHeight="1">
      <c r="A1026" s="5" t="s">
        <v>2834</v>
      </c>
      <c r="B1026" s="5" t="s">
        <v>2318</v>
      </c>
      <c r="C1026" s="5" t="s">
        <v>723</v>
      </c>
      <c r="D1026" s="5" t="s">
        <v>20</v>
      </c>
      <c r="E1026" s="5" t="s">
        <v>52</v>
      </c>
      <c r="F1026" s="5" t="s">
        <v>34</v>
      </c>
      <c r="G1026" s="6" t="s">
        <v>66</v>
      </c>
      <c r="H1026" s="5">
        <v>12.67</v>
      </c>
      <c r="J1026" s="5" t="str">
        <f t="shared" si="1"/>
        <v>Last Minute</v>
      </c>
      <c r="K1026" s="9">
        <v>17043.0</v>
      </c>
    </row>
    <row r="1027" ht="15.75" customHeight="1">
      <c r="A1027" s="5" t="s">
        <v>2835</v>
      </c>
      <c r="B1027" s="5" t="s">
        <v>2382</v>
      </c>
      <c r="C1027" s="5" t="s">
        <v>723</v>
      </c>
      <c r="D1027" s="5" t="s">
        <v>43</v>
      </c>
      <c r="E1027" s="5" t="s">
        <v>68</v>
      </c>
      <c r="F1027" s="5" t="s">
        <v>34</v>
      </c>
      <c r="G1027" s="6" t="s">
        <v>66</v>
      </c>
      <c r="H1027" s="5">
        <v>8.75</v>
      </c>
      <c r="I1027" s="5">
        <v>39.0</v>
      </c>
      <c r="J1027" s="5" t="str">
        <f t="shared" si="1"/>
        <v>Advance</v>
      </c>
      <c r="K1027" s="9">
        <v>1830.0</v>
      </c>
    </row>
    <row r="1028" ht="15.75" customHeight="1">
      <c r="A1028" s="5" t="s">
        <v>2838</v>
      </c>
      <c r="B1028" s="5" t="s">
        <v>2305</v>
      </c>
      <c r="C1028" s="5" t="s">
        <v>723</v>
      </c>
      <c r="D1028" s="5" t="s">
        <v>45</v>
      </c>
      <c r="E1028" s="5" t="s">
        <v>49</v>
      </c>
      <c r="F1028" s="5" t="s">
        <v>34</v>
      </c>
      <c r="G1028" s="6" t="s">
        <v>66</v>
      </c>
      <c r="H1028" s="5">
        <v>8.08</v>
      </c>
      <c r="I1028" s="5">
        <v>14.0</v>
      </c>
      <c r="J1028" s="5" t="str">
        <f t="shared" si="1"/>
        <v>Short Notice</v>
      </c>
      <c r="K1028" s="9">
        <v>9141.0</v>
      </c>
    </row>
    <row r="1029" ht="15.75" customHeight="1">
      <c r="A1029" s="5" t="s">
        <v>2840</v>
      </c>
      <c r="B1029" s="5" t="s">
        <v>2355</v>
      </c>
      <c r="C1029" s="5" t="s">
        <v>723</v>
      </c>
      <c r="D1029" s="5" t="s">
        <v>20</v>
      </c>
      <c r="E1029" s="5" t="s">
        <v>52</v>
      </c>
      <c r="F1029" s="5" t="s">
        <v>34</v>
      </c>
      <c r="G1029" s="6" t="s">
        <v>66</v>
      </c>
      <c r="H1029" s="5">
        <v>21.17</v>
      </c>
      <c r="I1029" s="5">
        <v>10.0</v>
      </c>
      <c r="J1029" s="5" t="str">
        <f t="shared" si="1"/>
        <v>Short Notice</v>
      </c>
      <c r="K1029" s="9">
        <v>11783.0</v>
      </c>
    </row>
    <row r="1030" ht="15.75" customHeight="1">
      <c r="A1030" s="5" t="s">
        <v>2841</v>
      </c>
      <c r="B1030" s="5" t="s">
        <v>2315</v>
      </c>
      <c r="C1030" s="5" t="s">
        <v>723</v>
      </c>
      <c r="D1030" s="5" t="s">
        <v>20</v>
      </c>
      <c r="E1030" s="5" t="s">
        <v>52</v>
      </c>
      <c r="F1030" s="5" t="s">
        <v>34</v>
      </c>
      <c r="G1030" s="6" t="s">
        <v>66</v>
      </c>
      <c r="H1030" s="5">
        <v>13.83</v>
      </c>
      <c r="I1030" s="5">
        <v>8.0</v>
      </c>
      <c r="J1030" s="5" t="str">
        <f t="shared" si="1"/>
        <v>Short Notice</v>
      </c>
      <c r="K1030" s="9">
        <v>17043.0</v>
      </c>
    </row>
    <row r="1031" ht="15.75" customHeight="1">
      <c r="A1031" s="5" t="s">
        <v>2842</v>
      </c>
      <c r="B1031" s="5" t="s">
        <v>2337</v>
      </c>
      <c r="C1031" s="5" t="s">
        <v>723</v>
      </c>
      <c r="D1031" s="5" t="s">
        <v>45</v>
      </c>
      <c r="E1031" s="5" t="s">
        <v>49</v>
      </c>
      <c r="F1031" s="5" t="s">
        <v>34</v>
      </c>
      <c r="G1031" s="6" t="s">
        <v>180</v>
      </c>
      <c r="H1031" s="5">
        <v>35.5</v>
      </c>
      <c r="I1031" s="5">
        <v>9.0</v>
      </c>
      <c r="J1031" s="5" t="str">
        <f t="shared" si="1"/>
        <v>Short Notice</v>
      </c>
      <c r="K1031" s="9">
        <v>11871.0</v>
      </c>
    </row>
    <row r="1032" ht="15.75" customHeight="1">
      <c r="A1032" s="5" t="s">
        <v>2844</v>
      </c>
      <c r="B1032" s="5" t="s">
        <v>2343</v>
      </c>
      <c r="C1032" s="5" t="s">
        <v>723</v>
      </c>
      <c r="D1032" s="5" t="s">
        <v>29</v>
      </c>
      <c r="E1032" s="5" t="s">
        <v>32</v>
      </c>
      <c r="F1032" s="5" t="s">
        <v>34</v>
      </c>
      <c r="G1032" s="6" t="s">
        <v>66</v>
      </c>
      <c r="H1032" s="5">
        <v>8.5</v>
      </c>
      <c r="I1032" s="5">
        <v>26.0</v>
      </c>
      <c r="J1032" s="5" t="str">
        <f t="shared" si="1"/>
        <v>Moderate</v>
      </c>
      <c r="K1032" s="9">
        <v>1830.0</v>
      </c>
    </row>
    <row r="1033" ht="15.75" customHeight="1">
      <c r="A1033" s="5" t="s">
        <v>2847</v>
      </c>
      <c r="B1033" s="5" t="s">
        <v>2370</v>
      </c>
      <c r="C1033" s="5" t="s">
        <v>723</v>
      </c>
      <c r="D1033" s="5" t="s">
        <v>20</v>
      </c>
      <c r="E1033" s="5" t="s">
        <v>52</v>
      </c>
      <c r="F1033" s="5" t="s">
        <v>34</v>
      </c>
      <c r="G1033" s="6" t="s">
        <v>180</v>
      </c>
      <c r="H1033" s="5">
        <v>8.08</v>
      </c>
      <c r="I1033" s="5">
        <v>15.0</v>
      </c>
      <c r="J1033" s="5" t="str">
        <f t="shared" si="1"/>
        <v>Short Notice</v>
      </c>
      <c r="K1033" s="9">
        <v>12408.0</v>
      </c>
    </row>
    <row r="1034" ht="15.75" customHeight="1">
      <c r="A1034" s="5" t="s">
        <v>2849</v>
      </c>
      <c r="B1034" s="5" t="s">
        <v>2300</v>
      </c>
      <c r="C1034" s="5" t="s">
        <v>723</v>
      </c>
      <c r="D1034" s="5" t="s">
        <v>45</v>
      </c>
      <c r="E1034" s="5" t="s">
        <v>49</v>
      </c>
      <c r="F1034" s="5" t="s">
        <v>34</v>
      </c>
      <c r="G1034" s="6" t="s">
        <v>66</v>
      </c>
      <c r="H1034" s="5">
        <v>31.25</v>
      </c>
      <c r="I1034" s="5">
        <v>18.0</v>
      </c>
      <c r="J1034" s="5" t="str">
        <f t="shared" si="1"/>
        <v>Moderate</v>
      </c>
      <c r="K1034" s="9">
        <v>7427.0</v>
      </c>
    </row>
    <row r="1035" ht="15.75" customHeight="1">
      <c r="A1035" s="5" t="s">
        <v>2851</v>
      </c>
      <c r="B1035" s="5" t="s">
        <v>2330</v>
      </c>
      <c r="C1035" s="5" t="s">
        <v>723</v>
      </c>
      <c r="D1035" s="5" t="s">
        <v>45</v>
      </c>
      <c r="E1035" s="5" t="s">
        <v>49</v>
      </c>
      <c r="F1035" s="5" t="s">
        <v>34</v>
      </c>
      <c r="G1035" s="6" t="s">
        <v>66</v>
      </c>
      <c r="H1035" s="5">
        <v>23.42</v>
      </c>
      <c r="I1035" s="5">
        <v>20.0</v>
      </c>
      <c r="J1035" s="5" t="str">
        <f t="shared" si="1"/>
        <v>Moderate</v>
      </c>
      <c r="K1035" s="9">
        <v>8048.0</v>
      </c>
    </row>
    <row r="1036" ht="15.75" customHeight="1">
      <c r="A1036" s="5" t="s">
        <v>2853</v>
      </c>
      <c r="B1036" s="5" t="s">
        <v>2377</v>
      </c>
      <c r="C1036" s="5" t="s">
        <v>723</v>
      </c>
      <c r="D1036" s="5" t="s">
        <v>45</v>
      </c>
      <c r="E1036" s="5" t="s">
        <v>49</v>
      </c>
      <c r="F1036" s="5" t="s">
        <v>34</v>
      </c>
      <c r="G1036" s="6" t="s">
        <v>66</v>
      </c>
      <c r="H1036" s="5">
        <v>29.92</v>
      </c>
      <c r="I1036" s="5">
        <v>44.0</v>
      </c>
      <c r="J1036" s="5" t="str">
        <f t="shared" si="1"/>
        <v>Advance</v>
      </c>
      <c r="K1036" s="9">
        <v>5132.0</v>
      </c>
    </row>
    <row r="1037" ht="15.75" customHeight="1">
      <c r="A1037" s="5" t="s">
        <v>2855</v>
      </c>
      <c r="B1037" s="5" t="s">
        <v>2367</v>
      </c>
      <c r="C1037" s="5" t="s">
        <v>723</v>
      </c>
      <c r="D1037" s="5" t="s">
        <v>45</v>
      </c>
      <c r="E1037" s="5" t="s">
        <v>49</v>
      </c>
      <c r="F1037" s="5" t="s">
        <v>34</v>
      </c>
      <c r="G1037" s="6" t="s">
        <v>66</v>
      </c>
      <c r="H1037" s="5">
        <v>25.75</v>
      </c>
      <c r="I1037" s="5">
        <v>44.0</v>
      </c>
      <c r="J1037" s="5" t="str">
        <f t="shared" si="1"/>
        <v>Advance</v>
      </c>
      <c r="K1037" s="9">
        <v>7442.0</v>
      </c>
    </row>
    <row r="1038" ht="15.75" customHeight="1">
      <c r="A1038" s="5" t="s">
        <v>2856</v>
      </c>
      <c r="B1038" s="5" t="s">
        <v>2362</v>
      </c>
      <c r="C1038" s="5" t="s">
        <v>723</v>
      </c>
      <c r="D1038" s="5" t="s">
        <v>58</v>
      </c>
      <c r="E1038" s="5" t="s">
        <v>59</v>
      </c>
      <c r="F1038" s="5" t="s">
        <v>34</v>
      </c>
      <c r="G1038" s="6" t="s">
        <v>66</v>
      </c>
      <c r="H1038" s="5">
        <v>7.5</v>
      </c>
      <c r="I1038" s="5">
        <v>45.0</v>
      </c>
      <c r="J1038" s="5" t="str">
        <f t="shared" si="1"/>
        <v>Advance</v>
      </c>
      <c r="K1038" s="9">
        <v>3663.0</v>
      </c>
    </row>
    <row r="1039" ht="15.75" customHeight="1">
      <c r="A1039" s="5" t="s">
        <v>2857</v>
      </c>
      <c r="B1039" s="5" t="s">
        <v>2375</v>
      </c>
      <c r="C1039" s="5" t="s">
        <v>723</v>
      </c>
      <c r="D1039" s="5" t="s">
        <v>20</v>
      </c>
      <c r="E1039" s="5" t="s">
        <v>52</v>
      </c>
      <c r="F1039" s="5" t="s">
        <v>34</v>
      </c>
      <c r="G1039" s="6" t="s">
        <v>66</v>
      </c>
      <c r="H1039" s="5">
        <v>20.58</v>
      </c>
      <c r="I1039" s="5">
        <v>46.0</v>
      </c>
      <c r="J1039" s="5" t="str">
        <f t="shared" si="1"/>
        <v>Advance</v>
      </c>
      <c r="K1039" s="9">
        <v>4117.0</v>
      </c>
    </row>
    <row r="1040" ht="15.75" customHeight="1">
      <c r="A1040" s="5" t="s">
        <v>2858</v>
      </c>
      <c r="B1040" s="5" t="s">
        <v>2387</v>
      </c>
      <c r="C1040" s="5" t="s">
        <v>723</v>
      </c>
      <c r="D1040" s="5" t="s">
        <v>58</v>
      </c>
      <c r="E1040" s="5" t="s">
        <v>59</v>
      </c>
      <c r="F1040" s="5" t="s">
        <v>34</v>
      </c>
      <c r="G1040" s="6" t="s">
        <v>66</v>
      </c>
      <c r="H1040" s="5">
        <v>10.75</v>
      </c>
      <c r="I1040" s="5">
        <v>45.0</v>
      </c>
      <c r="J1040" s="5" t="str">
        <f t="shared" si="1"/>
        <v>Advance</v>
      </c>
      <c r="K1040" s="9">
        <v>4554.0</v>
      </c>
    </row>
    <row r="1041" ht="15.75" customHeight="1">
      <c r="A1041" s="5" t="s">
        <v>2859</v>
      </c>
      <c r="B1041" s="5" t="s">
        <v>2312</v>
      </c>
      <c r="C1041" s="5" t="s">
        <v>723</v>
      </c>
      <c r="D1041" s="5" t="s">
        <v>20</v>
      </c>
      <c r="E1041" s="5" t="s">
        <v>52</v>
      </c>
      <c r="F1041" s="5" t="s">
        <v>53</v>
      </c>
      <c r="G1041" s="6" t="s">
        <v>66</v>
      </c>
      <c r="H1041" s="5">
        <v>16.33</v>
      </c>
      <c r="I1041" s="5">
        <v>48.0</v>
      </c>
      <c r="J1041" s="5" t="str">
        <f t="shared" si="1"/>
        <v>Advance</v>
      </c>
      <c r="K1041" s="9">
        <v>93200.0</v>
      </c>
    </row>
    <row r="1042" ht="15.75" customHeight="1">
      <c r="A1042" s="5" t="s">
        <v>2860</v>
      </c>
      <c r="B1042" s="5" t="s">
        <v>2357</v>
      </c>
      <c r="C1042" s="5" t="s">
        <v>723</v>
      </c>
      <c r="D1042" s="5" t="s">
        <v>20</v>
      </c>
      <c r="E1042" s="5" t="s">
        <v>52</v>
      </c>
      <c r="F1042" s="5" t="s">
        <v>53</v>
      </c>
      <c r="G1042" s="6" t="s">
        <v>66</v>
      </c>
      <c r="H1042" s="5">
        <v>14.5</v>
      </c>
      <c r="I1042" s="5">
        <v>48.0</v>
      </c>
      <c r="J1042" s="5" t="str">
        <f t="shared" si="1"/>
        <v>Advance</v>
      </c>
      <c r="K1042" s="9">
        <v>63979.0</v>
      </c>
    </row>
    <row r="1043" ht="15.75" customHeight="1">
      <c r="A1043" s="5" t="s">
        <v>2861</v>
      </c>
      <c r="B1043" s="5" t="s">
        <v>2328</v>
      </c>
      <c r="C1043" s="5" t="s">
        <v>723</v>
      </c>
      <c r="D1043" s="5" t="s">
        <v>45</v>
      </c>
      <c r="E1043" s="5" t="s">
        <v>49</v>
      </c>
      <c r="F1043" s="5" t="s">
        <v>53</v>
      </c>
      <c r="G1043" s="6" t="s">
        <v>66</v>
      </c>
      <c r="H1043" s="5">
        <v>20.25</v>
      </c>
      <c r="I1043" s="5">
        <v>47.0</v>
      </c>
      <c r="J1043" s="5" t="str">
        <f t="shared" si="1"/>
        <v>Advance</v>
      </c>
      <c r="K1043" s="9">
        <v>32305.0</v>
      </c>
    </row>
    <row r="1044" ht="15.75" customHeight="1">
      <c r="A1044" s="5" t="s">
        <v>2862</v>
      </c>
      <c r="B1044" s="5" t="s">
        <v>2350</v>
      </c>
      <c r="C1044" s="5" t="s">
        <v>723</v>
      </c>
      <c r="D1044" s="5" t="s">
        <v>45</v>
      </c>
      <c r="E1044" s="5" t="s">
        <v>49</v>
      </c>
      <c r="F1044" s="5" t="s">
        <v>34</v>
      </c>
      <c r="G1044" s="6" t="s">
        <v>66</v>
      </c>
      <c r="H1044" s="5">
        <v>33.75</v>
      </c>
      <c r="I1044" s="5">
        <v>49.0</v>
      </c>
      <c r="J1044" s="5" t="str">
        <f t="shared" si="1"/>
        <v>Advance</v>
      </c>
      <c r="K1044" s="9">
        <v>5320.0</v>
      </c>
    </row>
    <row r="1045" ht="15.75" customHeight="1">
      <c r="A1045" s="5" t="s">
        <v>2863</v>
      </c>
      <c r="B1045" s="5" t="s">
        <v>2489</v>
      </c>
      <c r="C1045" s="5" t="s">
        <v>753</v>
      </c>
      <c r="D1045" s="5" t="s">
        <v>45</v>
      </c>
      <c r="E1045" s="5" t="s">
        <v>49</v>
      </c>
      <c r="F1045" s="5" t="s">
        <v>53</v>
      </c>
      <c r="G1045" s="6" t="s">
        <v>66</v>
      </c>
      <c r="H1045" s="5">
        <v>23.25</v>
      </c>
      <c r="I1045" s="5">
        <v>5.0</v>
      </c>
      <c r="J1045" s="5" t="str">
        <f t="shared" si="1"/>
        <v>Last Minute</v>
      </c>
      <c r="K1045" s="9">
        <v>72356.0</v>
      </c>
    </row>
    <row r="1046" ht="15.75" customHeight="1">
      <c r="A1046" s="5" t="s">
        <v>2864</v>
      </c>
      <c r="B1046" s="5" t="s">
        <v>2444</v>
      </c>
      <c r="C1046" s="5" t="s">
        <v>753</v>
      </c>
      <c r="D1046" s="5" t="s">
        <v>43</v>
      </c>
      <c r="E1046" s="5" t="s">
        <v>68</v>
      </c>
      <c r="F1046" s="5" t="s">
        <v>34</v>
      </c>
      <c r="G1046" s="6" t="s">
        <v>66</v>
      </c>
      <c r="H1046" s="5">
        <v>5.83</v>
      </c>
      <c r="I1046" s="5">
        <v>2.0</v>
      </c>
      <c r="J1046" s="5" t="str">
        <f t="shared" si="1"/>
        <v>Last Minute</v>
      </c>
      <c r="K1046" s="9">
        <v>7037.0</v>
      </c>
    </row>
    <row r="1047" ht="15.75" customHeight="1">
      <c r="A1047" s="5" t="s">
        <v>2865</v>
      </c>
      <c r="B1047" s="5" t="s">
        <v>2418</v>
      </c>
      <c r="C1047" s="5" t="s">
        <v>753</v>
      </c>
      <c r="D1047" s="5" t="s">
        <v>20</v>
      </c>
      <c r="E1047" s="5" t="s">
        <v>52</v>
      </c>
      <c r="F1047" s="5" t="s">
        <v>53</v>
      </c>
      <c r="G1047" s="6" t="s">
        <v>66</v>
      </c>
      <c r="H1047" s="5">
        <v>25.08</v>
      </c>
      <c r="I1047" s="5">
        <v>10.0</v>
      </c>
      <c r="J1047" s="5" t="str">
        <f t="shared" si="1"/>
        <v>Short Notice</v>
      </c>
      <c r="K1047" s="9">
        <v>60260.0</v>
      </c>
    </row>
    <row r="1048" ht="15.75" customHeight="1">
      <c r="A1048" s="5" t="s">
        <v>2866</v>
      </c>
      <c r="B1048" s="5" t="s">
        <v>2473</v>
      </c>
      <c r="C1048" s="5" t="s">
        <v>753</v>
      </c>
      <c r="D1048" s="5" t="s">
        <v>20</v>
      </c>
      <c r="E1048" s="5" t="s">
        <v>52</v>
      </c>
      <c r="F1048" s="5" t="s">
        <v>34</v>
      </c>
      <c r="G1048" s="6" t="s">
        <v>66</v>
      </c>
      <c r="H1048" s="5">
        <v>19.92</v>
      </c>
      <c r="I1048" s="5">
        <v>27.0</v>
      </c>
      <c r="J1048" s="5" t="str">
        <f t="shared" si="1"/>
        <v>Moderate</v>
      </c>
      <c r="K1048" s="9">
        <v>6437.0</v>
      </c>
    </row>
    <row r="1049" ht="15.75" customHeight="1">
      <c r="A1049" s="5" t="s">
        <v>2867</v>
      </c>
      <c r="B1049" s="5" t="s">
        <v>2402</v>
      </c>
      <c r="C1049" s="5" t="s">
        <v>753</v>
      </c>
      <c r="D1049" s="5" t="s">
        <v>45</v>
      </c>
      <c r="E1049" s="5" t="s">
        <v>49</v>
      </c>
      <c r="F1049" s="5" t="s">
        <v>53</v>
      </c>
      <c r="G1049" s="6">
        <v>1.0</v>
      </c>
      <c r="H1049" s="5">
        <v>7.5</v>
      </c>
      <c r="I1049" s="5">
        <v>2.0</v>
      </c>
      <c r="J1049" s="5" t="str">
        <f t="shared" si="1"/>
        <v>Last Minute</v>
      </c>
      <c r="K1049" s="9">
        <v>65309.0</v>
      </c>
    </row>
    <row r="1050" ht="15.75" customHeight="1">
      <c r="A1050" s="5" t="s">
        <v>2869</v>
      </c>
      <c r="B1050" s="5" t="s">
        <v>2449</v>
      </c>
      <c r="C1050" s="5" t="s">
        <v>753</v>
      </c>
      <c r="D1050" s="5" t="s">
        <v>45</v>
      </c>
      <c r="E1050" s="5" t="s">
        <v>49</v>
      </c>
      <c r="F1050" s="5" t="s">
        <v>34</v>
      </c>
      <c r="G1050" s="6" t="s">
        <v>66</v>
      </c>
      <c r="H1050" s="5">
        <v>34.0</v>
      </c>
      <c r="I1050" s="5">
        <v>42.0</v>
      </c>
      <c r="J1050" s="5" t="str">
        <f t="shared" si="1"/>
        <v>Advance</v>
      </c>
      <c r="K1050" s="9">
        <v>5012.0</v>
      </c>
    </row>
    <row r="1051" ht="15.75" customHeight="1">
      <c r="A1051" s="5" t="s">
        <v>2871</v>
      </c>
      <c r="B1051" s="5" t="s">
        <v>2507</v>
      </c>
      <c r="C1051" s="5" t="s">
        <v>753</v>
      </c>
      <c r="D1051" s="5" t="s">
        <v>45</v>
      </c>
      <c r="E1051" s="5" t="s">
        <v>49</v>
      </c>
      <c r="F1051" s="5" t="s">
        <v>53</v>
      </c>
      <c r="G1051" s="6" t="s">
        <v>66</v>
      </c>
      <c r="H1051" s="5">
        <v>14.25</v>
      </c>
      <c r="I1051" s="5">
        <v>43.0</v>
      </c>
      <c r="J1051" s="5" t="str">
        <f t="shared" si="1"/>
        <v>Advance</v>
      </c>
      <c r="K1051" s="9">
        <v>60260.0</v>
      </c>
    </row>
    <row r="1052" ht="15.75" customHeight="1">
      <c r="A1052" s="5" t="s">
        <v>2873</v>
      </c>
      <c r="B1052" s="5" t="s">
        <v>2487</v>
      </c>
      <c r="C1052" s="5" t="s">
        <v>753</v>
      </c>
      <c r="D1052" s="5" t="s">
        <v>45</v>
      </c>
      <c r="E1052" s="5" t="s">
        <v>49</v>
      </c>
      <c r="F1052" s="5" t="s">
        <v>34</v>
      </c>
      <c r="G1052" s="6" t="s">
        <v>66</v>
      </c>
      <c r="H1052" s="5">
        <v>12.33</v>
      </c>
      <c r="I1052" s="5">
        <v>3.0</v>
      </c>
      <c r="J1052" s="5" t="str">
        <f t="shared" si="1"/>
        <v>Last Minute</v>
      </c>
      <c r="K1052" s="9">
        <v>29561.0</v>
      </c>
    </row>
    <row r="1053" ht="15.75" customHeight="1">
      <c r="A1053" s="5" t="s">
        <v>2875</v>
      </c>
      <c r="B1053" s="5" t="s">
        <v>2459</v>
      </c>
      <c r="C1053" s="5" t="s">
        <v>753</v>
      </c>
      <c r="D1053" s="5" t="s">
        <v>20</v>
      </c>
      <c r="E1053" s="5" t="s">
        <v>52</v>
      </c>
      <c r="F1053" s="5" t="s">
        <v>34</v>
      </c>
      <c r="G1053" s="6" t="s">
        <v>66</v>
      </c>
      <c r="H1053" s="5">
        <v>26.25</v>
      </c>
      <c r="I1053" s="5">
        <v>4.0</v>
      </c>
      <c r="J1053" s="5" t="str">
        <f t="shared" si="1"/>
        <v>Last Minute</v>
      </c>
      <c r="K1053" s="9">
        <v>12318.0</v>
      </c>
    </row>
    <row r="1054" ht="15.75" customHeight="1">
      <c r="A1054" s="5" t="s">
        <v>2876</v>
      </c>
      <c r="B1054" s="5" t="s">
        <v>2482</v>
      </c>
      <c r="C1054" s="5" t="s">
        <v>753</v>
      </c>
      <c r="D1054" s="5" t="s">
        <v>20</v>
      </c>
      <c r="E1054" s="5" t="s">
        <v>52</v>
      </c>
      <c r="F1054" s="5" t="s">
        <v>34</v>
      </c>
      <c r="G1054" s="6" t="s">
        <v>66</v>
      </c>
      <c r="H1054" s="5">
        <v>22.42</v>
      </c>
      <c r="I1054" s="5">
        <v>4.0</v>
      </c>
      <c r="J1054" s="5" t="str">
        <f t="shared" si="1"/>
        <v>Last Minute</v>
      </c>
      <c r="K1054" s="9">
        <v>14954.0</v>
      </c>
    </row>
    <row r="1055" ht="15.75" customHeight="1">
      <c r="A1055" s="5" t="s">
        <v>2878</v>
      </c>
      <c r="B1055" s="5" t="s">
        <v>2461</v>
      </c>
      <c r="C1055" s="5" t="s">
        <v>753</v>
      </c>
      <c r="D1055" s="5" t="s">
        <v>45</v>
      </c>
      <c r="E1055" s="5" t="s">
        <v>49</v>
      </c>
      <c r="F1055" s="5" t="s">
        <v>34</v>
      </c>
      <c r="G1055" s="6" t="s">
        <v>180</v>
      </c>
      <c r="H1055" s="5">
        <v>10.92</v>
      </c>
      <c r="I1055" s="5">
        <v>4.0</v>
      </c>
      <c r="J1055" s="5" t="str">
        <f t="shared" si="1"/>
        <v>Last Minute</v>
      </c>
      <c r="K1055" s="9">
        <v>15126.0</v>
      </c>
    </row>
    <row r="1056" ht="15.75" customHeight="1">
      <c r="A1056" s="5" t="s">
        <v>2880</v>
      </c>
      <c r="B1056" s="5" t="s">
        <v>2431</v>
      </c>
      <c r="C1056" s="5" t="s">
        <v>753</v>
      </c>
      <c r="D1056" s="5" t="s">
        <v>20</v>
      </c>
      <c r="E1056" s="5" t="s">
        <v>52</v>
      </c>
      <c r="F1056" s="5" t="s">
        <v>34</v>
      </c>
      <c r="G1056" s="6" t="s">
        <v>66</v>
      </c>
      <c r="H1056" s="5">
        <v>15.5</v>
      </c>
      <c r="I1056" s="5">
        <v>41.0</v>
      </c>
      <c r="J1056" s="5" t="str">
        <f t="shared" si="1"/>
        <v>Advance</v>
      </c>
      <c r="K1056" s="9">
        <v>6161.0</v>
      </c>
    </row>
    <row r="1057" ht="15.75" customHeight="1">
      <c r="A1057" s="5" t="s">
        <v>2882</v>
      </c>
      <c r="B1057" s="5" t="s">
        <v>2506</v>
      </c>
      <c r="C1057" s="5" t="s">
        <v>753</v>
      </c>
      <c r="D1057" s="5" t="s">
        <v>20</v>
      </c>
      <c r="E1057" s="5" t="s">
        <v>52</v>
      </c>
      <c r="F1057" s="5" t="s">
        <v>34</v>
      </c>
      <c r="G1057" s="6" t="s">
        <v>66</v>
      </c>
      <c r="H1057" s="5">
        <v>23.83</v>
      </c>
      <c r="I1057" s="5">
        <v>4.0</v>
      </c>
      <c r="J1057" s="5" t="str">
        <f t="shared" si="1"/>
        <v>Last Minute</v>
      </c>
      <c r="K1057" s="9">
        <v>15531.0</v>
      </c>
    </row>
    <row r="1058" ht="15.75" customHeight="1">
      <c r="A1058" s="5" t="s">
        <v>2884</v>
      </c>
      <c r="B1058" s="5" t="s">
        <v>2400</v>
      </c>
      <c r="C1058" s="5" t="s">
        <v>753</v>
      </c>
      <c r="D1058" s="5" t="s">
        <v>20</v>
      </c>
      <c r="E1058" s="5" t="s">
        <v>52</v>
      </c>
      <c r="F1058" s="5" t="s">
        <v>34</v>
      </c>
      <c r="G1058" s="6" t="s">
        <v>66</v>
      </c>
      <c r="H1058" s="5">
        <v>13.67</v>
      </c>
      <c r="J1058" s="5" t="str">
        <f t="shared" si="1"/>
        <v>Last Minute</v>
      </c>
      <c r="K1058" s="9">
        <v>15794.0</v>
      </c>
    </row>
    <row r="1059" ht="15.75" customHeight="1">
      <c r="A1059" s="5" t="s">
        <v>2886</v>
      </c>
      <c r="B1059" s="5" t="s">
        <v>2397</v>
      </c>
      <c r="C1059" s="5" t="s">
        <v>753</v>
      </c>
      <c r="D1059" s="5" t="s">
        <v>20</v>
      </c>
      <c r="E1059" s="5" t="s">
        <v>52</v>
      </c>
      <c r="F1059" s="5" t="s">
        <v>34</v>
      </c>
      <c r="G1059" s="6" t="s">
        <v>66</v>
      </c>
      <c r="H1059" s="5">
        <v>10.83</v>
      </c>
      <c r="I1059" s="5">
        <v>5.0</v>
      </c>
      <c r="J1059" s="5" t="str">
        <f t="shared" si="1"/>
        <v>Last Minute</v>
      </c>
      <c r="K1059" s="9">
        <v>20268.0</v>
      </c>
    </row>
    <row r="1060" ht="15.75" customHeight="1">
      <c r="A1060" s="5" t="s">
        <v>2888</v>
      </c>
      <c r="B1060" s="5" t="s">
        <v>2436</v>
      </c>
      <c r="C1060" s="5" t="s">
        <v>753</v>
      </c>
      <c r="D1060" s="5" t="s">
        <v>20</v>
      </c>
      <c r="E1060" s="5" t="s">
        <v>52</v>
      </c>
      <c r="F1060" s="5" t="s">
        <v>34</v>
      </c>
      <c r="G1060" s="6" t="s">
        <v>66</v>
      </c>
      <c r="H1060" s="5">
        <v>5.25</v>
      </c>
      <c r="I1060" s="5">
        <v>45.0</v>
      </c>
      <c r="J1060" s="5" t="str">
        <f t="shared" si="1"/>
        <v>Advance</v>
      </c>
      <c r="K1060" s="9">
        <v>4755.0</v>
      </c>
    </row>
    <row r="1061" ht="15.75" customHeight="1">
      <c r="A1061" s="5" t="s">
        <v>2890</v>
      </c>
      <c r="B1061" s="5" t="s">
        <v>2454</v>
      </c>
      <c r="C1061" s="5" t="s">
        <v>753</v>
      </c>
      <c r="D1061" s="5" t="s">
        <v>20</v>
      </c>
      <c r="E1061" s="5" t="s">
        <v>52</v>
      </c>
      <c r="F1061" s="5" t="s">
        <v>34</v>
      </c>
      <c r="G1061" s="6">
        <v>1.0</v>
      </c>
      <c r="H1061" s="5">
        <v>6.75</v>
      </c>
      <c r="I1061" s="5">
        <v>45.0</v>
      </c>
      <c r="J1061" s="5" t="str">
        <f t="shared" si="1"/>
        <v>Advance</v>
      </c>
      <c r="K1061" s="9">
        <v>4755.0</v>
      </c>
    </row>
    <row r="1062" ht="15.75" customHeight="1">
      <c r="A1062" s="5" t="s">
        <v>2892</v>
      </c>
      <c r="B1062" s="5" t="s">
        <v>2420</v>
      </c>
      <c r="C1062" s="5" t="s">
        <v>753</v>
      </c>
      <c r="D1062" s="5" t="s">
        <v>20</v>
      </c>
      <c r="E1062" s="5" t="s">
        <v>52</v>
      </c>
      <c r="F1062" s="5" t="s">
        <v>34</v>
      </c>
      <c r="G1062" s="6" t="s">
        <v>66</v>
      </c>
      <c r="H1062" s="5">
        <v>19.33</v>
      </c>
      <c r="I1062" s="5">
        <v>10.0</v>
      </c>
      <c r="J1062" s="5" t="str">
        <f t="shared" si="1"/>
        <v>Short Notice</v>
      </c>
      <c r="K1062" s="9">
        <v>10222.0</v>
      </c>
    </row>
    <row r="1063" ht="15.75" customHeight="1">
      <c r="A1063" s="5" t="s">
        <v>2895</v>
      </c>
      <c r="B1063" s="5" t="s">
        <v>2405</v>
      </c>
      <c r="C1063" s="5" t="s">
        <v>753</v>
      </c>
      <c r="D1063" s="5" t="s">
        <v>20</v>
      </c>
      <c r="E1063" s="5" t="s">
        <v>52</v>
      </c>
      <c r="F1063" s="5" t="s">
        <v>34</v>
      </c>
      <c r="G1063" s="6" t="s">
        <v>66</v>
      </c>
      <c r="H1063" s="5">
        <v>22.25</v>
      </c>
      <c r="I1063" s="5">
        <v>41.0</v>
      </c>
      <c r="J1063" s="5" t="str">
        <f t="shared" si="1"/>
        <v>Advance</v>
      </c>
      <c r="K1063" s="9">
        <v>4755.0</v>
      </c>
    </row>
    <row r="1064" ht="15.75" customHeight="1">
      <c r="A1064" s="5" t="s">
        <v>2896</v>
      </c>
      <c r="B1064" s="5" t="s">
        <v>2466</v>
      </c>
      <c r="C1064" s="5" t="s">
        <v>753</v>
      </c>
      <c r="D1064" s="5" t="s">
        <v>20</v>
      </c>
      <c r="E1064" s="5" t="s">
        <v>52</v>
      </c>
      <c r="F1064" s="5" t="s">
        <v>34</v>
      </c>
      <c r="G1064" s="6">
        <v>1.0</v>
      </c>
      <c r="H1064" s="5">
        <v>8.5</v>
      </c>
      <c r="I1064" s="5">
        <v>10.0</v>
      </c>
      <c r="J1064" s="5" t="str">
        <f t="shared" si="1"/>
        <v>Short Notice</v>
      </c>
      <c r="K1064" s="9">
        <v>18844.0</v>
      </c>
    </row>
    <row r="1065" ht="15.75" customHeight="1">
      <c r="A1065" s="5" t="s">
        <v>2898</v>
      </c>
      <c r="B1065" s="5" t="s">
        <v>2457</v>
      </c>
      <c r="C1065" s="5" t="s">
        <v>753</v>
      </c>
      <c r="D1065" s="5" t="s">
        <v>20</v>
      </c>
      <c r="E1065" s="5" t="s">
        <v>52</v>
      </c>
      <c r="F1065" s="5" t="s">
        <v>34</v>
      </c>
      <c r="G1065" s="6" t="s">
        <v>66</v>
      </c>
      <c r="H1065" s="5">
        <v>9.08</v>
      </c>
      <c r="J1065" s="5" t="str">
        <f t="shared" si="1"/>
        <v>Last Minute</v>
      </c>
      <c r="K1065" s="9">
        <v>33813.0</v>
      </c>
    </row>
    <row r="1066" ht="15.75" customHeight="1">
      <c r="A1066" s="5" t="s">
        <v>2900</v>
      </c>
      <c r="B1066" s="5" t="s">
        <v>2439</v>
      </c>
      <c r="C1066" s="5" t="s">
        <v>753</v>
      </c>
      <c r="D1066" s="5" t="s">
        <v>43</v>
      </c>
      <c r="E1066" s="5" t="s">
        <v>68</v>
      </c>
      <c r="F1066" s="5" t="s">
        <v>34</v>
      </c>
      <c r="G1066" s="6" t="s">
        <v>37</v>
      </c>
      <c r="H1066" s="5">
        <v>1.17</v>
      </c>
      <c r="I1066" s="5">
        <v>39.0</v>
      </c>
      <c r="J1066" s="5" t="str">
        <f t="shared" si="1"/>
        <v>Advance</v>
      </c>
      <c r="K1066" s="9">
        <v>1443.0</v>
      </c>
    </row>
    <row r="1067" ht="15.75" customHeight="1">
      <c r="A1067" s="5" t="s">
        <v>2902</v>
      </c>
      <c r="B1067" s="5" t="s">
        <v>2433</v>
      </c>
      <c r="C1067" s="5" t="s">
        <v>753</v>
      </c>
      <c r="D1067" s="5" t="s">
        <v>20</v>
      </c>
      <c r="E1067" s="5" t="s">
        <v>52</v>
      </c>
      <c r="F1067" s="5" t="s">
        <v>34</v>
      </c>
      <c r="G1067" s="6">
        <v>1.0</v>
      </c>
      <c r="H1067" s="5">
        <v>12.5</v>
      </c>
      <c r="J1067" s="5" t="str">
        <f t="shared" si="1"/>
        <v>Last Minute</v>
      </c>
      <c r="K1067" s="9">
        <v>7336.0</v>
      </c>
    </row>
    <row r="1068" ht="15.75" customHeight="1">
      <c r="A1068" s="5" t="s">
        <v>2904</v>
      </c>
      <c r="B1068" s="5" t="s">
        <v>2441</v>
      </c>
      <c r="C1068" s="5" t="s">
        <v>753</v>
      </c>
      <c r="D1068" s="5" t="s">
        <v>20</v>
      </c>
      <c r="E1068" s="5" t="s">
        <v>52</v>
      </c>
      <c r="F1068" s="5" t="s">
        <v>34</v>
      </c>
      <c r="G1068" s="6" t="s">
        <v>66</v>
      </c>
      <c r="H1068" s="5">
        <v>27.5</v>
      </c>
      <c r="I1068" s="5">
        <v>20.0</v>
      </c>
      <c r="J1068" s="5" t="str">
        <f t="shared" si="1"/>
        <v>Moderate</v>
      </c>
      <c r="K1068" s="9">
        <v>9902.0</v>
      </c>
    </row>
    <row r="1069" ht="15.75" customHeight="1">
      <c r="A1069" s="5" t="s">
        <v>2906</v>
      </c>
      <c r="B1069" s="5" t="s">
        <v>2463</v>
      </c>
      <c r="C1069" s="5" t="s">
        <v>753</v>
      </c>
      <c r="D1069" s="5" t="s">
        <v>29</v>
      </c>
      <c r="E1069" s="5" t="s">
        <v>32</v>
      </c>
      <c r="F1069" s="5" t="s">
        <v>34</v>
      </c>
      <c r="G1069" s="6" t="s">
        <v>37</v>
      </c>
      <c r="H1069" s="5">
        <v>1.17</v>
      </c>
      <c r="I1069" s="5">
        <v>44.0</v>
      </c>
      <c r="J1069" s="5" t="str">
        <f t="shared" si="1"/>
        <v>Advance</v>
      </c>
      <c r="K1069" s="9">
        <v>1443.0</v>
      </c>
    </row>
    <row r="1070" ht="15.75" customHeight="1">
      <c r="A1070" s="5" t="s">
        <v>2908</v>
      </c>
      <c r="B1070" s="5" t="s">
        <v>2471</v>
      </c>
      <c r="C1070" s="5" t="s">
        <v>753</v>
      </c>
      <c r="D1070" s="5" t="s">
        <v>45</v>
      </c>
      <c r="E1070" s="5" t="s">
        <v>49</v>
      </c>
      <c r="F1070" s="5" t="s">
        <v>34</v>
      </c>
      <c r="G1070" s="6" t="s">
        <v>66</v>
      </c>
      <c r="H1070" s="5">
        <v>49.83</v>
      </c>
      <c r="I1070" s="5">
        <v>9.0</v>
      </c>
      <c r="J1070" s="5" t="str">
        <f t="shared" si="1"/>
        <v>Short Notice</v>
      </c>
      <c r="K1070" s="9">
        <v>17538.0</v>
      </c>
    </row>
    <row r="1071" ht="15.75" customHeight="1">
      <c r="A1071" s="5" t="s">
        <v>2911</v>
      </c>
      <c r="B1071" s="5" t="s">
        <v>2413</v>
      </c>
      <c r="C1071" s="5" t="s">
        <v>753</v>
      </c>
      <c r="D1071" s="5" t="s">
        <v>45</v>
      </c>
      <c r="E1071" s="5" t="s">
        <v>49</v>
      </c>
      <c r="F1071" s="5" t="s">
        <v>34</v>
      </c>
      <c r="G1071" s="6" t="s">
        <v>66</v>
      </c>
      <c r="H1071" s="5">
        <v>22.83</v>
      </c>
      <c r="I1071" s="5">
        <v>16.0</v>
      </c>
      <c r="J1071" s="5" t="str">
        <f t="shared" si="1"/>
        <v>Moderate</v>
      </c>
      <c r="K1071" s="9">
        <v>11805.0</v>
      </c>
    </row>
    <row r="1072" ht="15.75" customHeight="1">
      <c r="A1072" s="5" t="s">
        <v>2912</v>
      </c>
      <c r="B1072" s="5" t="s">
        <v>2411</v>
      </c>
      <c r="C1072" s="5" t="s">
        <v>753</v>
      </c>
      <c r="D1072" s="5" t="s">
        <v>45</v>
      </c>
      <c r="E1072" s="5" t="s">
        <v>49</v>
      </c>
      <c r="F1072" s="5" t="s">
        <v>34</v>
      </c>
      <c r="G1072" s="6">
        <v>1.0</v>
      </c>
      <c r="H1072" s="5">
        <v>32.58</v>
      </c>
      <c r="I1072" s="5">
        <v>16.0</v>
      </c>
      <c r="J1072" s="5" t="str">
        <f t="shared" si="1"/>
        <v>Moderate</v>
      </c>
      <c r="K1072" s="9">
        <v>12170.0</v>
      </c>
    </row>
    <row r="1073" ht="15.75" customHeight="1">
      <c r="A1073" s="5" t="s">
        <v>2914</v>
      </c>
      <c r="B1073" s="5" t="s">
        <v>2447</v>
      </c>
      <c r="C1073" s="5" t="s">
        <v>753</v>
      </c>
      <c r="D1073" s="5" t="s">
        <v>45</v>
      </c>
      <c r="E1073" s="5" t="s">
        <v>49</v>
      </c>
      <c r="F1073" s="5" t="s">
        <v>34</v>
      </c>
      <c r="G1073" s="6" t="s">
        <v>66</v>
      </c>
      <c r="H1073" s="5">
        <v>7.58</v>
      </c>
      <c r="I1073" s="5">
        <v>11.0</v>
      </c>
      <c r="J1073" s="5" t="str">
        <f t="shared" si="1"/>
        <v>Short Notice</v>
      </c>
      <c r="K1073" s="9">
        <v>13653.0</v>
      </c>
    </row>
    <row r="1074" ht="15.75" customHeight="1">
      <c r="A1074" s="5" t="s">
        <v>2916</v>
      </c>
      <c r="B1074" s="5" t="s">
        <v>2491</v>
      </c>
      <c r="C1074" s="5" t="s">
        <v>753</v>
      </c>
      <c r="D1074" s="5" t="s">
        <v>20</v>
      </c>
      <c r="E1074" s="5" t="s">
        <v>52</v>
      </c>
      <c r="F1074" s="5" t="s">
        <v>34</v>
      </c>
      <c r="G1074" s="6" t="s">
        <v>66</v>
      </c>
      <c r="H1074" s="5">
        <v>21.92</v>
      </c>
      <c r="I1074" s="5">
        <v>15.0</v>
      </c>
      <c r="J1074" s="5" t="str">
        <f t="shared" si="1"/>
        <v>Short Notice</v>
      </c>
      <c r="K1074" s="9">
        <v>12304.0</v>
      </c>
    </row>
    <row r="1075" ht="15.75" customHeight="1">
      <c r="A1075" s="5" t="s">
        <v>2919</v>
      </c>
      <c r="B1075" s="5" t="s">
        <v>2423</v>
      </c>
      <c r="C1075" s="5" t="s">
        <v>753</v>
      </c>
      <c r="D1075" s="5" t="s">
        <v>20</v>
      </c>
      <c r="E1075" s="5" t="s">
        <v>52</v>
      </c>
      <c r="F1075" s="5" t="s">
        <v>34</v>
      </c>
      <c r="G1075" s="6" t="s">
        <v>66</v>
      </c>
      <c r="H1075" s="5">
        <v>0.0</v>
      </c>
      <c r="I1075" s="5">
        <v>16.0</v>
      </c>
      <c r="J1075" s="5" t="str">
        <f t="shared" si="1"/>
        <v>Moderate</v>
      </c>
      <c r="K1075" s="9">
        <v>15697.0</v>
      </c>
    </row>
    <row r="1076" ht="15.75" customHeight="1">
      <c r="A1076" s="5" t="s">
        <v>2920</v>
      </c>
      <c r="B1076" s="5" t="s">
        <v>2395</v>
      </c>
      <c r="C1076" s="5" t="s">
        <v>753</v>
      </c>
      <c r="D1076" s="5" t="s">
        <v>45</v>
      </c>
      <c r="E1076" s="5" t="s">
        <v>49</v>
      </c>
      <c r="F1076" s="5" t="s">
        <v>34</v>
      </c>
      <c r="G1076" s="6" t="s">
        <v>66</v>
      </c>
      <c r="H1076" s="5">
        <v>37.0</v>
      </c>
      <c r="I1076" s="5">
        <v>18.0</v>
      </c>
      <c r="J1076" s="5" t="str">
        <f t="shared" si="1"/>
        <v>Moderate</v>
      </c>
      <c r="K1076" s="9">
        <v>8344.0</v>
      </c>
    </row>
    <row r="1077" ht="15.75" customHeight="1">
      <c r="A1077" s="5" t="s">
        <v>2921</v>
      </c>
      <c r="B1077" s="5" t="s">
        <v>2485</v>
      </c>
      <c r="C1077" s="5" t="s">
        <v>753</v>
      </c>
      <c r="D1077" s="5" t="s">
        <v>45</v>
      </c>
      <c r="E1077" s="5" t="s">
        <v>49</v>
      </c>
      <c r="F1077" s="5" t="s">
        <v>34</v>
      </c>
      <c r="G1077" s="6" t="s">
        <v>180</v>
      </c>
      <c r="H1077" s="5">
        <v>14.25</v>
      </c>
      <c r="I1077" s="5">
        <v>25.0</v>
      </c>
      <c r="J1077" s="5" t="str">
        <f t="shared" si="1"/>
        <v>Moderate</v>
      </c>
      <c r="K1077" s="9">
        <v>6623.0</v>
      </c>
    </row>
    <row r="1078" ht="15.75" customHeight="1">
      <c r="A1078" s="5" t="s">
        <v>2922</v>
      </c>
      <c r="B1078" s="5" t="s">
        <v>2428</v>
      </c>
      <c r="C1078" s="5" t="s">
        <v>753</v>
      </c>
      <c r="D1078" s="5" t="s">
        <v>43</v>
      </c>
      <c r="E1078" s="5" t="s">
        <v>68</v>
      </c>
      <c r="F1078" s="5" t="s">
        <v>34</v>
      </c>
      <c r="G1078" s="6" t="s">
        <v>37</v>
      </c>
      <c r="H1078" s="5">
        <v>0.83</v>
      </c>
      <c r="I1078" s="5">
        <v>46.0</v>
      </c>
      <c r="J1078" s="5" t="str">
        <f t="shared" si="1"/>
        <v>Advance</v>
      </c>
      <c r="K1078" s="9">
        <v>1443.0</v>
      </c>
    </row>
    <row r="1079" ht="15.75" customHeight="1">
      <c r="A1079" s="5" t="s">
        <v>2923</v>
      </c>
      <c r="B1079" s="5" t="s">
        <v>2407</v>
      </c>
      <c r="C1079" s="5" t="s">
        <v>753</v>
      </c>
      <c r="D1079" s="5" t="s">
        <v>43</v>
      </c>
      <c r="E1079" s="5" t="s">
        <v>68</v>
      </c>
      <c r="F1079" s="5" t="s">
        <v>34</v>
      </c>
      <c r="G1079" s="6" t="s">
        <v>37</v>
      </c>
      <c r="H1079" s="5">
        <v>1.0</v>
      </c>
      <c r="I1079" s="5">
        <v>46.0</v>
      </c>
      <c r="J1079" s="5" t="str">
        <f t="shared" si="1"/>
        <v>Advance</v>
      </c>
      <c r="K1079" s="9">
        <v>1443.0</v>
      </c>
    </row>
    <row r="1080" ht="15.75" customHeight="1">
      <c r="A1080" s="5" t="s">
        <v>2924</v>
      </c>
      <c r="B1080" s="5" t="s">
        <v>2426</v>
      </c>
      <c r="C1080" s="5" t="s">
        <v>753</v>
      </c>
      <c r="D1080" s="5" t="s">
        <v>45</v>
      </c>
      <c r="E1080" s="5" t="s">
        <v>49</v>
      </c>
      <c r="F1080" s="5" t="s">
        <v>34</v>
      </c>
      <c r="G1080" s="6" t="s">
        <v>66</v>
      </c>
      <c r="H1080" s="5">
        <v>12.0</v>
      </c>
      <c r="I1080" s="5">
        <v>47.0</v>
      </c>
      <c r="J1080" s="5" t="str">
        <f t="shared" si="1"/>
        <v>Advance</v>
      </c>
      <c r="K1080" s="9">
        <v>5299.0</v>
      </c>
    </row>
    <row r="1081" ht="15.75" customHeight="1">
      <c r="A1081" s="5" t="s">
        <v>2927</v>
      </c>
      <c r="B1081" s="5" t="s">
        <v>2452</v>
      </c>
      <c r="C1081" s="5" t="s">
        <v>753</v>
      </c>
      <c r="D1081" s="5" t="s">
        <v>20</v>
      </c>
      <c r="E1081" s="5" t="s">
        <v>52</v>
      </c>
      <c r="F1081" s="5" t="s">
        <v>34</v>
      </c>
      <c r="G1081" s="6" t="s">
        <v>180</v>
      </c>
      <c r="H1081" s="5">
        <v>10.0</v>
      </c>
      <c r="I1081" s="5">
        <v>46.0</v>
      </c>
      <c r="J1081" s="5" t="str">
        <f t="shared" si="1"/>
        <v>Advance</v>
      </c>
      <c r="K1081" s="9">
        <v>6437.0</v>
      </c>
    </row>
    <row r="1082" ht="15.75" customHeight="1">
      <c r="A1082" s="5" t="s">
        <v>2930</v>
      </c>
      <c r="B1082" s="5" t="s">
        <v>2468</v>
      </c>
      <c r="C1082" s="5" t="s">
        <v>753</v>
      </c>
      <c r="D1082" s="5" t="s">
        <v>45</v>
      </c>
      <c r="E1082" s="5" t="s">
        <v>49</v>
      </c>
      <c r="F1082" s="5" t="s">
        <v>34</v>
      </c>
      <c r="G1082" s="6" t="s">
        <v>66</v>
      </c>
      <c r="H1082" s="5">
        <v>19.08</v>
      </c>
      <c r="I1082" s="5">
        <v>46.0</v>
      </c>
      <c r="J1082" s="5" t="str">
        <f t="shared" si="1"/>
        <v>Advance</v>
      </c>
      <c r="K1082" s="9">
        <v>6308.0</v>
      </c>
    </row>
    <row r="1083" ht="15.75" customHeight="1">
      <c r="A1083" s="5" t="s">
        <v>2933</v>
      </c>
      <c r="B1083" s="5" t="s">
        <v>2583</v>
      </c>
      <c r="C1083" s="5" t="s">
        <v>771</v>
      </c>
      <c r="D1083" s="5" t="s">
        <v>43</v>
      </c>
      <c r="E1083" s="5" t="s">
        <v>68</v>
      </c>
      <c r="F1083" s="5" t="s">
        <v>34</v>
      </c>
      <c r="G1083" s="6" t="s">
        <v>66</v>
      </c>
      <c r="H1083" s="5">
        <v>8.08</v>
      </c>
      <c r="I1083" s="5">
        <v>23.0</v>
      </c>
      <c r="J1083" s="5" t="str">
        <f t="shared" si="1"/>
        <v>Moderate</v>
      </c>
      <c r="K1083" s="9">
        <v>5042.0</v>
      </c>
    </row>
    <row r="1084" ht="15.75" customHeight="1">
      <c r="A1084" s="5" t="s">
        <v>2936</v>
      </c>
      <c r="B1084" s="5" t="s">
        <v>2523</v>
      </c>
      <c r="C1084" s="5" t="s">
        <v>771</v>
      </c>
      <c r="D1084" s="5" t="s">
        <v>43</v>
      </c>
      <c r="E1084" s="5" t="s">
        <v>68</v>
      </c>
      <c r="F1084" s="5" t="s">
        <v>34</v>
      </c>
      <c r="G1084" s="6" t="s">
        <v>180</v>
      </c>
      <c r="H1084" s="5">
        <v>8.0</v>
      </c>
      <c r="I1084" s="5">
        <v>2.0</v>
      </c>
      <c r="J1084" s="5" t="str">
        <f t="shared" si="1"/>
        <v>Last Minute</v>
      </c>
      <c r="K1084" s="9">
        <v>13773.0</v>
      </c>
    </row>
    <row r="1085" ht="15.75" customHeight="1">
      <c r="A1085" s="5" t="s">
        <v>2938</v>
      </c>
      <c r="B1085" s="5" t="s">
        <v>2595</v>
      </c>
      <c r="C1085" s="5" t="s">
        <v>771</v>
      </c>
      <c r="D1085" s="5" t="s">
        <v>45</v>
      </c>
      <c r="E1085" s="5" t="s">
        <v>49</v>
      </c>
      <c r="F1085" s="5" t="s">
        <v>53</v>
      </c>
      <c r="G1085" s="6" t="s">
        <v>66</v>
      </c>
      <c r="H1085" s="5">
        <v>26.0</v>
      </c>
      <c r="I1085" s="5">
        <v>43.0</v>
      </c>
      <c r="J1085" s="5" t="str">
        <f t="shared" si="1"/>
        <v>Advance</v>
      </c>
      <c r="K1085" s="9">
        <v>7336.0</v>
      </c>
    </row>
    <row r="1086" ht="15.75" customHeight="1">
      <c r="A1086" s="5" t="s">
        <v>2943</v>
      </c>
      <c r="B1086" s="5" t="s">
        <v>2574</v>
      </c>
      <c r="C1086" s="5" t="s">
        <v>771</v>
      </c>
      <c r="D1086" s="5" t="s">
        <v>45</v>
      </c>
      <c r="E1086" s="5" t="s">
        <v>49</v>
      </c>
      <c r="F1086" s="5" t="s">
        <v>34</v>
      </c>
      <c r="G1086" s="6" t="s">
        <v>180</v>
      </c>
      <c r="H1086" s="5">
        <v>26.5</v>
      </c>
      <c r="I1086" s="5">
        <v>2.0</v>
      </c>
      <c r="J1086" s="5" t="str">
        <f t="shared" si="1"/>
        <v>Last Minute</v>
      </c>
      <c r="K1086" s="9">
        <v>17223.0</v>
      </c>
    </row>
    <row r="1087" ht="15.75" customHeight="1">
      <c r="A1087" s="5" t="s">
        <v>2944</v>
      </c>
      <c r="B1087" s="5" t="s">
        <v>2563</v>
      </c>
      <c r="C1087" s="5" t="s">
        <v>771</v>
      </c>
      <c r="D1087" s="5" t="s">
        <v>20</v>
      </c>
      <c r="E1087" s="5" t="s">
        <v>52</v>
      </c>
      <c r="F1087" s="5" t="s">
        <v>34</v>
      </c>
      <c r="G1087" s="6" t="s">
        <v>180</v>
      </c>
      <c r="H1087" s="5">
        <v>37.83</v>
      </c>
      <c r="I1087" s="5">
        <v>2.0</v>
      </c>
      <c r="J1087" s="5" t="str">
        <f t="shared" si="1"/>
        <v>Last Minute</v>
      </c>
      <c r="K1087" s="9">
        <v>19670.0</v>
      </c>
    </row>
    <row r="1088" ht="15.75" customHeight="1">
      <c r="A1088" s="5" t="s">
        <v>2947</v>
      </c>
      <c r="B1088" s="5" t="s">
        <v>2592</v>
      </c>
      <c r="C1088" s="5" t="s">
        <v>771</v>
      </c>
      <c r="D1088" s="5" t="s">
        <v>43</v>
      </c>
      <c r="E1088" s="5" t="s">
        <v>68</v>
      </c>
      <c r="F1088" s="5" t="s">
        <v>34</v>
      </c>
      <c r="G1088" s="6" t="s">
        <v>180</v>
      </c>
      <c r="H1088" s="5">
        <v>7.42</v>
      </c>
      <c r="I1088" s="5">
        <v>2.0</v>
      </c>
      <c r="J1088" s="5" t="str">
        <f t="shared" si="1"/>
        <v>Last Minute</v>
      </c>
      <c r="K1088" s="9">
        <v>21055.0</v>
      </c>
    </row>
    <row r="1089" ht="15.75" customHeight="1">
      <c r="A1089" s="5" t="s">
        <v>2948</v>
      </c>
      <c r="B1089" s="5" t="s">
        <v>2511</v>
      </c>
      <c r="C1089" s="5" t="s">
        <v>771</v>
      </c>
      <c r="D1089" s="5" t="s">
        <v>45</v>
      </c>
      <c r="E1089" s="5" t="s">
        <v>49</v>
      </c>
      <c r="F1089" s="5" t="s">
        <v>53</v>
      </c>
      <c r="G1089" s="6" t="s">
        <v>66</v>
      </c>
      <c r="H1089" s="5">
        <v>12.42</v>
      </c>
      <c r="I1089" s="5">
        <v>43.0</v>
      </c>
      <c r="J1089" s="5" t="str">
        <f t="shared" si="1"/>
        <v>Advance</v>
      </c>
      <c r="K1089" s="9">
        <v>55377.0</v>
      </c>
    </row>
    <row r="1090" ht="15.75" customHeight="1">
      <c r="A1090" s="5" t="s">
        <v>2950</v>
      </c>
      <c r="B1090" s="5" t="s">
        <v>2519</v>
      </c>
      <c r="C1090" s="5" t="s">
        <v>771</v>
      </c>
      <c r="D1090" s="5" t="s">
        <v>45</v>
      </c>
      <c r="E1090" s="5" t="s">
        <v>49</v>
      </c>
      <c r="F1090" s="5" t="s">
        <v>34</v>
      </c>
      <c r="G1090" s="6" t="s">
        <v>66</v>
      </c>
      <c r="H1090" s="5">
        <v>41.5</v>
      </c>
      <c r="I1090" s="5">
        <v>2.0</v>
      </c>
      <c r="J1090" s="5" t="str">
        <f t="shared" si="1"/>
        <v>Last Minute</v>
      </c>
      <c r="K1090" s="9">
        <v>31398.0</v>
      </c>
    </row>
    <row r="1091" ht="15.75" customHeight="1">
      <c r="A1091" s="5" t="s">
        <v>2951</v>
      </c>
      <c r="B1091" s="5" t="s">
        <v>2526</v>
      </c>
      <c r="C1091" s="5" t="s">
        <v>771</v>
      </c>
      <c r="D1091" s="5" t="s">
        <v>20</v>
      </c>
      <c r="E1091" s="5" t="s">
        <v>52</v>
      </c>
      <c r="F1091" s="5" t="s">
        <v>53</v>
      </c>
      <c r="G1091" s="6" t="s">
        <v>66</v>
      </c>
      <c r="H1091" s="5">
        <v>7.17</v>
      </c>
      <c r="I1091" s="5">
        <v>48.0</v>
      </c>
      <c r="J1091" s="5" t="str">
        <f t="shared" si="1"/>
        <v>Advance</v>
      </c>
      <c r="K1091" s="9">
        <v>54896.0</v>
      </c>
    </row>
    <row r="1092" ht="15.75" customHeight="1">
      <c r="A1092" s="5" t="s">
        <v>2954</v>
      </c>
      <c r="B1092" s="5" t="s">
        <v>2577</v>
      </c>
      <c r="C1092" s="5" t="s">
        <v>771</v>
      </c>
      <c r="D1092" s="5" t="s">
        <v>43</v>
      </c>
      <c r="E1092" s="5" t="s">
        <v>68</v>
      </c>
      <c r="F1092" s="5" t="s">
        <v>34</v>
      </c>
      <c r="G1092" s="6" t="s">
        <v>66</v>
      </c>
      <c r="H1092" s="5">
        <v>9.5</v>
      </c>
      <c r="I1092" s="5">
        <v>3.0</v>
      </c>
      <c r="J1092" s="5" t="str">
        <f t="shared" si="1"/>
        <v>Last Minute</v>
      </c>
      <c r="K1092" s="9">
        <v>13264.0</v>
      </c>
    </row>
    <row r="1093" ht="15.75" customHeight="1">
      <c r="A1093" s="5" t="s">
        <v>2956</v>
      </c>
      <c r="B1093" s="5" t="s">
        <v>2534</v>
      </c>
      <c r="C1093" s="5" t="s">
        <v>771</v>
      </c>
      <c r="D1093" s="5" t="s">
        <v>45</v>
      </c>
      <c r="E1093" s="5" t="s">
        <v>49</v>
      </c>
      <c r="F1093" s="5" t="s">
        <v>34</v>
      </c>
      <c r="G1093" s="6" t="s">
        <v>66</v>
      </c>
      <c r="H1093" s="5">
        <v>30.17</v>
      </c>
      <c r="I1093" s="5">
        <v>3.0</v>
      </c>
      <c r="J1093" s="5" t="str">
        <f t="shared" si="1"/>
        <v>Last Minute</v>
      </c>
      <c r="K1093" s="9">
        <v>18234.0</v>
      </c>
    </row>
    <row r="1094" ht="15.75" customHeight="1">
      <c r="A1094" s="5" t="s">
        <v>2959</v>
      </c>
      <c r="B1094" s="5" t="s">
        <v>2601</v>
      </c>
      <c r="C1094" s="5" t="s">
        <v>771</v>
      </c>
      <c r="D1094" s="5" t="s">
        <v>20</v>
      </c>
      <c r="E1094" s="5" t="s">
        <v>52</v>
      </c>
      <c r="F1094" s="5" t="s">
        <v>34</v>
      </c>
      <c r="G1094" s="6" t="s">
        <v>66</v>
      </c>
      <c r="H1094" s="5">
        <v>7.33</v>
      </c>
      <c r="I1094" s="5">
        <v>34.0</v>
      </c>
      <c r="J1094" s="5" t="str">
        <f t="shared" si="1"/>
        <v>Advance</v>
      </c>
      <c r="K1094" s="9">
        <v>5937.0</v>
      </c>
    </row>
    <row r="1095" ht="15.75" customHeight="1">
      <c r="A1095" s="5" t="s">
        <v>2961</v>
      </c>
      <c r="B1095" s="5" t="s">
        <v>2599</v>
      </c>
      <c r="C1095" s="5" t="s">
        <v>771</v>
      </c>
      <c r="D1095" s="5" t="s">
        <v>45</v>
      </c>
      <c r="E1095" s="5" t="s">
        <v>49</v>
      </c>
      <c r="F1095" s="5" t="s">
        <v>34</v>
      </c>
      <c r="G1095" s="6" t="s">
        <v>180</v>
      </c>
      <c r="H1095" s="5">
        <v>16.17</v>
      </c>
      <c r="I1095" s="5">
        <v>3.0</v>
      </c>
      <c r="J1095" s="5" t="str">
        <f t="shared" si="1"/>
        <v>Last Minute</v>
      </c>
      <c r="K1095" s="9">
        <v>19953.0</v>
      </c>
    </row>
    <row r="1096" ht="15.75" customHeight="1">
      <c r="A1096" s="5" t="s">
        <v>2962</v>
      </c>
      <c r="B1096" s="5" t="s">
        <v>2591</v>
      </c>
      <c r="C1096" s="5" t="s">
        <v>771</v>
      </c>
      <c r="D1096" s="5" t="s">
        <v>43</v>
      </c>
      <c r="E1096" s="5" t="s">
        <v>68</v>
      </c>
      <c r="F1096" s="5" t="s">
        <v>34</v>
      </c>
      <c r="G1096" s="6" t="s">
        <v>66</v>
      </c>
      <c r="H1096" s="5">
        <v>7.58</v>
      </c>
      <c r="I1096" s="5">
        <v>4.0</v>
      </c>
      <c r="J1096" s="5" t="str">
        <f t="shared" si="1"/>
        <v>Last Minute</v>
      </c>
      <c r="K1096" s="9">
        <v>5042.0</v>
      </c>
    </row>
    <row r="1097" ht="15.75" customHeight="1">
      <c r="A1097" s="5" t="s">
        <v>2963</v>
      </c>
      <c r="B1097" s="5" t="s">
        <v>2546</v>
      </c>
      <c r="C1097" s="5" t="s">
        <v>771</v>
      </c>
      <c r="D1097" s="5" t="s">
        <v>43</v>
      </c>
      <c r="E1097" s="5" t="s">
        <v>68</v>
      </c>
      <c r="F1097" s="5" t="s">
        <v>34</v>
      </c>
      <c r="G1097" s="6" t="s">
        <v>66</v>
      </c>
      <c r="H1097" s="5">
        <v>11.67</v>
      </c>
      <c r="I1097" s="5">
        <v>4.0</v>
      </c>
      <c r="J1097" s="5" t="str">
        <f t="shared" si="1"/>
        <v>Last Minute</v>
      </c>
      <c r="K1097" s="9">
        <v>8035.0</v>
      </c>
    </row>
    <row r="1098" ht="15.75" customHeight="1">
      <c r="A1098" s="5" t="s">
        <v>2964</v>
      </c>
      <c r="B1098" s="5" t="s">
        <v>2532</v>
      </c>
      <c r="C1098" s="5" t="s">
        <v>771</v>
      </c>
      <c r="D1098" s="5" t="s">
        <v>20</v>
      </c>
      <c r="E1098" s="5" t="s">
        <v>52</v>
      </c>
      <c r="F1098" s="5" t="s">
        <v>34</v>
      </c>
      <c r="G1098" s="6" t="s">
        <v>66</v>
      </c>
      <c r="H1098" s="5">
        <v>25.67</v>
      </c>
      <c r="I1098" s="5">
        <v>26.0</v>
      </c>
      <c r="J1098" s="5" t="str">
        <f t="shared" si="1"/>
        <v>Moderate</v>
      </c>
      <c r="K1098" s="9">
        <v>5937.0</v>
      </c>
    </row>
    <row r="1099" ht="15.75" customHeight="1">
      <c r="A1099" s="5" t="s">
        <v>2965</v>
      </c>
      <c r="B1099" s="5" t="s">
        <v>2548</v>
      </c>
      <c r="C1099" s="5" t="s">
        <v>771</v>
      </c>
      <c r="D1099" s="5" t="s">
        <v>43</v>
      </c>
      <c r="E1099" s="5" t="s">
        <v>68</v>
      </c>
      <c r="F1099" s="5" t="s">
        <v>34</v>
      </c>
      <c r="G1099" s="6" t="s">
        <v>66</v>
      </c>
      <c r="H1099" s="5">
        <v>8.75</v>
      </c>
      <c r="I1099" s="5">
        <v>4.0</v>
      </c>
      <c r="J1099" s="5" t="str">
        <f t="shared" si="1"/>
        <v>Last Minute</v>
      </c>
      <c r="K1099" s="9">
        <v>11757.0</v>
      </c>
    </row>
    <row r="1100" ht="15.75" customHeight="1">
      <c r="A1100" s="5" t="s">
        <v>2966</v>
      </c>
      <c r="B1100" s="5" t="s">
        <v>2553</v>
      </c>
      <c r="C1100" s="5" t="s">
        <v>771</v>
      </c>
      <c r="D1100" s="5" t="s">
        <v>45</v>
      </c>
      <c r="E1100" s="5" t="s">
        <v>49</v>
      </c>
      <c r="F1100" s="5" t="s">
        <v>34</v>
      </c>
      <c r="G1100" s="6" t="s">
        <v>180</v>
      </c>
      <c r="H1100" s="5">
        <v>12.42</v>
      </c>
      <c r="I1100" s="5">
        <v>4.0</v>
      </c>
      <c r="J1100" s="5" t="str">
        <f t="shared" si="1"/>
        <v>Last Minute</v>
      </c>
      <c r="K1100" s="9">
        <v>15123.0</v>
      </c>
    </row>
    <row r="1101" ht="15.75" customHeight="1">
      <c r="A1101" s="5" t="s">
        <v>2967</v>
      </c>
      <c r="B1101" s="5" t="s">
        <v>2556</v>
      </c>
      <c r="C1101" s="5" t="s">
        <v>771</v>
      </c>
      <c r="D1101" s="5" t="s">
        <v>45</v>
      </c>
      <c r="E1101" s="5" t="s">
        <v>49</v>
      </c>
      <c r="F1101" s="5" t="s">
        <v>34</v>
      </c>
      <c r="G1101" s="6" t="s">
        <v>180</v>
      </c>
      <c r="H1101" s="5">
        <v>23.08</v>
      </c>
      <c r="I1101" s="5">
        <v>6.0</v>
      </c>
      <c r="J1101" s="5" t="str">
        <f t="shared" si="1"/>
        <v>Last Minute</v>
      </c>
      <c r="K1101" s="9">
        <v>15123.0</v>
      </c>
    </row>
    <row r="1102" ht="15.75" customHeight="1">
      <c r="A1102" s="5" t="s">
        <v>2968</v>
      </c>
      <c r="B1102" s="5" t="s">
        <v>2571</v>
      </c>
      <c r="C1102" s="5" t="s">
        <v>771</v>
      </c>
      <c r="D1102" s="5" t="s">
        <v>20</v>
      </c>
      <c r="E1102" s="5" t="s">
        <v>52</v>
      </c>
      <c r="F1102" s="5" t="s">
        <v>34</v>
      </c>
      <c r="G1102" s="6" t="s">
        <v>66</v>
      </c>
      <c r="H1102" s="5">
        <v>13.17</v>
      </c>
      <c r="I1102" s="5">
        <v>46.0</v>
      </c>
      <c r="J1102" s="5" t="str">
        <f t="shared" si="1"/>
        <v>Advance</v>
      </c>
      <c r="K1102" s="9">
        <v>7081.0</v>
      </c>
    </row>
    <row r="1103" ht="15.75" customHeight="1">
      <c r="A1103" s="5" t="s">
        <v>2970</v>
      </c>
      <c r="B1103" s="5" t="s">
        <v>2588</v>
      </c>
      <c r="C1103" s="5" t="s">
        <v>771</v>
      </c>
      <c r="D1103" s="5" t="s">
        <v>20</v>
      </c>
      <c r="E1103" s="5" t="s">
        <v>52</v>
      </c>
      <c r="F1103" s="5" t="s">
        <v>34</v>
      </c>
      <c r="G1103" s="6" t="s">
        <v>66</v>
      </c>
      <c r="H1103" s="5">
        <v>20.33</v>
      </c>
      <c r="I1103" s="5">
        <v>36.0</v>
      </c>
      <c r="J1103" s="5" t="str">
        <f t="shared" si="1"/>
        <v>Advance</v>
      </c>
      <c r="K1103" s="9">
        <v>7081.0</v>
      </c>
    </row>
    <row r="1104" ht="15.75" customHeight="1">
      <c r="A1104" s="5" t="s">
        <v>2971</v>
      </c>
      <c r="B1104" s="5" t="s">
        <v>2549</v>
      </c>
      <c r="C1104" s="5" t="s">
        <v>771</v>
      </c>
      <c r="D1104" s="5" t="s">
        <v>43</v>
      </c>
      <c r="E1104" s="5" t="s">
        <v>68</v>
      </c>
      <c r="F1104" s="5" t="s">
        <v>34</v>
      </c>
      <c r="G1104" s="6" t="s">
        <v>66</v>
      </c>
      <c r="H1104" s="5">
        <v>8.25</v>
      </c>
      <c r="I1104" s="5">
        <v>42.0</v>
      </c>
      <c r="J1104" s="5" t="str">
        <f t="shared" si="1"/>
        <v>Advance</v>
      </c>
      <c r="K1104" s="9">
        <v>5798.0</v>
      </c>
    </row>
    <row r="1105" ht="15.75" customHeight="1">
      <c r="A1105" s="5" t="s">
        <v>2972</v>
      </c>
      <c r="B1105" s="5" t="s">
        <v>2543</v>
      </c>
      <c r="C1105" s="5" t="s">
        <v>771</v>
      </c>
      <c r="D1105" s="5" t="s">
        <v>45</v>
      </c>
      <c r="E1105" s="5" t="s">
        <v>49</v>
      </c>
      <c r="F1105" s="5" t="s">
        <v>53</v>
      </c>
      <c r="G1105" s="6" t="s">
        <v>66</v>
      </c>
      <c r="H1105" s="5">
        <v>18.17</v>
      </c>
      <c r="I1105" s="5">
        <v>43.0</v>
      </c>
      <c r="J1105" s="5" t="str">
        <f t="shared" si="1"/>
        <v>Advance</v>
      </c>
      <c r="K1105" s="9">
        <v>55377.0</v>
      </c>
    </row>
    <row r="1106" ht="15.75" customHeight="1">
      <c r="A1106" s="5" t="s">
        <v>2974</v>
      </c>
      <c r="B1106" s="5" t="s">
        <v>2568</v>
      </c>
      <c r="C1106" s="5" t="s">
        <v>771</v>
      </c>
      <c r="D1106" s="5" t="s">
        <v>43</v>
      </c>
      <c r="E1106" s="5" t="s">
        <v>68</v>
      </c>
      <c r="F1106" s="5" t="s">
        <v>34</v>
      </c>
      <c r="G1106" s="6" t="s">
        <v>66</v>
      </c>
      <c r="H1106" s="5">
        <v>12.42</v>
      </c>
      <c r="I1106" s="5">
        <v>16.0</v>
      </c>
      <c r="J1106" s="5" t="str">
        <f t="shared" si="1"/>
        <v>Moderate</v>
      </c>
      <c r="K1106" s="9">
        <v>5042.0</v>
      </c>
    </row>
    <row r="1107" ht="15.75" customHeight="1">
      <c r="A1107" s="5" t="s">
        <v>2976</v>
      </c>
      <c r="B1107" s="5" t="s">
        <v>2558</v>
      </c>
      <c r="C1107" s="5" t="s">
        <v>771</v>
      </c>
      <c r="D1107" s="5" t="s">
        <v>45</v>
      </c>
      <c r="E1107" s="5" t="s">
        <v>49</v>
      </c>
      <c r="F1107" s="5" t="s">
        <v>34</v>
      </c>
      <c r="G1107" s="6" t="s">
        <v>180</v>
      </c>
      <c r="H1107" s="5">
        <v>30.0</v>
      </c>
      <c r="I1107" s="5">
        <v>9.0</v>
      </c>
      <c r="J1107" s="5" t="str">
        <f t="shared" si="1"/>
        <v>Short Notice</v>
      </c>
      <c r="K1107" s="9">
        <v>16239.0</v>
      </c>
    </row>
    <row r="1108" ht="15.75" customHeight="1">
      <c r="A1108" s="5" t="s">
        <v>2978</v>
      </c>
      <c r="B1108" s="5" t="s">
        <v>2509</v>
      </c>
      <c r="C1108" s="5" t="s">
        <v>771</v>
      </c>
      <c r="D1108" s="5" t="s">
        <v>29</v>
      </c>
      <c r="E1108" s="5" t="s">
        <v>32</v>
      </c>
      <c r="F1108" s="5" t="s">
        <v>34</v>
      </c>
      <c r="G1108" s="6" t="s">
        <v>66</v>
      </c>
      <c r="H1108" s="5">
        <v>10.42</v>
      </c>
      <c r="I1108" s="5">
        <v>43.0</v>
      </c>
      <c r="J1108" s="5" t="str">
        <f t="shared" si="1"/>
        <v>Advance</v>
      </c>
      <c r="K1108" s="9">
        <v>4087.0</v>
      </c>
    </row>
    <row r="1109" ht="15.75" customHeight="1">
      <c r="A1109" s="5" t="s">
        <v>2982</v>
      </c>
      <c r="B1109" s="5" t="s">
        <v>2528</v>
      </c>
      <c r="C1109" s="5" t="s">
        <v>771</v>
      </c>
      <c r="D1109" s="5" t="s">
        <v>45</v>
      </c>
      <c r="E1109" s="5" t="s">
        <v>49</v>
      </c>
      <c r="F1109" s="5" t="s">
        <v>34</v>
      </c>
      <c r="G1109" s="6" t="s">
        <v>66</v>
      </c>
      <c r="H1109" s="5">
        <v>19.5</v>
      </c>
      <c r="I1109" s="5">
        <v>12.0</v>
      </c>
      <c r="J1109" s="5" t="str">
        <f t="shared" si="1"/>
        <v>Short Notice</v>
      </c>
      <c r="K1109" s="9">
        <v>24888.0</v>
      </c>
    </row>
    <row r="1110" ht="15.75" customHeight="1">
      <c r="A1110" s="5" t="s">
        <v>2984</v>
      </c>
      <c r="B1110" s="5" t="s">
        <v>2580</v>
      </c>
      <c r="C1110" s="5" t="s">
        <v>771</v>
      </c>
      <c r="D1110" s="5" t="s">
        <v>43</v>
      </c>
      <c r="E1110" s="5" t="s">
        <v>68</v>
      </c>
      <c r="F1110" s="5" t="s">
        <v>34</v>
      </c>
      <c r="G1110" s="6" t="s">
        <v>37</v>
      </c>
      <c r="H1110" s="5">
        <v>2.33</v>
      </c>
      <c r="I1110" s="5">
        <v>48.0</v>
      </c>
      <c r="J1110" s="5" t="str">
        <f t="shared" si="1"/>
        <v>Advance</v>
      </c>
      <c r="K1110" s="9">
        <v>2359.0</v>
      </c>
    </row>
    <row r="1111" ht="15.75" customHeight="1">
      <c r="A1111" s="5" t="s">
        <v>2985</v>
      </c>
      <c r="B1111" s="5" t="s">
        <v>2521</v>
      </c>
      <c r="C1111" s="5" t="s">
        <v>771</v>
      </c>
      <c r="D1111" s="5" t="s">
        <v>43</v>
      </c>
      <c r="E1111" s="5" t="s">
        <v>68</v>
      </c>
      <c r="F1111" s="5" t="s">
        <v>34</v>
      </c>
      <c r="G1111" s="6" t="s">
        <v>66</v>
      </c>
      <c r="H1111" s="5">
        <v>6.83</v>
      </c>
      <c r="I1111" s="5">
        <v>41.0</v>
      </c>
      <c r="J1111" s="5" t="str">
        <f t="shared" si="1"/>
        <v>Advance</v>
      </c>
      <c r="K1111" s="9">
        <v>4939.0</v>
      </c>
    </row>
    <row r="1112" ht="15.75" customHeight="1">
      <c r="A1112" s="5" t="s">
        <v>2986</v>
      </c>
      <c r="B1112" s="5" t="s">
        <v>2513</v>
      </c>
      <c r="C1112" s="5" t="s">
        <v>771</v>
      </c>
      <c r="D1112" s="5" t="s">
        <v>72</v>
      </c>
      <c r="E1112" s="5" t="s">
        <v>266</v>
      </c>
      <c r="F1112" s="5" t="s">
        <v>34</v>
      </c>
      <c r="G1112" s="6" t="s">
        <v>66</v>
      </c>
      <c r="H1112" s="5">
        <v>24.08</v>
      </c>
      <c r="I1112" s="5">
        <v>44.0</v>
      </c>
      <c r="J1112" s="5" t="str">
        <f t="shared" si="1"/>
        <v>Advance</v>
      </c>
      <c r="K1112" s="9">
        <v>4281.0</v>
      </c>
    </row>
    <row r="1113" ht="15.75" customHeight="1">
      <c r="A1113" s="5" t="s">
        <v>2989</v>
      </c>
      <c r="B1113" s="5" t="s">
        <v>2565</v>
      </c>
      <c r="C1113" s="5" t="s">
        <v>771</v>
      </c>
      <c r="D1113" s="5" t="s">
        <v>29</v>
      </c>
      <c r="E1113" s="5" t="s">
        <v>32</v>
      </c>
      <c r="F1113" s="5" t="s">
        <v>34</v>
      </c>
      <c r="G1113" s="6" t="s">
        <v>37</v>
      </c>
      <c r="H1113" s="5">
        <v>2.33</v>
      </c>
      <c r="I1113" s="5">
        <v>46.0</v>
      </c>
      <c r="J1113" s="5" t="str">
        <f t="shared" si="1"/>
        <v>Advance</v>
      </c>
      <c r="K1113" s="9">
        <v>2359.0</v>
      </c>
    </row>
    <row r="1114" ht="15.75" customHeight="1">
      <c r="A1114" s="5" t="s">
        <v>2990</v>
      </c>
      <c r="B1114" s="5" t="s">
        <v>2551</v>
      </c>
      <c r="C1114" s="5" t="s">
        <v>771</v>
      </c>
      <c r="D1114" s="5" t="s">
        <v>43</v>
      </c>
      <c r="E1114" s="5" t="s">
        <v>68</v>
      </c>
      <c r="F1114" s="5" t="s">
        <v>34</v>
      </c>
      <c r="G1114" s="6" t="s">
        <v>66</v>
      </c>
      <c r="H1114" s="5">
        <v>4.75</v>
      </c>
      <c r="I1114" s="5">
        <v>46.0</v>
      </c>
      <c r="J1114" s="5" t="str">
        <f t="shared" si="1"/>
        <v>Advance</v>
      </c>
      <c r="K1114" s="9">
        <v>2359.0</v>
      </c>
    </row>
    <row r="1115" ht="15.75" customHeight="1">
      <c r="A1115" s="5" t="s">
        <v>2991</v>
      </c>
      <c r="B1115" s="5" t="s">
        <v>2516</v>
      </c>
      <c r="C1115" s="5" t="s">
        <v>771</v>
      </c>
      <c r="D1115" s="5" t="s">
        <v>43</v>
      </c>
      <c r="E1115" s="5" t="s">
        <v>68</v>
      </c>
      <c r="F1115" s="5" t="s">
        <v>34</v>
      </c>
      <c r="G1115" s="6" t="s">
        <v>66</v>
      </c>
      <c r="H1115" s="5">
        <v>7.08</v>
      </c>
      <c r="I1115" s="5">
        <v>46.0</v>
      </c>
      <c r="J1115" s="5" t="str">
        <f t="shared" si="1"/>
        <v>Advance</v>
      </c>
      <c r="K1115" s="9">
        <v>2359.0</v>
      </c>
    </row>
    <row r="1116" ht="15.75" customHeight="1">
      <c r="A1116" s="5" t="s">
        <v>2993</v>
      </c>
      <c r="B1116" s="5" t="s">
        <v>2560</v>
      </c>
      <c r="C1116" s="5" t="s">
        <v>771</v>
      </c>
      <c r="D1116" s="5" t="s">
        <v>45</v>
      </c>
      <c r="E1116" s="5" t="s">
        <v>49</v>
      </c>
      <c r="F1116" s="5" t="s">
        <v>34</v>
      </c>
      <c r="G1116" s="6" t="s">
        <v>66</v>
      </c>
      <c r="H1116" s="5">
        <v>16.92</v>
      </c>
      <c r="I1116" s="5">
        <v>45.0</v>
      </c>
      <c r="J1116" s="5" t="str">
        <f t="shared" si="1"/>
        <v>Advance</v>
      </c>
      <c r="K1116" s="9">
        <v>4287.0</v>
      </c>
    </row>
    <row r="1117" ht="15.75" customHeight="1">
      <c r="A1117" s="5" t="s">
        <v>2994</v>
      </c>
      <c r="B1117" s="5" t="s">
        <v>2573</v>
      </c>
      <c r="C1117" s="5" t="s">
        <v>771</v>
      </c>
      <c r="D1117" s="5" t="s">
        <v>45</v>
      </c>
      <c r="E1117" s="5" t="s">
        <v>49</v>
      </c>
      <c r="F1117" s="5" t="s">
        <v>34</v>
      </c>
      <c r="G1117" s="6" t="s">
        <v>66</v>
      </c>
      <c r="H1117" s="5">
        <v>25.17</v>
      </c>
      <c r="I1117" s="5">
        <v>47.0</v>
      </c>
      <c r="J1117" s="5" t="str">
        <f t="shared" si="1"/>
        <v>Advance</v>
      </c>
      <c r="K1117" s="9">
        <v>4363.0</v>
      </c>
    </row>
    <row r="1118" ht="15.75" customHeight="1">
      <c r="A1118" s="5" t="s">
        <v>2995</v>
      </c>
      <c r="B1118" s="5" t="s">
        <v>2544</v>
      </c>
      <c r="C1118" s="5" t="s">
        <v>771</v>
      </c>
      <c r="D1118" s="5" t="s">
        <v>43</v>
      </c>
      <c r="E1118" s="5" t="s">
        <v>68</v>
      </c>
      <c r="F1118" s="5" t="s">
        <v>34</v>
      </c>
      <c r="G1118" s="6" t="s">
        <v>66</v>
      </c>
      <c r="H1118" s="5">
        <v>7.92</v>
      </c>
      <c r="I1118" s="5">
        <v>46.0</v>
      </c>
      <c r="J1118" s="5" t="str">
        <f t="shared" si="1"/>
        <v>Advance</v>
      </c>
      <c r="K1118" s="9">
        <v>5924.0</v>
      </c>
    </row>
    <row r="1119" ht="15.75" customHeight="1">
      <c r="A1119" s="5" t="s">
        <v>2996</v>
      </c>
      <c r="B1119" s="5" t="s">
        <v>2586</v>
      </c>
      <c r="C1119" s="5" t="s">
        <v>771</v>
      </c>
      <c r="D1119" s="5" t="s">
        <v>45</v>
      </c>
      <c r="E1119" s="5" t="s">
        <v>49</v>
      </c>
      <c r="F1119" s="5" t="s">
        <v>34</v>
      </c>
      <c r="G1119" s="6" t="s">
        <v>66</v>
      </c>
      <c r="H1119" s="5">
        <v>25.08</v>
      </c>
      <c r="I1119" s="5">
        <v>45.0</v>
      </c>
      <c r="J1119" s="5" t="str">
        <f t="shared" si="1"/>
        <v>Advance</v>
      </c>
      <c r="K1119" s="9">
        <v>9680.0</v>
      </c>
    </row>
    <row r="1120" ht="15.75" customHeight="1">
      <c r="A1120" s="5" t="s">
        <v>2998</v>
      </c>
      <c r="B1120" s="5" t="s">
        <v>2596</v>
      </c>
      <c r="C1120" s="5" t="s">
        <v>771</v>
      </c>
      <c r="D1120" s="5" t="s">
        <v>45</v>
      </c>
      <c r="E1120" s="5" t="s">
        <v>49</v>
      </c>
      <c r="F1120" s="5" t="s">
        <v>53</v>
      </c>
      <c r="G1120" s="6" t="s">
        <v>66</v>
      </c>
      <c r="H1120" s="5">
        <v>20.83</v>
      </c>
      <c r="I1120" s="5">
        <v>46.0</v>
      </c>
      <c r="J1120" s="5" t="str">
        <f t="shared" si="1"/>
        <v>Advance</v>
      </c>
      <c r="K1120" s="9">
        <v>34432.0</v>
      </c>
    </row>
    <row r="1121" ht="15.75" customHeight="1">
      <c r="A1121" s="5" t="s">
        <v>2999</v>
      </c>
      <c r="B1121" s="5" t="s">
        <v>2542</v>
      </c>
      <c r="C1121" s="5" t="s">
        <v>771</v>
      </c>
      <c r="D1121" s="5" t="s">
        <v>45</v>
      </c>
      <c r="E1121" s="5" t="s">
        <v>49</v>
      </c>
      <c r="F1121" s="5" t="s">
        <v>34</v>
      </c>
      <c r="G1121" s="6" t="s">
        <v>180</v>
      </c>
      <c r="H1121" s="5">
        <v>18.5</v>
      </c>
      <c r="I1121" s="5">
        <v>47.0</v>
      </c>
      <c r="J1121" s="5" t="str">
        <f t="shared" si="1"/>
        <v>Advance</v>
      </c>
      <c r="K1121" s="9">
        <v>6041.0</v>
      </c>
    </row>
    <row r="1122" ht="15.75" customHeight="1">
      <c r="A1122" s="5" t="s">
        <v>3000</v>
      </c>
      <c r="B1122" s="5" t="s">
        <v>2703</v>
      </c>
      <c r="C1122" s="5" t="s">
        <v>797</v>
      </c>
      <c r="D1122" s="5" t="s">
        <v>72</v>
      </c>
      <c r="E1122" s="5" t="s">
        <v>266</v>
      </c>
      <c r="F1122" s="5" t="s">
        <v>34</v>
      </c>
      <c r="G1122" s="6" t="s">
        <v>37</v>
      </c>
      <c r="H1122" s="5">
        <v>1.25</v>
      </c>
      <c r="I1122" s="5">
        <v>16.0</v>
      </c>
      <c r="J1122" s="5" t="str">
        <f t="shared" si="1"/>
        <v>Moderate</v>
      </c>
      <c r="K1122" s="9">
        <v>1996.0</v>
      </c>
    </row>
    <row r="1123" ht="15.75" customHeight="1">
      <c r="A1123" s="5" t="s">
        <v>3002</v>
      </c>
      <c r="B1123" s="5" t="s">
        <v>2721</v>
      </c>
      <c r="C1123" s="5" t="s">
        <v>797</v>
      </c>
      <c r="D1123" s="5" t="s">
        <v>43</v>
      </c>
      <c r="E1123" s="5" t="s">
        <v>68</v>
      </c>
      <c r="F1123" s="5" t="s">
        <v>34</v>
      </c>
      <c r="G1123" s="6" t="s">
        <v>37</v>
      </c>
      <c r="H1123" s="5">
        <v>1.17</v>
      </c>
      <c r="I1123" s="5">
        <v>28.0</v>
      </c>
      <c r="J1123" s="5" t="str">
        <f t="shared" si="1"/>
        <v>Moderate</v>
      </c>
      <c r="K1123" s="9">
        <v>3344.0</v>
      </c>
    </row>
    <row r="1124" ht="15.75" customHeight="1">
      <c r="A1124" s="5" t="s">
        <v>3004</v>
      </c>
      <c r="B1124" s="5" t="s">
        <v>2764</v>
      </c>
      <c r="C1124" s="5" t="s">
        <v>797</v>
      </c>
      <c r="D1124" s="5" t="s">
        <v>45</v>
      </c>
      <c r="E1124" s="5" t="s">
        <v>49</v>
      </c>
      <c r="F1124" s="5" t="s">
        <v>34</v>
      </c>
      <c r="G1124" s="6" t="s">
        <v>37</v>
      </c>
      <c r="H1124" s="5">
        <v>1.42</v>
      </c>
      <c r="I1124" s="5">
        <v>44.0</v>
      </c>
      <c r="J1124" s="5" t="str">
        <f t="shared" si="1"/>
        <v>Advance</v>
      </c>
      <c r="K1124" s="9">
        <v>1526.0</v>
      </c>
    </row>
    <row r="1125" ht="15.75" customHeight="1">
      <c r="A1125" s="5" t="s">
        <v>3007</v>
      </c>
      <c r="B1125" s="5" t="s">
        <v>2741</v>
      </c>
      <c r="C1125" s="5" t="s">
        <v>797</v>
      </c>
      <c r="D1125" s="5" t="s">
        <v>43</v>
      </c>
      <c r="E1125" s="5" t="s">
        <v>68</v>
      </c>
      <c r="F1125" s="5" t="s">
        <v>34</v>
      </c>
      <c r="G1125" s="6" t="s">
        <v>37</v>
      </c>
      <c r="H1125" s="5">
        <v>1.17</v>
      </c>
      <c r="I1125" s="5">
        <v>43.0</v>
      </c>
      <c r="J1125" s="5" t="str">
        <f t="shared" si="1"/>
        <v>Advance</v>
      </c>
      <c r="K1125" s="9">
        <v>1800.0</v>
      </c>
    </row>
    <row r="1126" ht="15.75" customHeight="1">
      <c r="A1126" s="5" t="s">
        <v>3008</v>
      </c>
      <c r="B1126" s="5" t="s">
        <v>2778</v>
      </c>
      <c r="C1126" s="5" t="s">
        <v>797</v>
      </c>
      <c r="D1126" s="5" t="s">
        <v>43</v>
      </c>
      <c r="E1126" s="5" t="s">
        <v>68</v>
      </c>
      <c r="F1126" s="5" t="s">
        <v>34</v>
      </c>
      <c r="G1126" s="6" t="s">
        <v>66</v>
      </c>
      <c r="H1126" s="5">
        <v>7.92</v>
      </c>
      <c r="I1126" s="5">
        <v>43.0</v>
      </c>
      <c r="J1126" s="5" t="str">
        <f t="shared" si="1"/>
        <v>Advance</v>
      </c>
      <c r="K1126" s="9">
        <v>2827.0</v>
      </c>
    </row>
    <row r="1127" ht="15.75" customHeight="1">
      <c r="A1127" s="5" t="s">
        <v>3010</v>
      </c>
      <c r="B1127" s="5" t="s">
        <v>2750</v>
      </c>
      <c r="C1127" s="5" t="s">
        <v>797</v>
      </c>
      <c r="D1127" s="5" t="s">
        <v>43</v>
      </c>
      <c r="E1127" s="5" t="s">
        <v>68</v>
      </c>
      <c r="F1127" s="5" t="s">
        <v>34</v>
      </c>
      <c r="G1127" s="6" t="s">
        <v>180</v>
      </c>
      <c r="H1127" s="5">
        <v>10.67</v>
      </c>
      <c r="I1127" s="5">
        <v>19.0</v>
      </c>
      <c r="J1127" s="5" t="str">
        <f t="shared" si="1"/>
        <v>Moderate</v>
      </c>
      <c r="K1127" s="9">
        <v>10056.0</v>
      </c>
    </row>
    <row r="1128" ht="15.75" customHeight="1">
      <c r="A1128" s="5" t="s">
        <v>3011</v>
      </c>
      <c r="B1128" s="5" t="s">
        <v>2701</v>
      </c>
      <c r="C1128" s="5" t="s">
        <v>797</v>
      </c>
      <c r="D1128" s="5" t="s">
        <v>45</v>
      </c>
      <c r="E1128" s="5" t="s">
        <v>49</v>
      </c>
      <c r="F1128" s="5" t="s">
        <v>34</v>
      </c>
      <c r="G1128" s="6" t="s">
        <v>180</v>
      </c>
      <c r="H1128" s="5">
        <v>25.25</v>
      </c>
      <c r="I1128" s="5">
        <v>2.0</v>
      </c>
      <c r="J1128" s="5" t="str">
        <f t="shared" si="1"/>
        <v>Last Minute</v>
      </c>
      <c r="K1128" s="9">
        <v>16607.0</v>
      </c>
    </row>
    <row r="1129" ht="15.75" customHeight="1">
      <c r="A1129" s="5" t="s">
        <v>3012</v>
      </c>
      <c r="B1129" s="5" t="s">
        <v>2775</v>
      </c>
      <c r="C1129" s="5" t="s">
        <v>797</v>
      </c>
      <c r="D1129" s="5" t="s">
        <v>20</v>
      </c>
      <c r="E1129" s="5" t="s">
        <v>52</v>
      </c>
      <c r="F1129" s="5" t="s">
        <v>34</v>
      </c>
      <c r="G1129" s="6" t="s">
        <v>66</v>
      </c>
      <c r="H1129" s="5">
        <v>22.83</v>
      </c>
      <c r="I1129" s="5">
        <v>6.0</v>
      </c>
      <c r="J1129" s="5" t="str">
        <f t="shared" si="1"/>
        <v>Last Minute</v>
      </c>
      <c r="K1129" s="9">
        <v>11783.0</v>
      </c>
    </row>
    <row r="1130" ht="15.75" customHeight="1">
      <c r="A1130" s="5" t="s">
        <v>3014</v>
      </c>
      <c r="B1130" s="5" t="s">
        <v>2756</v>
      </c>
      <c r="C1130" s="5" t="s">
        <v>797</v>
      </c>
      <c r="D1130" s="5" t="s">
        <v>45</v>
      </c>
      <c r="E1130" s="5" t="s">
        <v>49</v>
      </c>
      <c r="F1130" s="5" t="s">
        <v>34</v>
      </c>
      <c r="G1130" s="6" t="s">
        <v>180</v>
      </c>
      <c r="H1130" s="5">
        <v>27.25</v>
      </c>
      <c r="I1130" s="5">
        <v>2.0</v>
      </c>
      <c r="J1130" s="5" t="str">
        <f t="shared" si="1"/>
        <v>Last Minute</v>
      </c>
      <c r="K1130" s="9">
        <v>17013.0</v>
      </c>
    </row>
    <row r="1131" ht="15.75" customHeight="1">
      <c r="A1131" s="5" t="s">
        <v>3015</v>
      </c>
      <c r="B1131" s="5" t="s">
        <v>2724</v>
      </c>
      <c r="C1131" s="5" t="s">
        <v>797</v>
      </c>
      <c r="D1131" s="5" t="s">
        <v>20</v>
      </c>
      <c r="E1131" s="5" t="s">
        <v>52</v>
      </c>
      <c r="F1131" s="5" t="s">
        <v>53</v>
      </c>
      <c r="G1131" s="6" t="s">
        <v>66</v>
      </c>
      <c r="H1131" s="5">
        <v>10.08</v>
      </c>
      <c r="I1131" s="5">
        <v>34.0</v>
      </c>
      <c r="J1131" s="5" t="str">
        <f t="shared" si="1"/>
        <v>Advance</v>
      </c>
      <c r="K1131" s="9">
        <v>51457.0</v>
      </c>
    </row>
    <row r="1132" ht="15.75" customHeight="1">
      <c r="A1132" s="5" t="s">
        <v>3016</v>
      </c>
      <c r="B1132" s="5" t="s">
        <v>2784</v>
      </c>
      <c r="C1132" s="5" t="s">
        <v>797</v>
      </c>
      <c r="D1132" s="5" t="s">
        <v>43</v>
      </c>
      <c r="E1132" s="5" t="s">
        <v>68</v>
      </c>
      <c r="F1132" s="5" t="s">
        <v>34</v>
      </c>
      <c r="G1132" s="6" t="s">
        <v>66</v>
      </c>
      <c r="H1132" s="5">
        <v>4.75</v>
      </c>
      <c r="I1132" s="5">
        <v>22.0</v>
      </c>
      <c r="J1132" s="5" t="str">
        <f t="shared" si="1"/>
        <v>Moderate</v>
      </c>
      <c r="K1132" s="9">
        <v>2862.0</v>
      </c>
    </row>
    <row r="1133" ht="15.75" customHeight="1">
      <c r="A1133" s="5" t="s">
        <v>3018</v>
      </c>
      <c r="B1133" s="5" t="s">
        <v>2780</v>
      </c>
      <c r="C1133" s="5" t="s">
        <v>797</v>
      </c>
      <c r="D1133" s="5" t="s">
        <v>45</v>
      </c>
      <c r="E1133" s="5" t="s">
        <v>49</v>
      </c>
      <c r="F1133" s="5" t="s">
        <v>34</v>
      </c>
      <c r="G1133" s="6" t="s">
        <v>66</v>
      </c>
      <c r="H1133" s="5">
        <v>23.0</v>
      </c>
      <c r="I1133" s="5">
        <v>10.0</v>
      </c>
      <c r="J1133" s="5" t="str">
        <f t="shared" si="1"/>
        <v>Short Notice</v>
      </c>
      <c r="K1133" s="9">
        <v>21948.0</v>
      </c>
    </row>
    <row r="1134" ht="15.75" customHeight="1">
      <c r="A1134" s="5" t="s">
        <v>3020</v>
      </c>
      <c r="B1134" s="5" t="s">
        <v>2785</v>
      </c>
      <c r="C1134" s="5" t="s">
        <v>797</v>
      </c>
      <c r="D1134" s="5" t="s">
        <v>20</v>
      </c>
      <c r="E1134" s="5" t="s">
        <v>52</v>
      </c>
      <c r="F1134" s="5" t="s">
        <v>34</v>
      </c>
      <c r="G1134" s="6" t="s">
        <v>66</v>
      </c>
      <c r="H1134" s="5">
        <v>15.75</v>
      </c>
      <c r="J1134" s="5" t="str">
        <f t="shared" si="1"/>
        <v>Last Minute</v>
      </c>
      <c r="K1134" s="9">
        <v>10757.0</v>
      </c>
    </row>
    <row r="1135" ht="15.75" customHeight="1">
      <c r="A1135" s="5" t="s">
        <v>3022</v>
      </c>
      <c r="B1135" s="5" t="s">
        <v>2719</v>
      </c>
      <c r="C1135" s="5" t="s">
        <v>797</v>
      </c>
      <c r="D1135" s="5" t="s">
        <v>20</v>
      </c>
      <c r="E1135" s="5" t="s">
        <v>52</v>
      </c>
      <c r="F1135" s="5" t="s">
        <v>34</v>
      </c>
      <c r="G1135" s="6" t="s">
        <v>66</v>
      </c>
      <c r="H1135" s="5">
        <v>10.17</v>
      </c>
      <c r="I1135" s="5">
        <v>13.0</v>
      </c>
      <c r="J1135" s="5" t="str">
        <f t="shared" si="1"/>
        <v>Short Notice</v>
      </c>
      <c r="K1135" s="9">
        <v>14954.0</v>
      </c>
    </row>
    <row r="1136" ht="15.75" customHeight="1">
      <c r="A1136" s="5" t="s">
        <v>3023</v>
      </c>
      <c r="B1136" s="5" t="s">
        <v>2707</v>
      </c>
      <c r="C1136" s="5" t="s">
        <v>797</v>
      </c>
      <c r="D1136" s="5" t="s">
        <v>20</v>
      </c>
      <c r="E1136" s="5" t="s">
        <v>52</v>
      </c>
      <c r="F1136" s="5" t="s">
        <v>53</v>
      </c>
      <c r="G1136" s="6" t="s">
        <v>66</v>
      </c>
      <c r="H1136" s="5">
        <v>5.25</v>
      </c>
      <c r="I1136" s="5">
        <v>28.0</v>
      </c>
      <c r="J1136" s="5" t="str">
        <f t="shared" si="1"/>
        <v>Moderate</v>
      </c>
      <c r="K1136" s="9">
        <v>41064.0</v>
      </c>
    </row>
    <row r="1137" ht="15.75" customHeight="1">
      <c r="A1137" s="5" t="s">
        <v>3025</v>
      </c>
      <c r="B1137" s="5" t="s">
        <v>2771</v>
      </c>
      <c r="C1137" s="5" t="s">
        <v>797</v>
      </c>
      <c r="D1137" s="5" t="s">
        <v>20</v>
      </c>
      <c r="E1137" s="5" t="s">
        <v>52</v>
      </c>
      <c r="F1137" s="5" t="s">
        <v>34</v>
      </c>
      <c r="G1137" s="6" t="s">
        <v>66</v>
      </c>
      <c r="H1137" s="5">
        <v>20.58</v>
      </c>
      <c r="I1137" s="5">
        <v>15.0</v>
      </c>
      <c r="J1137" s="5" t="str">
        <f t="shared" si="1"/>
        <v>Short Notice</v>
      </c>
      <c r="K1137" s="9">
        <v>10365.0</v>
      </c>
    </row>
    <row r="1138" ht="15.75" customHeight="1">
      <c r="A1138" s="5" t="s">
        <v>3026</v>
      </c>
      <c r="B1138" s="5" t="s">
        <v>2712</v>
      </c>
      <c r="C1138" s="5" t="s">
        <v>797</v>
      </c>
      <c r="D1138" s="5" t="s">
        <v>43</v>
      </c>
      <c r="E1138" s="5" t="s">
        <v>68</v>
      </c>
      <c r="F1138" s="5" t="s">
        <v>34</v>
      </c>
      <c r="G1138" s="6" t="s">
        <v>66</v>
      </c>
      <c r="H1138" s="5">
        <v>4.17</v>
      </c>
      <c r="I1138" s="5">
        <v>24.0</v>
      </c>
      <c r="J1138" s="5" t="str">
        <f t="shared" si="1"/>
        <v>Moderate</v>
      </c>
      <c r="K1138" s="9">
        <v>4202.0</v>
      </c>
    </row>
    <row r="1139" ht="15.75" customHeight="1">
      <c r="A1139" s="5" t="s">
        <v>3027</v>
      </c>
      <c r="B1139" s="5" t="s">
        <v>2709</v>
      </c>
      <c r="C1139" s="5" t="s">
        <v>797</v>
      </c>
      <c r="D1139" s="5" t="s">
        <v>43</v>
      </c>
      <c r="E1139" s="5" t="s">
        <v>68</v>
      </c>
      <c r="F1139" s="5" t="s">
        <v>34</v>
      </c>
      <c r="G1139" s="6" t="s">
        <v>180</v>
      </c>
      <c r="H1139" s="5">
        <v>6.33</v>
      </c>
      <c r="J1139" s="5" t="str">
        <f t="shared" si="1"/>
        <v>Last Minute</v>
      </c>
      <c r="K1139" s="9">
        <v>11920.0</v>
      </c>
    </row>
    <row r="1140" ht="15.75" customHeight="1">
      <c r="A1140" s="5" t="s">
        <v>3028</v>
      </c>
      <c r="B1140" s="5" t="s">
        <v>2734</v>
      </c>
      <c r="C1140" s="5" t="s">
        <v>797</v>
      </c>
      <c r="D1140" s="5" t="s">
        <v>45</v>
      </c>
      <c r="E1140" s="5" t="s">
        <v>49</v>
      </c>
      <c r="F1140" s="5" t="s">
        <v>34</v>
      </c>
      <c r="G1140" s="6" t="s">
        <v>180</v>
      </c>
      <c r="H1140" s="5">
        <v>21.25</v>
      </c>
      <c r="I1140" s="5">
        <v>6.0</v>
      </c>
      <c r="J1140" s="5" t="str">
        <f t="shared" si="1"/>
        <v>Last Minute</v>
      </c>
      <c r="K1140" s="9">
        <v>13774.0</v>
      </c>
    </row>
    <row r="1141" ht="15.75" customHeight="1">
      <c r="A1141" s="5" t="s">
        <v>3029</v>
      </c>
      <c r="B1141" s="5" t="s">
        <v>2729</v>
      </c>
      <c r="C1141" s="5" t="s">
        <v>797</v>
      </c>
      <c r="D1141" s="5" t="s">
        <v>45</v>
      </c>
      <c r="E1141" s="5" t="s">
        <v>49</v>
      </c>
      <c r="F1141" s="5" t="s">
        <v>34</v>
      </c>
      <c r="G1141" s="6" t="s">
        <v>180</v>
      </c>
      <c r="H1141" s="5">
        <v>11.67</v>
      </c>
      <c r="I1141" s="5">
        <v>15.0</v>
      </c>
      <c r="J1141" s="5" t="str">
        <f t="shared" si="1"/>
        <v>Short Notice</v>
      </c>
      <c r="K1141" s="9">
        <v>15158.0</v>
      </c>
    </row>
    <row r="1142" ht="15.75" customHeight="1">
      <c r="A1142" s="5" t="s">
        <v>3030</v>
      </c>
      <c r="B1142" s="5" t="s">
        <v>2746</v>
      </c>
      <c r="C1142" s="5" t="s">
        <v>797</v>
      </c>
      <c r="D1142" s="5" t="s">
        <v>45</v>
      </c>
      <c r="E1142" s="5" t="s">
        <v>49</v>
      </c>
      <c r="F1142" s="5" t="s">
        <v>34</v>
      </c>
      <c r="G1142" s="6" t="s">
        <v>66</v>
      </c>
      <c r="H1142" s="5">
        <v>24.58</v>
      </c>
      <c r="I1142" s="5">
        <v>15.0</v>
      </c>
      <c r="J1142" s="5" t="str">
        <f t="shared" si="1"/>
        <v>Short Notice</v>
      </c>
      <c r="K1142" s="9">
        <v>13805.0</v>
      </c>
    </row>
    <row r="1143" ht="15.75" customHeight="1">
      <c r="A1143" s="5" t="s">
        <v>3031</v>
      </c>
      <c r="B1143" s="5" t="s">
        <v>2748</v>
      </c>
      <c r="C1143" s="5" t="s">
        <v>797</v>
      </c>
      <c r="D1143" s="5" t="s">
        <v>29</v>
      </c>
      <c r="E1143" s="5" t="s">
        <v>32</v>
      </c>
      <c r="F1143" s="5" t="s">
        <v>34</v>
      </c>
      <c r="G1143" s="6" t="s">
        <v>66</v>
      </c>
      <c r="H1143" s="5">
        <v>10.17</v>
      </c>
      <c r="I1143" s="5">
        <v>25.0</v>
      </c>
      <c r="J1143" s="5" t="str">
        <f t="shared" si="1"/>
        <v>Moderate</v>
      </c>
      <c r="K1143" s="9">
        <v>1550.0</v>
      </c>
    </row>
    <row r="1144" ht="15.75" customHeight="1">
      <c r="A1144" s="5" t="s">
        <v>3032</v>
      </c>
      <c r="B1144" s="5" t="s">
        <v>2722</v>
      </c>
      <c r="C1144" s="5" t="s">
        <v>797</v>
      </c>
      <c r="D1144" s="5" t="s">
        <v>45</v>
      </c>
      <c r="E1144" s="5" t="s">
        <v>49</v>
      </c>
      <c r="F1144" s="5" t="s">
        <v>34</v>
      </c>
      <c r="G1144" s="6" t="s">
        <v>66</v>
      </c>
      <c r="H1144" s="5">
        <v>21.0</v>
      </c>
      <c r="I1144" s="5">
        <v>18.0</v>
      </c>
      <c r="J1144" s="5" t="str">
        <f t="shared" si="1"/>
        <v>Moderate</v>
      </c>
      <c r="K1144" s="9">
        <v>6622.0</v>
      </c>
    </row>
    <row r="1145" ht="15.75" customHeight="1">
      <c r="A1145" s="5" t="s">
        <v>3034</v>
      </c>
      <c r="B1145" s="5" t="s">
        <v>2760</v>
      </c>
      <c r="C1145" s="5" t="s">
        <v>797</v>
      </c>
      <c r="D1145" s="5" t="s">
        <v>45</v>
      </c>
      <c r="E1145" s="5" t="s">
        <v>49</v>
      </c>
      <c r="F1145" s="5" t="s">
        <v>34</v>
      </c>
      <c r="G1145" s="6" t="s">
        <v>180</v>
      </c>
      <c r="H1145" s="5">
        <v>34.25</v>
      </c>
      <c r="I1145" s="5">
        <v>19.0</v>
      </c>
      <c r="J1145" s="5" t="str">
        <f t="shared" si="1"/>
        <v>Moderate</v>
      </c>
      <c r="K1145" s="9">
        <v>11686.0</v>
      </c>
    </row>
    <row r="1146" ht="15.75" customHeight="1">
      <c r="A1146" s="5" t="s">
        <v>3035</v>
      </c>
      <c r="B1146" s="5" t="s">
        <v>2744</v>
      </c>
      <c r="C1146" s="5" t="s">
        <v>797</v>
      </c>
      <c r="D1146" s="5" t="s">
        <v>20</v>
      </c>
      <c r="E1146" s="5" t="s">
        <v>52</v>
      </c>
      <c r="F1146" s="5" t="s">
        <v>34</v>
      </c>
      <c r="G1146" s="5" t="s">
        <v>180</v>
      </c>
      <c r="H1146" s="5">
        <v>8.42</v>
      </c>
      <c r="I1146" s="5">
        <v>45.0</v>
      </c>
      <c r="J1146" s="5" t="str">
        <f t="shared" si="1"/>
        <v>Advance</v>
      </c>
      <c r="K1146" s="9">
        <v>6032.0</v>
      </c>
    </row>
    <row r="1147" ht="15.75" customHeight="1">
      <c r="A1147" s="5" t="s">
        <v>3037</v>
      </c>
      <c r="B1147" s="5" t="s">
        <v>2769</v>
      </c>
      <c r="C1147" s="5" t="s">
        <v>797</v>
      </c>
      <c r="D1147" s="5" t="s">
        <v>20</v>
      </c>
      <c r="E1147" s="5" t="s">
        <v>52</v>
      </c>
      <c r="F1147" s="5" t="s">
        <v>34</v>
      </c>
      <c r="G1147" s="5" t="s">
        <v>180</v>
      </c>
      <c r="H1147" s="5">
        <v>19.33</v>
      </c>
      <c r="J1147" s="5" t="str">
        <f t="shared" si="1"/>
        <v>Last Minute</v>
      </c>
      <c r="K1147" s="9">
        <v>7336.0</v>
      </c>
    </row>
    <row r="1148" ht="15.75" customHeight="1">
      <c r="A1148" s="5" t="s">
        <v>3039</v>
      </c>
      <c r="B1148" s="5" t="s">
        <v>2731</v>
      </c>
      <c r="C1148" s="5" t="s">
        <v>797</v>
      </c>
      <c r="D1148" s="5" t="s">
        <v>20</v>
      </c>
      <c r="E1148" s="5" t="s">
        <v>52</v>
      </c>
      <c r="F1148" s="5" t="s">
        <v>34</v>
      </c>
      <c r="G1148" s="5" t="s">
        <v>180</v>
      </c>
      <c r="H1148" s="5">
        <v>13.92</v>
      </c>
      <c r="I1148" s="5">
        <v>37.0</v>
      </c>
      <c r="J1148" s="5" t="str">
        <f t="shared" si="1"/>
        <v>Advance</v>
      </c>
      <c r="K1148" s="9">
        <v>6032.0</v>
      </c>
    </row>
    <row r="1149" ht="15.75" customHeight="1">
      <c r="A1149" s="5" t="s">
        <v>3041</v>
      </c>
      <c r="B1149" s="5" t="s">
        <v>2715</v>
      </c>
      <c r="C1149" s="5" t="s">
        <v>797</v>
      </c>
      <c r="D1149" s="5" t="s">
        <v>20</v>
      </c>
      <c r="E1149" s="5" t="s">
        <v>52</v>
      </c>
      <c r="F1149" s="5" t="s">
        <v>34</v>
      </c>
      <c r="G1149" s="5" t="s">
        <v>180</v>
      </c>
      <c r="H1149" s="5">
        <v>10.0</v>
      </c>
      <c r="I1149" s="5">
        <v>26.0</v>
      </c>
      <c r="J1149" s="5" t="str">
        <f t="shared" si="1"/>
        <v>Moderate</v>
      </c>
      <c r="K1149" s="9">
        <v>6966.0</v>
      </c>
    </row>
    <row r="1150" ht="15.75" customHeight="1">
      <c r="A1150" s="5" t="s">
        <v>3043</v>
      </c>
      <c r="B1150" s="5" t="s">
        <v>2787</v>
      </c>
      <c r="C1150" s="5" t="s">
        <v>797</v>
      </c>
      <c r="D1150" s="5" t="s">
        <v>20</v>
      </c>
      <c r="E1150" s="5" t="s">
        <v>52</v>
      </c>
      <c r="F1150" s="5" t="s">
        <v>34</v>
      </c>
      <c r="G1150" s="5" t="s">
        <v>180</v>
      </c>
      <c r="H1150" s="5">
        <v>26.08</v>
      </c>
      <c r="I1150" s="5">
        <v>40.0</v>
      </c>
      <c r="J1150" s="5" t="str">
        <f t="shared" si="1"/>
        <v>Advance</v>
      </c>
      <c r="K1150" s="9">
        <v>6015.0</v>
      </c>
    </row>
    <row r="1151" ht="15.75" customHeight="1">
      <c r="A1151" s="5" t="s">
        <v>3044</v>
      </c>
      <c r="B1151" s="5" t="s">
        <v>2758</v>
      </c>
      <c r="C1151" s="5" t="s">
        <v>797</v>
      </c>
      <c r="D1151" s="5" t="s">
        <v>43</v>
      </c>
      <c r="E1151" s="5" t="s">
        <v>68</v>
      </c>
      <c r="F1151" s="5" t="s">
        <v>34</v>
      </c>
      <c r="G1151" s="5" t="s">
        <v>66</v>
      </c>
      <c r="H1151" s="5">
        <v>4.92</v>
      </c>
      <c r="I1151" s="5">
        <v>44.0</v>
      </c>
      <c r="J1151" s="5" t="str">
        <f t="shared" si="1"/>
        <v>Advance</v>
      </c>
      <c r="K1151" s="9">
        <v>7336.0</v>
      </c>
    </row>
    <row r="1152" ht="15.75" customHeight="1">
      <c r="A1152" s="5" t="s">
        <v>3045</v>
      </c>
      <c r="B1152" s="5" t="s">
        <v>2777</v>
      </c>
      <c r="C1152" s="5" t="s">
        <v>797</v>
      </c>
      <c r="D1152" s="5" t="s">
        <v>20</v>
      </c>
      <c r="E1152" s="5" t="s">
        <v>52</v>
      </c>
      <c r="F1152" s="5" t="s">
        <v>53</v>
      </c>
      <c r="G1152" s="5" t="s">
        <v>66</v>
      </c>
      <c r="H1152" s="5">
        <v>22.67</v>
      </c>
      <c r="J1152" s="5" t="str">
        <f t="shared" si="1"/>
        <v>Last Minute</v>
      </c>
      <c r="K1152" s="9">
        <v>51457.0</v>
      </c>
    </row>
    <row r="1153" ht="15.75" customHeight="1">
      <c r="A1153" s="5" t="s">
        <v>3046</v>
      </c>
      <c r="B1153" s="5" t="s">
        <v>2739</v>
      </c>
      <c r="C1153" s="5" t="s">
        <v>797</v>
      </c>
      <c r="D1153" s="5" t="s">
        <v>45</v>
      </c>
      <c r="E1153" s="5" t="s">
        <v>49</v>
      </c>
      <c r="F1153" s="5" t="s">
        <v>34</v>
      </c>
      <c r="G1153" s="5" t="s">
        <v>66</v>
      </c>
      <c r="H1153" s="5">
        <v>23.08</v>
      </c>
      <c r="I1153" s="5">
        <v>49.0</v>
      </c>
      <c r="J1153" s="5" t="str">
        <f t="shared" si="1"/>
        <v>Advance</v>
      </c>
      <c r="K1153" s="9">
        <v>3979.0</v>
      </c>
    </row>
    <row r="1154" ht="15.75" customHeight="1">
      <c r="A1154" s="5" t="s">
        <v>3047</v>
      </c>
      <c r="B1154" s="5" t="s">
        <v>2782</v>
      </c>
      <c r="C1154" s="5" t="s">
        <v>797</v>
      </c>
      <c r="D1154" s="5" t="s">
        <v>43</v>
      </c>
      <c r="E1154" s="5" t="s">
        <v>68</v>
      </c>
      <c r="F1154" s="5" t="s">
        <v>34</v>
      </c>
      <c r="G1154" s="5" t="s">
        <v>66</v>
      </c>
      <c r="H1154" s="5">
        <v>6.33</v>
      </c>
      <c r="I1154" s="5">
        <v>46.0</v>
      </c>
      <c r="J1154" s="5" t="str">
        <f t="shared" si="1"/>
        <v>Advance</v>
      </c>
      <c r="K1154" s="9">
        <v>1105.0</v>
      </c>
    </row>
    <row r="1155" ht="15.75" customHeight="1">
      <c r="A1155" s="5" t="s">
        <v>3049</v>
      </c>
      <c r="B1155" s="5" t="s">
        <v>2766</v>
      </c>
      <c r="C1155" s="5" t="s">
        <v>797</v>
      </c>
      <c r="D1155" s="5" t="s">
        <v>43</v>
      </c>
      <c r="E1155" s="5" t="s">
        <v>68</v>
      </c>
      <c r="F1155" s="5" t="s">
        <v>34</v>
      </c>
      <c r="G1155" s="5" t="s">
        <v>37</v>
      </c>
      <c r="H1155" s="5">
        <v>1.17</v>
      </c>
      <c r="I1155" s="5">
        <v>46.0</v>
      </c>
      <c r="J1155" s="5" t="str">
        <f t="shared" si="1"/>
        <v>Advance</v>
      </c>
      <c r="K1155" s="9">
        <v>1551.0</v>
      </c>
    </row>
    <row r="1156" ht="15.75" customHeight="1">
      <c r="A1156" s="5" t="s">
        <v>3050</v>
      </c>
      <c r="B1156" s="5" t="s">
        <v>2726</v>
      </c>
      <c r="C1156" s="5" t="s">
        <v>797</v>
      </c>
      <c r="D1156" s="5" t="s">
        <v>29</v>
      </c>
      <c r="E1156" s="5" t="s">
        <v>32</v>
      </c>
      <c r="F1156" s="5" t="s">
        <v>34</v>
      </c>
      <c r="G1156" s="5" t="s">
        <v>66</v>
      </c>
      <c r="H1156" s="5">
        <v>10.17</v>
      </c>
      <c r="I1156" s="5">
        <v>46.0</v>
      </c>
      <c r="J1156" s="5" t="str">
        <f t="shared" si="1"/>
        <v>Advance</v>
      </c>
      <c r="K1156" s="9">
        <v>1550.0</v>
      </c>
    </row>
    <row r="1157" ht="15.75" customHeight="1">
      <c r="A1157" s="5" t="s">
        <v>3051</v>
      </c>
      <c r="B1157" s="5" t="s">
        <v>2773</v>
      </c>
      <c r="C1157" s="5" t="s">
        <v>797</v>
      </c>
      <c r="D1157" s="5" t="s">
        <v>20</v>
      </c>
      <c r="E1157" s="5" t="s">
        <v>52</v>
      </c>
      <c r="F1157" s="5" t="s">
        <v>53</v>
      </c>
      <c r="G1157" s="5" t="s">
        <v>66</v>
      </c>
      <c r="H1157" s="5">
        <v>16.0</v>
      </c>
      <c r="I1157" s="5">
        <v>48.0</v>
      </c>
      <c r="J1157" s="5" t="str">
        <f t="shared" si="1"/>
        <v>Advance</v>
      </c>
      <c r="K1157" s="9">
        <v>87118.0</v>
      </c>
    </row>
    <row r="1158" ht="15.75" customHeight="1">
      <c r="A1158" s="5" t="s">
        <v>3053</v>
      </c>
      <c r="B1158" s="5" t="s">
        <v>2736</v>
      </c>
      <c r="C1158" s="5" t="s">
        <v>797</v>
      </c>
      <c r="D1158" s="5" t="s">
        <v>43</v>
      </c>
      <c r="E1158" s="5" t="s">
        <v>68</v>
      </c>
      <c r="F1158" s="5" t="s">
        <v>34</v>
      </c>
      <c r="G1158" s="5" t="s">
        <v>66</v>
      </c>
      <c r="H1158" s="5">
        <v>5.92</v>
      </c>
      <c r="J1158" s="5" t="str">
        <f t="shared" si="1"/>
        <v>Last Minute</v>
      </c>
      <c r="K1158" s="9">
        <v>1105.0</v>
      </c>
    </row>
    <row r="1159" ht="15.75" customHeight="1">
      <c r="A1159" s="5" t="s">
        <v>3054</v>
      </c>
      <c r="B1159" s="5" t="s">
        <v>2717</v>
      </c>
      <c r="C1159" s="5" t="s">
        <v>797</v>
      </c>
      <c r="D1159" s="5" t="s">
        <v>45</v>
      </c>
      <c r="E1159" s="5" t="s">
        <v>49</v>
      </c>
      <c r="F1159" s="5" t="s">
        <v>34</v>
      </c>
      <c r="G1159" s="5" t="s">
        <v>66</v>
      </c>
      <c r="H1159" s="5">
        <v>5.92</v>
      </c>
      <c r="J1159" s="5" t="str">
        <f t="shared" si="1"/>
        <v>Last Minute</v>
      </c>
      <c r="K1159" s="9">
        <v>3353.0</v>
      </c>
    </row>
    <row r="1160" ht="15.75" customHeight="1">
      <c r="A1160" s="5" t="s">
        <v>3056</v>
      </c>
      <c r="B1160" s="5" t="s">
        <v>2753</v>
      </c>
      <c r="C1160" s="5" t="s">
        <v>797</v>
      </c>
      <c r="D1160" s="5" t="s">
        <v>45</v>
      </c>
      <c r="E1160" s="5" t="s">
        <v>49</v>
      </c>
      <c r="F1160" s="5" t="s">
        <v>53</v>
      </c>
      <c r="G1160" s="5" t="s">
        <v>37</v>
      </c>
      <c r="H1160" s="5">
        <v>1.33</v>
      </c>
      <c r="I1160" s="5">
        <v>48.0</v>
      </c>
      <c r="J1160" s="5" t="str">
        <f t="shared" si="1"/>
        <v>Advance</v>
      </c>
      <c r="K1160" s="9">
        <v>15000.0</v>
      </c>
    </row>
    <row r="1161" ht="15.75" customHeight="1">
      <c r="A1161" s="5" t="s">
        <v>3057</v>
      </c>
      <c r="B1161" s="5" t="s">
        <v>17</v>
      </c>
      <c r="C1161" s="5" t="s">
        <v>26</v>
      </c>
      <c r="D1161" s="5" t="s">
        <v>20</v>
      </c>
      <c r="E1161" s="5" t="s">
        <v>52</v>
      </c>
      <c r="F1161" s="5" t="s">
        <v>53</v>
      </c>
      <c r="G1161" s="5" t="s">
        <v>66</v>
      </c>
      <c r="H1161" s="5">
        <v>14.33</v>
      </c>
      <c r="I1161" s="5">
        <v>8.0</v>
      </c>
      <c r="J1161" s="5" t="str">
        <f t="shared" si="1"/>
        <v>Short Notice</v>
      </c>
      <c r="K1161" s="9">
        <v>71056.0</v>
      </c>
    </row>
    <row r="1162" ht="15.75" customHeight="1">
      <c r="A1162" s="5" t="s">
        <v>3059</v>
      </c>
      <c r="B1162" s="5" t="s">
        <v>1549</v>
      </c>
      <c r="C1162" s="5" t="s">
        <v>108</v>
      </c>
      <c r="D1162" s="5" t="s">
        <v>20</v>
      </c>
      <c r="E1162" s="5" t="s">
        <v>52</v>
      </c>
      <c r="F1162" s="5" t="s">
        <v>53</v>
      </c>
      <c r="G1162" s="5" t="s">
        <v>66</v>
      </c>
      <c r="H1162" s="5">
        <v>18.0</v>
      </c>
      <c r="I1162" s="5">
        <v>16.0</v>
      </c>
      <c r="J1162" s="5" t="str">
        <f t="shared" si="1"/>
        <v>Moderate</v>
      </c>
      <c r="K1162" s="9">
        <v>50297.0</v>
      </c>
    </row>
    <row r="1163" ht="15.75" customHeight="1">
      <c r="A1163" s="5" t="s">
        <v>3060</v>
      </c>
      <c r="B1163" s="5" t="s">
        <v>2620</v>
      </c>
      <c r="C1163" s="5" t="s">
        <v>131</v>
      </c>
      <c r="D1163" s="5" t="s">
        <v>20</v>
      </c>
      <c r="E1163" s="5" t="s">
        <v>52</v>
      </c>
      <c r="F1163" s="5" t="s">
        <v>53</v>
      </c>
      <c r="G1163" s="5" t="s">
        <v>66</v>
      </c>
      <c r="H1163" s="5">
        <v>16.08</v>
      </c>
      <c r="I1163" s="5">
        <v>2.0</v>
      </c>
      <c r="J1163" s="5" t="str">
        <f t="shared" si="1"/>
        <v>Last Minute</v>
      </c>
      <c r="K1163" s="9">
        <v>41897.0</v>
      </c>
    </row>
    <row r="1164" ht="15.75" customHeight="1">
      <c r="A1164" s="5" t="s">
        <v>3061</v>
      </c>
      <c r="B1164" s="5" t="s">
        <v>2625</v>
      </c>
      <c r="C1164" s="5" t="s">
        <v>131</v>
      </c>
      <c r="D1164" s="5" t="s">
        <v>45</v>
      </c>
      <c r="E1164" s="5" t="s">
        <v>49</v>
      </c>
      <c r="F1164" s="5" t="s">
        <v>53</v>
      </c>
      <c r="G1164" s="5" t="s">
        <v>66</v>
      </c>
      <c r="H1164" s="5">
        <v>27.33</v>
      </c>
      <c r="I1164" s="5">
        <v>18.0</v>
      </c>
      <c r="J1164" s="5" t="str">
        <f t="shared" si="1"/>
        <v>Moderate</v>
      </c>
      <c r="K1164" s="9">
        <v>41118.0</v>
      </c>
    </row>
    <row r="1165" ht="15.75" customHeight="1">
      <c r="A1165" s="5" t="s">
        <v>3062</v>
      </c>
      <c r="B1165" s="5" t="s">
        <v>2819</v>
      </c>
      <c r="C1165" s="5" t="s">
        <v>152</v>
      </c>
      <c r="D1165" s="5" t="s">
        <v>20</v>
      </c>
      <c r="E1165" s="5" t="s">
        <v>52</v>
      </c>
      <c r="F1165" s="5" t="s">
        <v>53</v>
      </c>
      <c r="G1165" s="5" t="s">
        <v>66</v>
      </c>
      <c r="H1165" s="5">
        <v>24.33</v>
      </c>
      <c r="I1165" s="5">
        <v>5.0</v>
      </c>
      <c r="J1165" s="5" t="str">
        <f t="shared" si="1"/>
        <v>Last Minute</v>
      </c>
      <c r="K1165" s="9">
        <v>53937.0</v>
      </c>
    </row>
    <row r="1166" ht="15.75" customHeight="1">
      <c r="A1166" s="5" t="s">
        <v>3063</v>
      </c>
      <c r="B1166" s="5" t="s">
        <v>2883</v>
      </c>
      <c r="C1166" s="5" t="s">
        <v>174</v>
      </c>
      <c r="D1166" s="5" t="s">
        <v>20</v>
      </c>
      <c r="E1166" s="5" t="s">
        <v>52</v>
      </c>
      <c r="F1166" s="5" t="s">
        <v>53</v>
      </c>
      <c r="G1166" s="5" t="s">
        <v>66</v>
      </c>
      <c r="H1166" s="5">
        <v>24.0</v>
      </c>
      <c r="I1166" s="5">
        <v>4.0</v>
      </c>
      <c r="J1166" s="5" t="str">
        <f t="shared" si="1"/>
        <v>Last Minute</v>
      </c>
      <c r="K1166" s="9">
        <v>60232.0</v>
      </c>
    </row>
    <row r="1167" ht="15.75" customHeight="1">
      <c r="A1167" s="5" t="s">
        <v>3065</v>
      </c>
      <c r="B1167" s="5" t="s">
        <v>2891</v>
      </c>
      <c r="C1167" s="5" t="s">
        <v>174</v>
      </c>
      <c r="D1167" s="5" t="s">
        <v>20</v>
      </c>
      <c r="E1167" s="5" t="s">
        <v>52</v>
      </c>
      <c r="F1167" s="5" t="s">
        <v>53</v>
      </c>
      <c r="G1167" s="5" t="s">
        <v>180</v>
      </c>
      <c r="H1167" s="5">
        <v>15.17</v>
      </c>
      <c r="I1167" s="5">
        <v>4.0</v>
      </c>
      <c r="J1167" s="5" t="str">
        <f t="shared" si="1"/>
        <v>Last Minute</v>
      </c>
      <c r="K1167" s="9">
        <v>64801.0</v>
      </c>
    </row>
    <row r="1168" ht="15.75" customHeight="1">
      <c r="A1168" s="5" t="s">
        <v>3066</v>
      </c>
      <c r="B1168" s="5" t="s">
        <v>2939</v>
      </c>
      <c r="C1168" s="5" t="s">
        <v>195</v>
      </c>
      <c r="D1168" s="5" t="s">
        <v>45</v>
      </c>
      <c r="E1168" s="5" t="s">
        <v>49</v>
      </c>
      <c r="F1168" s="5" t="s">
        <v>53</v>
      </c>
      <c r="G1168" s="5" t="s">
        <v>66</v>
      </c>
      <c r="H1168" s="5">
        <v>27.5</v>
      </c>
      <c r="I1168" s="5">
        <v>2.0</v>
      </c>
      <c r="J1168" s="5" t="str">
        <f t="shared" si="1"/>
        <v>Last Minute</v>
      </c>
      <c r="K1168" s="9">
        <v>56069.0</v>
      </c>
    </row>
    <row r="1169" ht="15.75" customHeight="1">
      <c r="A1169" s="5" t="s">
        <v>3068</v>
      </c>
      <c r="B1169" s="5" t="s">
        <v>2953</v>
      </c>
      <c r="C1169" s="5" t="s">
        <v>220</v>
      </c>
      <c r="D1169" s="5" t="s">
        <v>20</v>
      </c>
      <c r="E1169" s="5" t="s">
        <v>52</v>
      </c>
      <c r="F1169" s="5" t="s">
        <v>53</v>
      </c>
      <c r="G1169" s="5" t="s">
        <v>66</v>
      </c>
      <c r="H1169" s="5">
        <v>12.08</v>
      </c>
      <c r="I1169" s="5">
        <v>46.0</v>
      </c>
      <c r="J1169" s="5" t="str">
        <f t="shared" si="1"/>
        <v>Advance</v>
      </c>
      <c r="K1169" s="9">
        <v>74880.0</v>
      </c>
    </row>
    <row r="1170" ht="15.75" customHeight="1">
      <c r="A1170" s="5" t="s">
        <v>3070</v>
      </c>
      <c r="B1170" s="5" t="s">
        <v>309</v>
      </c>
      <c r="C1170" s="5" t="s">
        <v>288</v>
      </c>
      <c r="D1170" s="5" t="s">
        <v>20</v>
      </c>
      <c r="E1170" s="5" t="s">
        <v>52</v>
      </c>
      <c r="F1170" s="5" t="s">
        <v>53</v>
      </c>
      <c r="G1170" s="5" t="s">
        <v>66</v>
      </c>
      <c r="H1170" s="5">
        <v>20.83</v>
      </c>
      <c r="I1170" s="5">
        <v>1.0</v>
      </c>
      <c r="J1170" s="5" t="str">
        <f t="shared" si="1"/>
        <v>Last Minute</v>
      </c>
      <c r="K1170" s="9">
        <v>66411.0</v>
      </c>
    </row>
    <row r="1171" ht="15.75" customHeight="1">
      <c r="A1171" s="5" t="s">
        <v>3071</v>
      </c>
      <c r="B1171" s="5" t="s">
        <v>501</v>
      </c>
      <c r="C1171" s="5" t="s">
        <v>361</v>
      </c>
      <c r="D1171" s="5" t="s">
        <v>20</v>
      </c>
      <c r="E1171" s="5" t="s">
        <v>52</v>
      </c>
      <c r="F1171" s="5" t="s">
        <v>53</v>
      </c>
      <c r="G1171" s="5" t="s">
        <v>66</v>
      </c>
      <c r="H1171" s="5">
        <v>27.17</v>
      </c>
      <c r="I1171" s="5">
        <v>3.0</v>
      </c>
      <c r="J1171" s="5" t="str">
        <f t="shared" si="1"/>
        <v>Last Minute</v>
      </c>
      <c r="K1171" s="9">
        <v>83916.0</v>
      </c>
    </row>
    <row r="1172" ht="15.75" customHeight="1">
      <c r="A1172" s="5" t="s">
        <v>3074</v>
      </c>
      <c r="B1172" s="5" t="s">
        <v>575</v>
      </c>
      <c r="C1172" s="5" t="s">
        <v>392</v>
      </c>
      <c r="D1172" s="5" t="s">
        <v>45</v>
      </c>
      <c r="E1172" s="5" t="s">
        <v>49</v>
      </c>
      <c r="F1172" s="5" t="s">
        <v>53</v>
      </c>
      <c r="G1172" s="5" t="s">
        <v>66</v>
      </c>
      <c r="H1172" s="5">
        <v>28.08</v>
      </c>
      <c r="I1172" s="5">
        <v>3.0</v>
      </c>
      <c r="J1172" s="5" t="str">
        <f t="shared" si="1"/>
        <v>Last Minute</v>
      </c>
      <c r="K1172" s="9">
        <v>61628.0</v>
      </c>
    </row>
    <row r="1173" ht="15.75" customHeight="1">
      <c r="A1173" s="5" t="s">
        <v>3075</v>
      </c>
      <c r="B1173" s="5" t="s">
        <v>571</v>
      </c>
      <c r="C1173" s="5" t="s">
        <v>392</v>
      </c>
      <c r="D1173" s="5" t="s">
        <v>20</v>
      </c>
      <c r="E1173" s="5" t="s">
        <v>52</v>
      </c>
      <c r="F1173" s="5" t="s">
        <v>53</v>
      </c>
      <c r="G1173" s="5" t="s">
        <v>66</v>
      </c>
      <c r="H1173" s="5">
        <v>13.75</v>
      </c>
      <c r="I1173" s="5">
        <v>3.0</v>
      </c>
      <c r="J1173" s="5" t="str">
        <f t="shared" si="1"/>
        <v>Last Minute</v>
      </c>
      <c r="K1173" s="9">
        <v>73388.0</v>
      </c>
    </row>
    <row r="1174" ht="15.75" customHeight="1">
      <c r="A1174" s="5" t="s">
        <v>3076</v>
      </c>
      <c r="B1174" s="5" t="s">
        <v>742</v>
      </c>
      <c r="C1174" s="5" t="s">
        <v>423</v>
      </c>
      <c r="D1174" s="5" t="s">
        <v>45</v>
      </c>
      <c r="E1174" s="5" t="s">
        <v>49</v>
      </c>
      <c r="F1174" s="5" t="s">
        <v>53</v>
      </c>
      <c r="G1174" s="5" t="s">
        <v>66</v>
      </c>
      <c r="H1174" s="5">
        <v>24.08</v>
      </c>
      <c r="I1174" s="5">
        <v>3.0</v>
      </c>
      <c r="J1174" s="5" t="str">
        <f t="shared" si="1"/>
        <v>Last Minute</v>
      </c>
      <c r="K1174" s="9">
        <v>57596.0</v>
      </c>
    </row>
    <row r="1175" ht="15.75" customHeight="1">
      <c r="A1175" s="5" t="s">
        <v>3077</v>
      </c>
      <c r="B1175" s="5" t="s">
        <v>1237</v>
      </c>
      <c r="C1175" s="5" t="s">
        <v>504</v>
      </c>
      <c r="D1175" s="5" t="s">
        <v>45</v>
      </c>
      <c r="E1175" s="5" t="s">
        <v>49</v>
      </c>
      <c r="F1175" s="5" t="s">
        <v>53</v>
      </c>
      <c r="G1175" s="5" t="s">
        <v>66</v>
      </c>
      <c r="H1175" s="5">
        <v>24.83</v>
      </c>
      <c r="I1175" s="5">
        <v>3.0</v>
      </c>
      <c r="J1175" s="5" t="str">
        <f t="shared" si="1"/>
        <v>Last Minute</v>
      </c>
      <c r="K1175" s="9">
        <v>7336.0</v>
      </c>
    </row>
    <row r="1176" ht="15.75" customHeight="1">
      <c r="A1176" s="5" t="s">
        <v>3079</v>
      </c>
      <c r="B1176" s="5" t="s">
        <v>1148</v>
      </c>
      <c r="C1176" s="5" t="s">
        <v>504</v>
      </c>
      <c r="D1176" s="5" t="s">
        <v>20</v>
      </c>
      <c r="E1176" s="5" t="s">
        <v>52</v>
      </c>
      <c r="F1176" s="5" t="s">
        <v>53</v>
      </c>
      <c r="G1176" s="5" t="s">
        <v>180</v>
      </c>
      <c r="H1176" s="5">
        <v>9.33</v>
      </c>
      <c r="I1176" s="5">
        <v>4.0</v>
      </c>
      <c r="J1176" s="5" t="str">
        <f t="shared" si="1"/>
        <v>Last Minute</v>
      </c>
      <c r="K1176" s="9">
        <v>65167.0</v>
      </c>
    </row>
    <row r="1177" ht="15.75" customHeight="1">
      <c r="A1177" s="5" t="s">
        <v>3081</v>
      </c>
      <c r="B1177" s="5" t="s">
        <v>1193</v>
      </c>
      <c r="C1177" s="5" t="s">
        <v>504</v>
      </c>
      <c r="D1177" s="5" t="s">
        <v>20</v>
      </c>
      <c r="E1177" s="5" t="s">
        <v>52</v>
      </c>
      <c r="F1177" s="5" t="s">
        <v>53</v>
      </c>
      <c r="G1177" s="5" t="s">
        <v>180</v>
      </c>
      <c r="H1177" s="5">
        <v>11.33</v>
      </c>
      <c r="I1177" s="5">
        <v>4.0</v>
      </c>
      <c r="J1177" s="5" t="str">
        <f t="shared" si="1"/>
        <v>Last Minute</v>
      </c>
      <c r="K1177" s="9">
        <v>65632.0</v>
      </c>
    </row>
    <row r="1178" ht="15.75" customHeight="1">
      <c r="A1178" s="5" t="s">
        <v>3082</v>
      </c>
      <c r="B1178" s="5" t="s">
        <v>1200</v>
      </c>
      <c r="C1178" s="5" t="s">
        <v>504</v>
      </c>
      <c r="D1178" s="5" t="s">
        <v>20</v>
      </c>
      <c r="E1178" s="5" t="s">
        <v>52</v>
      </c>
      <c r="F1178" s="5" t="s">
        <v>53</v>
      </c>
      <c r="G1178" s="5" t="s">
        <v>180</v>
      </c>
      <c r="H1178" s="5">
        <v>10.0</v>
      </c>
      <c r="I1178" s="5">
        <v>4.0</v>
      </c>
      <c r="J1178" s="5" t="str">
        <f t="shared" si="1"/>
        <v>Last Minute</v>
      </c>
      <c r="K1178" s="9">
        <v>110936.0</v>
      </c>
    </row>
    <row r="1179" ht="15.75" customHeight="1">
      <c r="A1179" s="5" t="s">
        <v>3083</v>
      </c>
      <c r="B1179" s="5" t="s">
        <v>1213</v>
      </c>
      <c r="C1179" s="5" t="s">
        <v>504</v>
      </c>
      <c r="D1179" s="5" t="s">
        <v>20</v>
      </c>
      <c r="E1179" s="5" t="s">
        <v>52</v>
      </c>
      <c r="F1179" s="5" t="s">
        <v>53</v>
      </c>
      <c r="G1179" s="5" t="s">
        <v>66</v>
      </c>
      <c r="H1179" s="5">
        <v>25.17</v>
      </c>
      <c r="I1179" s="5">
        <v>35.0</v>
      </c>
      <c r="J1179" s="5" t="str">
        <f t="shared" si="1"/>
        <v>Advance</v>
      </c>
      <c r="K1179" s="9">
        <v>59254.0</v>
      </c>
    </row>
    <row r="1180" ht="15.75" customHeight="1">
      <c r="A1180" s="5" t="s">
        <v>3085</v>
      </c>
      <c r="B1180" s="5" t="s">
        <v>1229</v>
      </c>
      <c r="C1180" s="5" t="s">
        <v>504</v>
      </c>
      <c r="D1180" s="5" t="s">
        <v>20</v>
      </c>
      <c r="E1180" s="5" t="s">
        <v>52</v>
      </c>
      <c r="F1180" s="5" t="s">
        <v>53</v>
      </c>
      <c r="G1180" s="5" t="s">
        <v>66</v>
      </c>
      <c r="H1180" s="5">
        <v>28.33</v>
      </c>
      <c r="I1180" s="5">
        <v>28.0</v>
      </c>
      <c r="J1180" s="5" t="str">
        <f t="shared" si="1"/>
        <v>Moderate</v>
      </c>
      <c r="K1180" s="9">
        <v>59254.0</v>
      </c>
    </row>
    <row r="1181" ht="15.75" customHeight="1">
      <c r="A1181" s="5" t="s">
        <v>3086</v>
      </c>
      <c r="B1181" s="5" t="s">
        <v>1135</v>
      </c>
      <c r="C1181" s="5" t="s">
        <v>504</v>
      </c>
      <c r="D1181" s="5" t="s">
        <v>20</v>
      </c>
      <c r="E1181" s="5" t="s">
        <v>52</v>
      </c>
      <c r="F1181" s="5" t="s">
        <v>53</v>
      </c>
      <c r="G1181" s="5" t="s">
        <v>66</v>
      </c>
      <c r="H1181" s="5">
        <v>27.83</v>
      </c>
      <c r="I1181" s="5">
        <v>16.0</v>
      </c>
      <c r="J1181" s="5" t="str">
        <f t="shared" si="1"/>
        <v>Moderate</v>
      </c>
      <c r="K1181" s="9">
        <v>59254.0</v>
      </c>
    </row>
    <row r="1182" ht="15.75" customHeight="1">
      <c r="A1182" s="5" t="s">
        <v>3088</v>
      </c>
      <c r="B1182" s="5" t="s">
        <v>1581</v>
      </c>
      <c r="C1182" s="5" t="s">
        <v>549</v>
      </c>
      <c r="D1182" s="5" t="s">
        <v>45</v>
      </c>
      <c r="E1182" s="5" t="s">
        <v>49</v>
      </c>
      <c r="F1182" s="5" t="s">
        <v>53</v>
      </c>
      <c r="G1182" s="5" t="s">
        <v>66</v>
      </c>
      <c r="H1182" s="5">
        <v>22.67</v>
      </c>
      <c r="I1182" s="5">
        <v>46.0</v>
      </c>
      <c r="J1182" s="5" t="str">
        <f t="shared" si="1"/>
        <v>Advance</v>
      </c>
      <c r="K1182" s="9">
        <v>37152.0</v>
      </c>
    </row>
    <row r="1183" ht="15.75" customHeight="1">
      <c r="A1183" s="5" t="s">
        <v>3089</v>
      </c>
      <c r="B1183" s="5" t="s">
        <v>1696</v>
      </c>
      <c r="C1183" s="5" t="s">
        <v>564</v>
      </c>
      <c r="D1183" s="5" t="s">
        <v>20</v>
      </c>
      <c r="E1183" s="5" t="s">
        <v>52</v>
      </c>
      <c r="F1183" s="5" t="s">
        <v>53</v>
      </c>
      <c r="G1183" s="5" t="s">
        <v>66</v>
      </c>
      <c r="H1183" s="5">
        <v>25.58</v>
      </c>
      <c r="I1183" s="5">
        <v>3.0</v>
      </c>
      <c r="J1183" s="5" t="str">
        <f t="shared" si="1"/>
        <v>Last Minute</v>
      </c>
      <c r="K1183" s="9">
        <v>51382.0</v>
      </c>
    </row>
    <row r="1184" ht="15.75" customHeight="1">
      <c r="A1184" s="5" t="s">
        <v>3091</v>
      </c>
      <c r="B1184" s="5" t="s">
        <v>1650</v>
      </c>
      <c r="C1184" s="5" t="s">
        <v>564</v>
      </c>
      <c r="D1184" s="5" t="s">
        <v>20</v>
      </c>
      <c r="E1184" s="5" t="s">
        <v>52</v>
      </c>
      <c r="F1184" s="5" t="s">
        <v>53</v>
      </c>
      <c r="G1184" s="5" t="s">
        <v>66</v>
      </c>
      <c r="H1184" s="5">
        <v>23.58</v>
      </c>
      <c r="I1184" s="5">
        <v>11.0</v>
      </c>
      <c r="J1184" s="5" t="str">
        <f t="shared" si="1"/>
        <v>Short Notice</v>
      </c>
      <c r="K1184" s="9">
        <v>39555.0</v>
      </c>
    </row>
    <row r="1185" ht="15.75" customHeight="1">
      <c r="A1185" s="5" t="s">
        <v>3092</v>
      </c>
      <c r="B1185" s="5" t="s">
        <v>1799</v>
      </c>
      <c r="C1185" s="5" t="s">
        <v>590</v>
      </c>
      <c r="D1185" s="5" t="s">
        <v>20</v>
      </c>
      <c r="E1185" s="5" t="s">
        <v>52</v>
      </c>
      <c r="F1185" s="5" t="s">
        <v>53</v>
      </c>
      <c r="G1185" s="5" t="s">
        <v>66</v>
      </c>
      <c r="H1185" s="5">
        <v>24.58</v>
      </c>
      <c r="I1185" s="5">
        <v>2.0</v>
      </c>
      <c r="J1185" s="5" t="str">
        <f t="shared" si="1"/>
        <v>Last Minute</v>
      </c>
      <c r="K1185" s="9">
        <v>62874.0</v>
      </c>
    </row>
    <row r="1186" ht="15.75" customHeight="1">
      <c r="A1186" s="5" t="s">
        <v>3093</v>
      </c>
      <c r="B1186" s="5" t="s">
        <v>1764</v>
      </c>
      <c r="C1186" s="5" t="s">
        <v>590</v>
      </c>
      <c r="D1186" s="5" t="s">
        <v>20</v>
      </c>
      <c r="E1186" s="5" t="s">
        <v>52</v>
      </c>
      <c r="F1186" s="5" t="s">
        <v>53</v>
      </c>
      <c r="G1186" s="5" t="s">
        <v>66</v>
      </c>
      <c r="H1186" s="5">
        <v>18.58</v>
      </c>
      <c r="I1186" s="5">
        <v>46.0</v>
      </c>
      <c r="J1186" s="5" t="str">
        <f t="shared" si="1"/>
        <v>Advance</v>
      </c>
      <c r="K1186" s="9">
        <v>66267.0</v>
      </c>
    </row>
    <row r="1187" ht="15.75" customHeight="1">
      <c r="A1187" s="5" t="s">
        <v>3094</v>
      </c>
      <c r="B1187" s="5" t="s">
        <v>1895</v>
      </c>
      <c r="C1187" s="5" t="s">
        <v>616</v>
      </c>
      <c r="D1187" s="5" t="s">
        <v>45</v>
      </c>
      <c r="E1187" s="5" t="s">
        <v>49</v>
      </c>
      <c r="F1187" s="5" t="s">
        <v>53</v>
      </c>
      <c r="G1187" s="5" t="s">
        <v>66</v>
      </c>
      <c r="H1187" s="5">
        <v>18.0</v>
      </c>
      <c r="I1187" s="5">
        <v>2.0</v>
      </c>
      <c r="J1187" s="5" t="str">
        <f t="shared" si="1"/>
        <v>Last Minute</v>
      </c>
      <c r="K1187" s="9">
        <v>64407.0</v>
      </c>
    </row>
    <row r="1188" ht="15.75" customHeight="1">
      <c r="A1188" s="5" t="s">
        <v>3095</v>
      </c>
      <c r="B1188" s="5" t="s">
        <v>1952</v>
      </c>
      <c r="C1188" s="5" t="s">
        <v>616</v>
      </c>
      <c r="D1188" s="5" t="s">
        <v>45</v>
      </c>
      <c r="E1188" s="5" t="s">
        <v>49</v>
      </c>
      <c r="F1188" s="5" t="s">
        <v>53</v>
      </c>
      <c r="G1188" s="5" t="s">
        <v>66</v>
      </c>
      <c r="H1188" s="5">
        <v>23.25</v>
      </c>
      <c r="I1188" s="5">
        <v>4.0</v>
      </c>
      <c r="J1188" s="5" t="str">
        <f t="shared" si="1"/>
        <v>Last Minute</v>
      </c>
      <c r="K1188" s="9">
        <v>7336.0</v>
      </c>
    </row>
    <row r="1189" ht="15.75" customHeight="1">
      <c r="A1189" s="5" t="s">
        <v>3096</v>
      </c>
      <c r="B1189" s="5" t="s">
        <v>1869</v>
      </c>
      <c r="C1189" s="5" t="s">
        <v>616</v>
      </c>
      <c r="D1189" s="5" t="s">
        <v>20</v>
      </c>
      <c r="E1189" s="5" t="s">
        <v>52</v>
      </c>
      <c r="F1189" s="5" t="s">
        <v>53</v>
      </c>
      <c r="G1189" s="5" t="s">
        <v>66</v>
      </c>
      <c r="H1189" s="5">
        <v>13.25</v>
      </c>
      <c r="I1189" s="5">
        <v>46.0</v>
      </c>
      <c r="J1189" s="5" t="str">
        <f t="shared" si="1"/>
        <v>Advance</v>
      </c>
      <c r="K1189" s="9">
        <v>56702.0</v>
      </c>
    </row>
    <row r="1190" ht="15.75" customHeight="1">
      <c r="A1190" s="5" t="s">
        <v>3097</v>
      </c>
      <c r="B1190" s="5" t="s">
        <v>2042</v>
      </c>
      <c r="C1190" s="5" t="s">
        <v>640</v>
      </c>
      <c r="D1190" s="5" t="s">
        <v>20</v>
      </c>
      <c r="E1190" s="5" t="s">
        <v>52</v>
      </c>
      <c r="F1190" s="5" t="s">
        <v>53</v>
      </c>
      <c r="G1190" s="5" t="s">
        <v>66</v>
      </c>
      <c r="H1190" s="5">
        <v>37.92</v>
      </c>
      <c r="I1190" s="5">
        <v>2.0</v>
      </c>
      <c r="J1190" s="5" t="str">
        <f t="shared" si="1"/>
        <v>Last Minute</v>
      </c>
      <c r="K1190" s="9">
        <v>64733.0</v>
      </c>
    </row>
    <row r="1191" ht="15.75" customHeight="1">
      <c r="A1191" s="5" t="s">
        <v>3098</v>
      </c>
      <c r="B1191" s="5" t="s">
        <v>2030</v>
      </c>
      <c r="C1191" s="5" t="s">
        <v>640</v>
      </c>
      <c r="D1191" s="5" t="s">
        <v>20</v>
      </c>
      <c r="E1191" s="5" t="s">
        <v>52</v>
      </c>
      <c r="F1191" s="5" t="s">
        <v>53</v>
      </c>
      <c r="G1191" s="5" t="s">
        <v>180</v>
      </c>
      <c r="H1191" s="5">
        <v>27.08</v>
      </c>
      <c r="I1191" s="5">
        <v>2.0</v>
      </c>
      <c r="J1191" s="5" t="str">
        <f t="shared" si="1"/>
        <v>Last Minute</v>
      </c>
      <c r="K1191" s="9">
        <v>75787.0</v>
      </c>
    </row>
    <row r="1192" ht="15.75" customHeight="1">
      <c r="A1192" s="5" t="s">
        <v>3099</v>
      </c>
      <c r="B1192" s="5" t="s">
        <v>1962</v>
      </c>
      <c r="C1192" s="5" t="s">
        <v>640</v>
      </c>
      <c r="D1192" s="5" t="s">
        <v>20</v>
      </c>
      <c r="E1192" s="5" t="s">
        <v>52</v>
      </c>
      <c r="F1192" s="5" t="s">
        <v>53</v>
      </c>
      <c r="G1192" s="5" t="s">
        <v>66</v>
      </c>
      <c r="H1192" s="5">
        <v>10.42</v>
      </c>
      <c r="I1192" s="5">
        <v>2.0</v>
      </c>
      <c r="J1192" s="5" t="str">
        <f t="shared" si="1"/>
        <v>Last Minute</v>
      </c>
      <c r="K1192" s="9">
        <v>7336.0</v>
      </c>
    </row>
    <row r="1193" ht="15.75" customHeight="1">
      <c r="A1193" s="5" t="s">
        <v>3100</v>
      </c>
      <c r="B1193" s="5" t="s">
        <v>2269</v>
      </c>
      <c r="C1193" s="5" t="s">
        <v>699</v>
      </c>
      <c r="D1193" s="5" t="s">
        <v>20</v>
      </c>
      <c r="E1193" s="5" t="s">
        <v>52</v>
      </c>
      <c r="F1193" s="5" t="s">
        <v>53</v>
      </c>
      <c r="G1193" s="5" t="s">
        <v>66</v>
      </c>
      <c r="H1193" s="5">
        <v>27.67</v>
      </c>
      <c r="I1193" s="5">
        <v>4.0</v>
      </c>
      <c r="J1193" s="5" t="str">
        <f t="shared" si="1"/>
        <v>Last Minute</v>
      </c>
      <c r="K1193" s="9">
        <v>57920.0</v>
      </c>
    </row>
    <row r="1194" ht="15.75" customHeight="1">
      <c r="A1194" s="5" t="s">
        <v>3102</v>
      </c>
      <c r="B1194" s="5" t="s">
        <v>2274</v>
      </c>
      <c r="C1194" s="5" t="s">
        <v>699</v>
      </c>
      <c r="D1194" s="5" t="s">
        <v>20</v>
      </c>
      <c r="E1194" s="5" t="s">
        <v>52</v>
      </c>
      <c r="F1194" s="5" t="s">
        <v>53</v>
      </c>
      <c r="G1194" s="5" t="s">
        <v>66</v>
      </c>
      <c r="H1194" s="5">
        <v>22.83</v>
      </c>
      <c r="I1194" s="5">
        <v>4.0</v>
      </c>
      <c r="J1194" s="5" t="str">
        <f t="shared" si="1"/>
        <v>Last Minute</v>
      </c>
      <c r="K1194" s="9">
        <v>59745.0</v>
      </c>
    </row>
    <row r="1195" ht="15.75" customHeight="1">
      <c r="A1195" s="5" t="s">
        <v>3103</v>
      </c>
      <c r="B1195" s="5" t="s">
        <v>2238</v>
      </c>
      <c r="C1195" s="5" t="s">
        <v>699</v>
      </c>
      <c r="D1195" s="5" t="s">
        <v>20</v>
      </c>
      <c r="E1195" s="5" t="s">
        <v>52</v>
      </c>
      <c r="F1195" s="5" t="s">
        <v>53</v>
      </c>
      <c r="G1195" s="5" t="s">
        <v>180</v>
      </c>
      <c r="H1195" s="5">
        <v>14.92</v>
      </c>
      <c r="I1195" s="5">
        <v>26.0</v>
      </c>
      <c r="J1195" s="5" t="str">
        <f t="shared" si="1"/>
        <v>Moderate</v>
      </c>
      <c r="K1195" s="9">
        <v>60160.0</v>
      </c>
    </row>
    <row r="1196" ht="15.75" customHeight="1">
      <c r="A1196" s="5" t="s">
        <v>3105</v>
      </c>
      <c r="B1196" s="5" t="s">
        <v>2207</v>
      </c>
      <c r="C1196" s="5" t="s">
        <v>699</v>
      </c>
      <c r="D1196" s="5" t="s">
        <v>20</v>
      </c>
      <c r="E1196" s="5" t="s">
        <v>52</v>
      </c>
      <c r="F1196" s="5" t="s">
        <v>53</v>
      </c>
      <c r="G1196" s="5" t="s">
        <v>180</v>
      </c>
      <c r="H1196" s="5">
        <v>8.67</v>
      </c>
      <c r="I1196" s="5">
        <v>26.0</v>
      </c>
      <c r="J1196" s="5" t="str">
        <f t="shared" si="1"/>
        <v>Moderate</v>
      </c>
      <c r="K1196" s="9">
        <v>64729.0</v>
      </c>
    </row>
    <row r="1197" ht="15.75" customHeight="1">
      <c r="A1197" s="5" t="s">
        <v>3107</v>
      </c>
      <c r="B1197" s="5" t="s">
        <v>2360</v>
      </c>
      <c r="C1197" s="5" t="s">
        <v>723</v>
      </c>
      <c r="D1197" s="5" t="s">
        <v>20</v>
      </c>
      <c r="E1197" s="5" t="s">
        <v>52</v>
      </c>
      <c r="F1197" s="5" t="s">
        <v>53</v>
      </c>
      <c r="G1197" s="5" t="s">
        <v>66</v>
      </c>
      <c r="H1197" s="5">
        <v>28.25</v>
      </c>
      <c r="I1197" s="5">
        <v>3.0</v>
      </c>
      <c r="J1197" s="5" t="str">
        <f t="shared" si="1"/>
        <v>Last Minute</v>
      </c>
      <c r="K1197" s="9">
        <v>68145.0</v>
      </c>
    </row>
    <row r="1198" ht="15.75" customHeight="1">
      <c r="A1198" s="5" t="s">
        <v>3108</v>
      </c>
      <c r="B1198" s="5" t="s">
        <v>2503</v>
      </c>
      <c r="C1198" s="5" t="s">
        <v>753</v>
      </c>
      <c r="D1198" s="5" t="s">
        <v>45</v>
      </c>
      <c r="E1198" s="5" t="s">
        <v>49</v>
      </c>
      <c r="F1198" s="5" t="s">
        <v>53</v>
      </c>
      <c r="G1198" s="5" t="s">
        <v>66</v>
      </c>
      <c r="H1198" s="5">
        <v>18.0</v>
      </c>
      <c r="I1198" s="5">
        <v>22.0</v>
      </c>
      <c r="J1198" s="5" t="str">
        <f t="shared" si="1"/>
        <v>Moderate</v>
      </c>
      <c r="K1198" s="9">
        <v>62891.0</v>
      </c>
    </row>
    <row r="1199" ht="15.75" customHeight="1">
      <c r="A1199" s="5" t="s">
        <v>3110</v>
      </c>
      <c r="B1199" s="5" t="s">
        <v>2415</v>
      </c>
      <c r="C1199" s="5" t="s">
        <v>753</v>
      </c>
      <c r="D1199" s="5" t="s">
        <v>20</v>
      </c>
      <c r="E1199" s="5" t="s">
        <v>52</v>
      </c>
      <c r="F1199" s="5" t="s">
        <v>53</v>
      </c>
      <c r="G1199" s="5" t="s">
        <v>66</v>
      </c>
      <c r="H1199" s="5">
        <v>25.42</v>
      </c>
      <c r="I1199" s="5">
        <v>46.0</v>
      </c>
      <c r="J1199" s="5" t="str">
        <f t="shared" si="1"/>
        <v>Advance</v>
      </c>
      <c r="K1199" s="9">
        <v>60260.0</v>
      </c>
    </row>
    <row r="1200" ht="15.75" customHeight="1">
      <c r="A1200" s="5" t="s">
        <v>3111</v>
      </c>
      <c r="B1200" s="5" t="s">
        <v>2554</v>
      </c>
      <c r="C1200" s="5" t="s">
        <v>771</v>
      </c>
      <c r="D1200" s="5" t="s">
        <v>20</v>
      </c>
      <c r="E1200" s="5" t="s">
        <v>52</v>
      </c>
      <c r="F1200" s="5" t="s">
        <v>53</v>
      </c>
      <c r="G1200" s="5" t="s">
        <v>66</v>
      </c>
      <c r="H1200" s="5">
        <v>34.0</v>
      </c>
      <c r="I1200" s="5">
        <v>2.0</v>
      </c>
      <c r="J1200" s="5" t="str">
        <f t="shared" si="1"/>
        <v>Last Minute</v>
      </c>
      <c r="K1200" s="9">
        <v>68963.0</v>
      </c>
    </row>
    <row r="1201" ht="15.75" customHeight="1">
      <c r="A1201" s="5" t="s">
        <v>3112</v>
      </c>
      <c r="B1201" s="5" t="s">
        <v>2767</v>
      </c>
      <c r="C1201" s="5" t="s">
        <v>797</v>
      </c>
      <c r="D1201" s="5" t="s">
        <v>20</v>
      </c>
      <c r="E1201" s="5" t="s">
        <v>52</v>
      </c>
      <c r="F1201" s="5" t="s">
        <v>53</v>
      </c>
      <c r="G1201" s="5" t="s">
        <v>66</v>
      </c>
      <c r="H1201" s="5">
        <v>26.5</v>
      </c>
      <c r="I1201" s="5">
        <v>44.0</v>
      </c>
      <c r="J1201" s="5" t="str">
        <f t="shared" si="1"/>
        <v>Advance</v>
      </c>
      <c r="K1201" s="9">
        <v>51457.0</v>
      </c>
    </row>
  </sheetData>
  <customSheetViews>
    <customSheetView guid="{725881A9-0859-4152-AA44-92BD64AB7DF8}" filter="1" showAutoFilter="1">
      <autoFilter ref="$A$1:$K$1201"/>
      <extLst>
        <ext uri="GoogleSheetsCustomDataVersion1">
          <go:sheetsCustomData xmlns:go="http://customooxmlschemas.google.com/" filterViewId="2925965"/>
        </ext>
      </extLst>
    </customSheetView>
  </customSheetViews>
  <conditionalFormatting sqref="K1:K1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1.86"/>
    <col customWidth="1" min="3" max="3" width="13.71"/>
    <col customWidth="1" min="4" max="4" width="11.14"/>
    <col customWidth="1" min="5" max="5" width="13.57"/>
    <col customWidth="1" min="6" max="6" width="17.86"/>
    <col customWidth="1" min="7" max="8" width="17.57"/>
    <col customWidth="1" min="9" max="9" width="13.57"/>
    <col customWidth="1" min="10" max="10" width="10.86"/>
    <col customWidth="1" min="11" max="11" width="22.86"/>
    <col customWidth="1" min="12" max="26" width="8.71"/>
  </cols>
  <sheetData>
    <row r="1">
      <c r="A1" s="1" t="s">
        <v>1</v>
      </c>
      <c r="B1" s="1" t="s">
        <v>2</v>
      </c>
      <c r="C1" s="2" t="s">
        <v>4</v>
      </c>
      <c r="D1" s="1" t="s">
        <v>3</v>
      </c>
      <c r="E1" s="1" t="s">
        <v>7</v>
      </c>
      <c r="F1" s="1" t="s">
        <v>9</v>
      </c>
      <c r="G1" s="1" t="s">
        <v>11</v>
      </c>
      <c r="H1" s="1" t="s">
        <v>13</v>
      </c>
      <c r="I1" s="2" t="s">
        <v>8</v>
      </c>
      <c r="J1" s="3" t="s">
        <v>10</v>
      </c>
      <c r="K1" s="1" t="s">
        <v>16</v>
      </c>
    </row>
    <row r="2">
      <c r="A2" s="5" t="s">
        <v>17</v>
      </c>
      <c r="B2" s="5" t="s">
        <v>20</v>
      </c>
      <c r="C2" s="6" t="s">
        <v>22</v>
      </c>
      <c r="D2" s="5" t="s">
        <v>26</v>
      </c>
      <c r="E2" s="5" t="s">
        <v>27</v>
      </c>
      <c r="F2" s="5" t="s">
        <v>31</v>
      </c>
      <c r="G2" s="5" t="s">
        <v>33</v>
      </c>
      <c r="H2" s="5" t="s">
        <v>35</v>
      </c>
      <c r="I2" s="6">
        <v>1.0</v>
      </c>
      <c r="J2" s="8">
        <v>14.33</v>
      </c>
      <c r="K2" s="5" t="str">
        <f t="shared" ref="K2:K1201" si="1">CONCATENATE(E2," -&gt; ",F2)</f>
        <v>Delhi -&gt; Mumbai</v>
      </c>
    </row>
    <row r="3">
      <c r="A3" s="5" t="s">
        <v>42</v>
      </c>
      <c r="B3" s="5" t="s">
        <v>43</v>
      </c>
      <c r="C3" s="6" t="s">
        <v>44</v>
      </c>
      <c r="D3" s="5" t="s">
        <v>26</v>
      </c>
      <c r="E3" s="5" t="s">
        <v>27</v>
      </c>
      <c r="F3" s="5" t="s">
        <v>31</v>
      </c>
      <c r="G3" s="5" t="s">
        <v>33</v>
      </c>
      <c r="H3" s="5" t="s">
        <v>47</v>
      </c>
      <c r="I3" s="6">
        <v>1.0</v>
      </c>
      <c r="J3" s="8">
        <v>5.08</v>
      </c>
      <c r="K3" s="5" t="str">
        <f t="shared" si="1"/>
        <v>Delhi -&gt; Mumbai</v>
      </c>
    </row>
    <row r="4">
      <c r="A4" s="5" t="s">
        <v>50</v>
      </c>
      <c r="B4" s="5" t="s">
        <v>45</v>
      </c>
      <c r="C4" s="6" t="s">
        <v>51</v>
      </c>
      <c r="D4" s="5" t="s">
        <v>26</v>
      </c>
      <c r="E4" s="5" t="s">
        <v>27</v>
      </c>
      <c r="F4" s="5" t="s">
        <v>31</v>
      </c>
      <c r="G4" s="5" t="s">
        <v>54</v>
      </c>
      <c r="H4" s="5" t="s">
        <v>35</v>
      </c>
      <c r="I4" s="6">
        <v>1.0</v>
      </c>
      <c r="J4" s="8">
        <v>6.67</v>
      </c>
      <c r="K4" s="5" t="str">
        <f t="shared" si="1"/>
        <v>Delhi -&gt; Mumbai</v>
      </c>
    </row>
    <row r="5">
      <c r="A5" s="5" t="s">
        <v>55</v>
      </c>
      <c r="B5" s="5" t="s">
        <v>43</v>
      </c>
      <c r="C5" s="6">
        <v>6.0E-184</v>
      </c>
      <c r="D5" s="5" t="s">
        <v>26</v>
      </c>
      <c r="E5" s="5" t="s">
        <v>27</v>
      </c>
      <c r="F5" s="5" t="s">
        <v>31</v>
      </c>
      <c r="G5" s="5" t="s">
        <v>33</v>
      </c>
      <c r="H5" s="5" t="s">
        <v>47</v>
      </c>
      <c r="I5" s="6">
        <v>1.0</v>
      </c>
      <c r="J5" s="8">
        <v>4.17</v>
      </c>
      <c r="K5" s="5" t="str">
        <f t="shared" si="1"/>
        <v>Delhi -&gt; Mumbai</v>
      </c>
    </row>
    <row r="6">
      <c r="A6" s="5" t="s">
        <v>60</v>
      </c>
      <c r="B6" s="5" t="s">
        <v>43</v>
      </c>
      <c r="C6" s="6" t="s">
        <v>61</v>
      </c>
      <c r="D6" s="5" t="s">
        <v>26</v>
      </c>
      <c r="E6" s="5" t="s">
        <v>27</v>
      </c>
      <c r="F6" s="5" t="s">
        <v>31</v>
      </c>
      <c r="G6" s="5" t="s">
        <v>35</v>
      </c>
      <c r="H6" s="5" t="s">
        <v>35</v>
      </c>
      <c r="I6" s="6">
        <v>0.0</v>
      </c>
      <c r="J6" s="8">
        <v>2.17</v>
      </c>
      <c r="K6" s="5" t="str">
        <f t="shared" si="1"/>
        <v>Delhi -&gt; Mumbai</v>
      </c>
    </row>
    <row r="7">
      <c r="A7" s="5" t="s">
        <v>64</v>
      </c>
      <c r="B7" s="5" t="s">
        <v>20</v>
      </c>
      <c r="C7" s="6" t="s">
        <v>65</v>
      </c>
      <c r="D7" s="5" t="s">
        <v>26</v>
      </c>
      <c r="E7" s="5" t="s">
        <v>27</v>
      </c>
      <c r="F7" s="5" t="s">
        <v>31</v>
      </c>
      <c r="G7" s="5" t="s">
        <v>54</v>
      </c>
      <c r="H7" s="5" t="s">
        <v>33</v>
      </c>
      <c r="I7" s="6">
        <v>1.0</v>
      </c>
      <c r="J7" s="8">
        <v>13.08</v>
      </c>
      <c r="K7" s="5" t="str">
        <f t="shared" si="1"/>
        <v>Delhi -&gt; Mumbai</v>
      </c>
    </row>
    <row r="8">
      <c r="A8" s="5" t="s">
        <v>67</v>
      </c>
      <c r="B8" s="5" t="s">
        <v>58</v>
      </c>
      <c r="C8" s="6" t="s">
        <v>69</v>
      </c>
      <c r="D8" s="5" t="s">
        <v>26</v>
      </c>
      <c r="E8" s="5" t="s">
        <v>27</v>
      </c>
      <c r="F8" s="5" t="s">
        <v>31</v>
      </c>
      <c r="G8" s="5" t="s">
        <v>35</v>
      </c>
      <c r="H8" s="5" t="s">
        <v>35</v>
      </c>
      <c r="I8" s="6">
        <v>1.0</v>
      </c>
      <c r="J8" s="8">
        <v>5.92</v>
      </c>
      <c r="K8" s="5" t="str">
        <f t="shared" si="1"/>
        <v>Delhi -&gt; Mumbai</v>
      </c>
    </row>
    <row r="9">
      <c r="A9" s="5" t="s">
        <v>70</v>
      </c>
      <c r="B9" s="5" t="s">
        <v>58</v>
      </c>
      <c r="C9" s="6" t="s">
        <v>71</v>
      </c>
      <c r="D9" s="5" t="s">
        <v>26</v>
      </c>
      <c r="E9" s="5" t="s">
        <v>27</v>
      </c>
      <c r="F9" s="5" t="s">
        <v>31</v>
      </c>
      <c r="G9" s="5" t="s">
        <v>54</v>
      </c>
      <c r="H9" s="5" t="s">
        <v>33</v>
      </c>
      <c r="I9" s="6">
        <v>1.0</v>
      </c>
      <c r="J9" s="8">
        <v>12.75</v>
      </c>
      <c r="K9" s="5" t="str">
        <f t="shared" si="1"/>
        <v>Delhi -&gt; Mumbai</v>
      </c>
    </row>
    <row r="10">
      <c r="A10" s="5" t="s">
        <v>76</v>
      </c>
      <c r="B10" s="5" t="s">
        <v>45</v>
      </c>
      <c r="C10" s="6" t="s">
        <v>77</v>
      </c>
      <c r="D10" s="5" t="s">
        <v>26</v>
      </c>
      <c r="E10" s="5" t="s">
        <v>27</v>
      </c>
      <c r="F10" s="5" t="s">
        <v>31</v>
      </c>
      <c r="G10" s="5" t="s">
        <v>54</v>
      </c>
      <c r="H10" s="5" t="s">
        <v>35</v>
      </c>
      <c r="I10" s="6">
        <v>1.0</v>
      </c>
      <c r="J10" s="8">
        <v>29.33</v>
      </c>
      <c r="K10" s="5" t="str">
        <f t="shared" si="1"/>
        <v>Delhi -&gt; Mumbai</v>
      </c>
    </row>
    <row r="11">
      <c r="A11" s="5" t="s">
        <v>78</v>
      </c>
      <c r="B11" s="5" t="s">
        <v>58</v>
      </c>
      <c r="C11" s="6" t="s">
        <v>79</v>
      </c>
      <c r="D11" s="5" t="s">
        <v>26</v>
      </c>
      <c r="E11" s="5" t="s">
        <v>27</v>
      </c>
      <c r="F11" s="5" t="s">
        <v>31</v>
      </c>
      <c r="G11" s="5" t="s">
        <v>54</v>
      </c>
      <c r="H11" s="5" t="s">
        <v>35</v>
      </c>
      <c r="I11" s="6">
        <v>1.0</v>
      </c>
      <c r="J11" s="8">
        <v>9.33</v>
      </c>
      <c r="K11" s="5" t="str">
        <f t="shared" si="1"/>
        <v>Delhi -&gt; Mumbai</v>
      </c>
    </row>
    <row r="12">
      <c r="A12" s="5" t="s">
        <v>82</v>
      </c>
      <c r="B12" s="5" t="s">
        <v>45</v>
      </c>
      <c r="C12" s="6" t="s">
        <v>83</v>
      </c>
      <c r="D12" s="5" t="s">
        <v>26</v>
      </c>
      <c r="E12" s="5" t="s">
        <v>27</v>
      </c>
      <c r="F12" s="5" t="s">
        <v>31</v>
      </c>
      <c r="G12" s="5" t="s">
        <v>35</v>
      </c>
      <c r="H12" s="5" t="s">
        <v>35</v>
      </c>
      <c r="I12" s="6">
        <v>1.0</v>
      </c>
      <c r="J12" s="8">
        <v>23.83</v>
      </c>
      <c r="K12" s="5" t="str">
        <f t="shared" si="1"/>
        <v>Delhi -&gt; Mumbai</v>
      </c>
    </row>
    <row r="13">
      <c r="A13" s="5" t="s">
        <v>57</v>
      </c>
      <c r="B13" s="5" t="s">
        <v>58</v>
      </c>
      <c r="C13" s="6" t="s">
        <v>84</v>
      </c>
      <c r="D13" s="5" t="s">
        <v>26</v>
      </c>
      <c r="E13" s="5" t="s">
        <v>27</v>
      </c>
      <c r="F13" s="5" t="s">
        <v>31</v>
      </c>
      <c r="G13" s="5" t="s">
        <v>47</v>
      </c>
      <c r="H13" s="5" t="s">
        <v>54</v>
      </c>
      <c r="I13" s="6">
        <v>0.0</v>
      </c>
      <c r="J13" s="8">
        <v>2.25</v>
      </c>
      <c r="K13" s="5" t="str">
        <f t="shared" si="1"/>
        <v>Delhi -&gt; Mumbai</v>
      </c>
    </row>
    <row r="14">
      <c r="A14" s="5" t="s">
        <v>87</v>
      </c>
      <c r="B14" s="5" t="s">
        <v>20</v>
      </c>
      <c r="C14" s="6" t="s">
        <v>88</v>
      </c>
      <c r="D14" s="5" t="s">
        <v>26</v>
      </c>
      <c r="E14" s="5" t="s">
        <v>27</v>
      </c>
      <c r="F14" s="5" t="s">
        <v>31</v>
      </c>
      <c r="G14" s="5" t="s">
        <v>54</v>
      </c>
      <c r="H14" s="5" t="s">
        <v>35</v>
      </c>
      <c r="I14" s="6">
        <v>1.0</v>
      </c>
      <c r="J14" s="8">
        <v>4.42</v>
      </c>
      <c r="K14" s="5" t="str">
        <f t="shared" si="1"/>
        <v>Delhi -&gt; Mumbai</v>
      </c>
    </row>
    <row r="15">
      <c r="A15" s="5" t="s">
        <v>90</v>
      </c>
      <c r="B15" s="5" t="s">
        <v>20</v>
      </c>
      <c r="C15" s="6" t="s">
        <v>92</v>
      </c>
      <c r="D15" s="5" t="s">
        <v>26</v>
      </c>
      <c r="E15" s="5" t="s">
        <v>27</v>
      </c>
      <c r="F15" s="5" t="s">
        <v>31</v>
      </c>
      <c r="G15" s="5" t="s">
        <v>54</v>
      </c>
      <c r="H15" s="5" t="s">
        <v>33</v>
      </c>
      <c r="I15" s="6">
        <v>1.0</v>
      </c>
      <c r="J15" s="8">
        <v>16.33</v>
      </c>
      <c r="K15" s="5" t="str">
        <f t="shared" si="1"/>
        <v>Delhi -&gt; Mumbai</v>
      </c>
    </row>
    <row r="16">
      <c r="A16" s="5" t="s">
        <v>93</v>
      </c>
      <c r="B16" s="5" t="s">
        <v>45</v>
      </c>
      <c r="C16" s="6" t="s">
        <v>94</v>
      </c>
      <c r="D16" s="5" t="s">
        <v>26</v>
      </c>
      <c r="E16" s="5" t="s">
        <v>27</v>
      </c>
      <c r="F16" s="5" t="s">
        <v>31</v>
      </c>
      <c r="G16" s="5" t="s">
        <v>47</v>
      </c>
      <c r="H16" s="5" t="s">
        <v>35</v>
      </c>
      <c r="I16" s="6">
        <v>1.0</v>
      </c>
      <c r="J16" s="8">
        <v>8.58</v>
      </c>
      <c r="K16" s="5" t="str">
        <f t="shared" si="1"/>
        <v>Delhi -&gt; Mumbai</v>
      </c>
    </row>
    <row r="17">
      <c r="A17" s="5" t="s">
        <v>96</v>
      </c>
      <c r="B17" s="5" t="s">
        <v>20</v>
      </c>
      <c r="C17" s="6" t="s">
        <v>97</v>
      </c>
      <c r="D17" s="5" t="s">
        <v>26</v>
      </c>
      <c r="E17" s="5" t="s">
        <v>27</v>
      </c>
      <c r="F17" s="5" t="s">
        <v>31</v>
      </c>
      <c r="G17" s="5" t="s">
        <v>33</v>
      </c>
      <c r="H17" s="5" t="s">
        <v>35</v>
      </c>
      <c r="I17" s="6">
        <v>1.0</v>
      </c>
      <c r="J17" s="8">
        <v>17.0</v>
      </c>
      <c r="K17" s="5" t="str">
        <f t="shared" si="1"/>
        <v>Delhi -&gt; Mumbai</v>
      </c>
    </row>
    <row r="18">
      <c r="A18" s="5" t="s">
        <v>98</v>
      </c>
      <c r="B18" s="5" t="s">
        <v>58</v>
      </c>
      <c r="C18" s="6" t="s">
        <v>99</v>
      </c>
      <c r="D18" s="5" t="s">
        <v>26</v>
      </c>
      <c r="E18" s="5" t="s">
        <v>27</v>
      </c>
      <c r="F18" s="5" t="s">
        <v>31</v>
      </c>
      <c r="G18" s="5" t="s">
        <v>33</v>
      </c>
      <c r="H18" s="5" t="s">
        <v>47</v>
      </c>
      <c r="I18" s="6">
        <v>1.0</v>
      </c>
      <c r="J18" s="8">
        <v>4.92</v>
      </c>
      <c r="K18" s="5" t="str">
        <f t="shared" si="1"/>
        <v>Delhi -&gt; Mumbai</v>
      </c>
    </row>
    <row r="19">
      <c r="A19" s="5" t="s">
        <v>48</v>
      </c>
      <c r="B19" s="5" t="s">
        <v>20</v>
      </c>
      <c r="C19" s="6" t="s">
        <v>101</v>
      </c>
      <c r="D19" s="5" t="s">
        <v>26</v>
      </c>
      <c r="E19" s="5" t="s">
        <v>27</v>
      </c>
      <c r="F19" s="5" t="s">
        <v>31</v>
      </c>
      <c r="G19" s="5" t="s">
        <v>33</v>
      </c>
      <c r="H19" s="5" t="s">
        <v>33</v>
      </c>
      <c r="I19" s="6">
        <v>0.0</v>
      </c>
      <c r="J19" s="8">
        <v>2.08</v>
      </c>
      <c r="K19" s="5" t="str">
        <f t="shared" si="1"/>
        <v>Delhi -&gt; Mumbai</v>
      </c>
    </row>
    <row r="20">
      <c r="A20" s="5" t="s">
        <v>103</v>
      </c>
      <c r="B20" s="5" t="s">
        <v>43</v>
      </c>
      <c r="C20" s="6" t="s">
        <v>104</v>
      </c>
      <c r="D20" s="5" t="s">
        <v>26</v>
      </c>
      <c r="E20" s="5" t="s">
        <v>27</v>
      </c>
      <c r="F20" s="5" t="s">
        <v>31</v>
      </c>
      <c r="G20" s="5" t="s">
        <v>54</v>
      </c>
      <c r="H20" s="5" t="s">
        <v>35</v>
      </c>
      <c r="I20" s="6">
        <v>1.0</v>
      </c>
      <c r="J20" s="8">
        <v>4.92</v>
      </c>
      <c r="K20" s="5" t="str">
        <f t="shared" si="1"/>
        <v>Delhi -&gt; Mumbai</v>
      </c>
    </row>
    <row r="21" ht="15.75" customHeight="1">
      <c r="A21" s="5" t="s">
        <v>105</v>
      </c>
      <c r="B21" s="5" t="s">
        <v>58</v>
      </c>
      <c r="C21" s="6" t="s">
        <v>107</v>
      </c>
      <c r="D21" s="5" t="s">
        <v>26</v>
      </c>
      <c r="E21" s="5" t="s">
        <v>27</v>
      </c>
      <c r="F21" s="5" t="s">
        <v>31</v>
      </c>
      <c r="G21" s="5" t="s">
        <v>54</v>
      </c>
      <c r="H21" s="5" t="s">
        <v>35</v>
      </c>
      <c r="I21" s="6">
        <v>0.0</v>
      </c>
      <c r="J21" s="8">
        <v>2.25</v>
      </c>
      <c r="K21" s="5" t="str">
        <f t="shared" si="1"/>
        <v>Delhi -&gt; Mumbai</v>
      </c>
    </row>
    <row r="22" ht="15.75" customHeight="1">
      <c r="A22" s="5" t="s">
        <v>110</v>
      </c>
      <c r="B22" s="5" t="s">
        <v>43</v>
      </c>
      <c r="C22" s="6" t="s">
        <v>111</v>
      </c>
      <c r="D22" s="5" t="s">
        <v>26</v>
      </c>
      <c r="E22" s="5" t="s">
        <v>27</v>
      </c>
      <c r="F22" s="5" t="s">
        <v>31</v>
      </c>
      <c r="G22" s="5" t="s">
        <v>35</v>
      </c>
      <c r="H22" s="5" t="s">
        <v>33</v>
      </c>
      <c r="I22" s="6">
        <v>1.0</v>
      </c>
      <c r="J22" s="8">
        <v>7.5</v>
      </c>
      <c r="K22" s="5" t="str">
        <f t="shared" si="1"/>
        <v>Delhi -&gt; Mumbai</v>
      </c>
    </row>
    <row r="23" ht="15.75" customHeight="1">
      <c r="A23" s="5" t="s">
        <v>113</v>
      </c>
      <c r="B23" s="5" t="s">
        <v>58</v>
      </c>
      <c r="C23" s="6" t="s">
        <v>114</v>
      </c>
      <c r="D23" s="5" t="s">
        <v>26</v>
      </c>
      <c r="E23" s="5" t="s">
        <v>27</v>
      </c>
      <c r="F23" s="5" t="s">
        <v>31</v>
      </c>
      <c r="G23" s="5" t="s">
        <v>33</v>
      </c>
      <c r="H23" s="5" t="s">
        <v>47</v>
      </c>
      <c r="I23" s="6">
        <v>1.0</v>
      </c>
      <c r="J23" s="8">
        <v>7.75</v>
      </c>
      <c r="K23" s="5" t="str">
        <f t="shared" si="1"/>
        <v>Delhi -&gt; Mumbai</v>
      </c>
    </row>
    <row r="24" ht="15.75" customHeight="1">
      <c r="A24" s="5" t="s">
        <v>115</v>
      </c>
      <c r="B24" s="5" t="s">
        <v>45</v>
      </c>
      <c r="C24" s="6" t="s">
        <v>116</v>
      </c>
      <c r="D24" s="5" t="s">
        <v>26</v>
      </c>
      <c r="E24" s="5" t="s">
        <v>27</v>
      </c>
      <c r="F24" s="5" t="s">
        <v>31</v>
      </c>
      <c r="G24" s="5" t="s">
        <v>47</v>
      </c>
      <c r="H24" s="5" t="s">
        <v>54</v>
      </c>
      <c r="I24" s="6">
        <v>1.0</v>
      </c>
      <c r="J24" s="8">
        <v>3.5</v>
      </c>
      <c r="K24" s="5" t="str">
        <f t="shared" si="1"/>
        <v>Delhi -&gt; Mumbai</v>
      </c>
    </row>
    <row r="25" ht="15.75" customHeight="1">
      <c r="A25" s="5" t="s">
        <v>119</v>
      </c>
      <c r="B25" s="5" t="s">
        <v>20</v>
      </c>
      <c r="C25" s="6" t="s">
        <v>120</v>
      </c>
      <c r="D25" s="5" t="s">
        <v>26</v>
      </c>
      <c r="E25" s="5" t="s">
        <v>27</v>
      </c>
      <c r="F25" s="5" t="s">
        <v>31</v>
      </c>
      <c r="G25" s="5" t="s">
        <v>33</v>
      </c>
      <c r="H25" s="5" t="s">
        <v>35</v>
      </c>
      <c r="I25" s="6">
        <v>1.0</v>
      </c>
      <c r="J25" s="8">
        <v>16.0</v>
      </c>
      <c r="K25" s="5" t="str">
        <f t="shared" si="1"/>
        <v>Delhi -&gt; Mumbai</v>
      </c>
    </row>
    <row r="26" ht="15.75" customHeight="1">
      <c r="A26" s="5" t="s">
        <v>81</v>
      </c>
      <c r="B26" s="5" t="s">
        <v>20</v>
      </c>
      <c r="C26" s="6" t="s">
        <v>97</v>
      </c>
      <c r="D26" s="5" t="s">
        <v>26</v>
      </c>
      <c r="E26" s="5" t="s">
        <v>27</v>
      </c>
      <c r="F26" s="5" t="s">
        <v>31</v>
      </c>
      <c r="G26" s="5" t="s">
        <v>33</v>
      </c>
      <c r="H26" s="5" t="s">
        <v>35</v>
      </c>
      <c r="I26" s="6">
        <v>1.0</v>
      </c>
      <c r="J26" s="8">
        <v>13.83</v>
      </c>
      <c r="K26" s="5" t="str">
        <f t="shared" si="1"/>
        <v>Delhi -&gt; Mumbai</v>
      </c>
    </row>
    <row r="27" ht="15.75" customHeight="1">
      <c r="A27" s="5" t="s">
        <v>75</v>
      </c>
      <c r="B27" s="5" t="s">
        <v>20</v>
      </c>
      <c r="C27" s="6" t="s">
        <v>122</v>
      </c>
      <c r="D27" s="5" t="s">
        <v>26</v>
      </c>
      <c r="E27" s="5" t="s">
        <v>27</v>
      </c>
      <c r="F27" s="5" t="s">
        <v>31</v>
      </c>
      <c r="G27" s="5" t="s">
        <v>35</v>
      </c>
      <c r="H27" s="5" t="s">
        <v>35</v>
      </c>
      <c r="I27" s="6">
        <v>1.0</v>
      </c>
      <c r="J27" s="8">
        <v>26.42</v>
      </c>
      <c r="K27" s="5" t="str">
        <f t="shared" si="1"/>
        <v>Delhi -&gt; Mumbai</v>
      </c>
    </row>
    <row r="28" ht="15.75" customHeight="1">
      <c r="A28" s="5" t="s">
        <v>123</v>
      </c>
      <c r="B28" s="5" t="s">
        <v>45</v>
      </c>
      <c r="C28" s="6" t="s">
        <v>124</v>
      </c>
      <c r="D28" s="5" t="s">
        <v>26</v>
      </c>
      <c r="E28" s="5" t="s">
        <v>27</v>
      </c>
      <c r="F28" s="5" t="s">
        <v>31</v>
      </c>
      <c r="G28" s="5" t="s">
        <v>33</v>
      </c>
      <c r="H28" s="5" t="s">
        <v>54</v>
      </c>
      <c r="I28" s="6">
        <v>1.0</v>
      </c>
      <c r="J28" s="8">
        <v>11.0</v>
      </c>
      <c r="K28" s="5" t="str">
        <f t="shared" si="1"/>
        <v>Delhi -&gt; Mumbai</v>
      </c>
    </row>
    <row r="29" ht="15.75" customHeight="1">
      <c r="A29" s="5" t="s">
        <v>118</v>
      </c>
      <c r="B29" s="5" t="s">
        <v>45</v>
      </c>
      <c r="C29" s="6" t="s">
        <v>134</v>
      </c>
      <c r="D29" s="5" t="s">
        <v>26</v>
      </c>
      <c r="E29" s="5" t="s">
        <v>27</v>
      </c>
      <c r="F29" s="5" t="s">
        <v>31</v>
      </c>
      <c r="G29" s="5" t="s">
        <v>54</v>
      </c>
      <c r="H29" s="5" t="s">
        <v>35</v>
      </c>
      <c r="I29" s="6">
        <v>1.0</v>
      </c>
      <c r="J29" s="8">
        <v>27.17</v>
      </c>
      <c r="K29" s="5" t="str">
        <f t="shared" si="1"/>
        <v>Delhi -&gt; Mumbai</v>
      </c>
    </row>
    <row r="30" ht="15.75" customHeight="1">
      <c r="A30" s="5" t="s">
        <v>135</v>
      </c>
      <c r="B30" s="5" t="s">
        <v>43</v>
      </c>
      <c r="C30" s="6" t="s">
        <v>136</v>
      </c>
      <c r="D30" s="5" t="s">
        <v>26</v>
      </c>
      <c r="E30" s="5" t="s">
        <v>27</v>
      </c>
      <c r="F30" s="5" t="s">
        <v>31</v>
      </c>
      <c r="G30" s="5" t="s">
        <v>33</v>
      </c>
      <c r="H30" s="5" t="s">
        <v>33</v>
      </c>
      <c r="I30" s="6">
        <v>0.0</v>
      </c>
      <c r="J30" s="8">
        <v>2.17</v>
      </c>
      <c r="K30" s="5" t="str">
        <f t="shared" si="1"/>
        <v>Delhi -&gt; Mumbai</v>
      </c>
    </row>
    <row r="31" ht="15.75" customHeight="1">
      <c r="A31" s="5" t="s">
        <v>128</v>
      </c>
      <c r="B31" s="5" t="s">
        <v>20</v>
      </c>
      <c r="C31" s="6" t="s">
        <v>137</v>
      </c>
      <c r="D31" s="5" t="s">
        <v>26</v>
      </c>
      <c r="E31" s="5" t="s">
        <v>27</v>
      </c>
      <c r="F31" s="5" t="s">
        <v>31</v>
      </c>
      <c r="G31" s="5" t="s">
        <v>47</v>
      </c>
      <c r="H31" s="5" t="s">
        <v>35</v>
      </c>
      <c r="I31" s="6">
        <v>1.0</v>
      </c>
      <c r="J31" s="8">
        <v>8.25</v>
      </c>
      <c r="K31" s="5" t="str">
        <f t="shared" si="1"/>
        <v>Delhi -&gt; Mumbai</v>
      </c>
    </row>
    <row r="32" ht="15.75" customHeight="1">
      <c r="A32" s="5" t="s">
        <v>139</v>
      </c>
      <c r="B32" s="5" t="s">
        <v>43</v>
      </c>
      <c r="C32" s="6" t="s">
        <v>140</v>
      </c>
      <c r="D32" s="5" t="s">
        <v>26</v>
      </c>
      <c r="E32" s="5" t="s">
        <v>27</v>
      </c>
      <c r="F32" s="5" t="s">
        <v>31</v>
      </c>
      <c r="G32" s="5" t="s">
        <v>47</v>
      </c>
      <c r="H32" s="5" t="s">
        <v>54</v>
      </c>
      <c r="I32" s="6">
        <v>0.0</v>
      </c>
      <c r="J32" s="8">
        <v>2.08</v>
      </c>
      <c r="K32" s="5" t="str">
        <f t="shared" si="1"/>
        <v>Delhi -&gt; Mumbai</v>
      </c>
    </row>
    <row r="33" ht="15.75" customHeight="1">
      <c r="A33" s="5" t="s">
        <v>63</v>
      </c>
      <c r="B33" s="5" t="s">
        <v>58</v>
      </c>
      <c r="C33" s="6" t="s">
        <v>141</v>
      </c>
      <c r="D33" s="5" t="s">
        <v>26</v>
      </c>
      <c r="E33" s="5" t="s">
        <v>27</v>
      </c>
      <c r="F33" s="5" t="s">
        <v>31</v>
      </c>
      <c r="G33" s="5" t="s">
        <v>33</v>
      </c>
      <c r="H33" s="5" t="s">
        <v>47</v>
      </c>
      <c r="I33" s="6">
        <v>1.0</v>
      </c>
      <c r="J33" s="8">
        <v>8.0</v>
      </c>
      <c r="K33" s="5" t="str">
        <f t="shared" si="1"/>
        <v>Delhi -&gt; Mumbai</v>
      </c>
    </row>
    <row r="34" ht="15.75" customHeight="1">
      <c r="A34" s="5" t="s">
        <v>143</v>
      </c>
      <c r="B34" s="5" t="s">
        <v>45</v>
      </c>
      <c r="C34" s="6" t="s">
        <v>144</v>
      </c>
      <c r="D34" s="5" t="s">
        <v>26</v>
      </c>
      <c r="E34" s="5" t="s">
        <v>27</v>
      </c>
      <c r="F34" s="5" t="s">
        <v>31</v>
      </c>
      <c r="G34" s="5" t="s">
        <v>54</v>
      </c>
      <c r="H34" s="5" t="s">
        <v>47</v>
      </c>
      <c r="I34" s="6">
        <v>1.0</v>
      </c>
      <c r="J34" s="8">
        <v>20.58</v>
      </c>
      <c r="K34" s="5" t="str">
        <f t="shared" si="1"/>
        <v>Delhi -&gt; Mumbai</v>
      </c>
    </row>
    <row r="35" ht="15.75" customHeight="1">
      <c r="A35" s="5" t="s">
        <v>146</v>
      </c>
      <c r="B35" s="5" t="s">
        <v>43</v>
      </c>
      <c r="C35" s="6" t="s">
        <v>147</v>
      </c>
      <c r="D35" s="5" t="s">
        <v>26</v>
      </c>
      <c r="E35" s="5" t="s">
        <v>27</v>
      </c>
      <c r="F35" s="5" t="s">
        <v>31</v>
      </c>
      <c r="G35" s="5" t="s">
        <v>35</v>
      </c>
      <c r="H35" s="5" t="s">
        <v>33</v>
      </c>
      <c r="I35" s="6">
        <v>1.0</v>
      </c>
      <c r="J35" s="8">
        <v>10.0</v>
      </c>
      <c r="K35" s="5" t="str">
        <f t="shared" si="1"/>
        <v>Delhi -&gt; Mumbai</v>
      </c>
    </row>
    <row r="36" ht="15.75" customHeight="1">
      <c r="A36" s="5" t="s">
        <v>86</v>
      </c>
      <c r="B36" s="5" t="s">
        <v>20</v>
      </c>
      <c r="C36" s="6" t="s">
        <v>148</v>
      </c>
      <c r="D36" s="5" t="s">
        <v>26</v>
      </c>
      <c r="E36" s="5" t="s">
        <v>27</v>
      </c>
      <c r="F36" s="5" t="s">
        <v>31</v>
      </c>
      <c r="G36" s="5" t="s">
        <v>54</v>
      </c>
      <c r="H36" s="5" t="s">
        <v>35</v>
      </c>
      <c r="I36" s="6">
        <v>1.0</v>
      </c>
      <c r="J36" s="8">
        <v>24.42</v>
      </c>
      <c r="K36" s="5" t="str">
        <f t="shared" si="1"/>
        <v>Delhi -&gt; Mumbai</v>
      </c>
    </row>
    <row r="37" ht="15.75" customHeight="1">
      <c r="A37" s="5" t="s">
        <v>130</v>
      </c>
      <c r="B37" s="5" t="s">
        <v>45</v>
      </c>
      <c r="C37" s="6" t="s">
        <v>150</v>
      </c>
      <c r="D37" s="5" t="s">
        <v>26</v>
      </c>
      <c r="E37" s="5" t="s">
        <v>27</v>
      </c>
      <c r="F37" s="5" t="s">
        <v>31</v>
      </c>
      <c r="G37" s="5" t="s">
        <v>33</v>
      </c>
      <c r="H37" s="5" t="s">
        <v>33</v>
      </c>
      <c r="I37" s="6">
        <v>1.0</v>
      </c>
      <c r="J37" s="8">
        <v>21.42</v>
      </c>
      <c r="K37" s="5" t="str">
        <f t="shared" si="1"/>
        <v>Delhi -&gt; Mumbai</v>
      </c>
    </row>
    <row r="38" ht="15.75" customHeight="1">
      <c r="A38" s="5" t="s">
        <v>153</v>
      </c>
      <c r="B38" s="5" t="s">
        <v>43</v>
      </c>
      <c r="C38" s="6" t="s">
        <v>136</v>
      </c>
      <c r="D38" s="5" t="s">
        <v>26</v>
      </c>
      <c r="E38" s="5" t="s">
        <v>27</v>
      </c>
      <c r="F38" s="5" t="s">
        <v>31</v>
      </c>
      <c r="G38" s="5" t="s">
        <v>33</v>
      </c>
      <c r="H38" s="5" t="s">
        <v>33</v>
      </c>
      <c r="I38" s="6">
        <v>0.0</v>
      </c>
      <c r="J38" s="8">
        <v>2.17</v>
      </c>
      <c r="K38" s="5" t="str">
        <f t="shared" si="1"/>
        <v>Delhi -&gt; Mumbai</v>
      </c>
    </row>
    <row r="39" ht="15.75" customHeight="1">
      <c r="A39" s="5" t="s">
        <v>156</v>
      </c>
      <c r="B39" s="5" t="s">
        <v>20</v>
      </c>
      <c r="C39" s="6" t="s">
        <v>157</v>
      </c>
      <c r="D39" s="5" t="s">
        <v>26</v>
      </c>
      <c r="E39" s="5" t="s">
        <v>27</v>
      </c>
      <c r="F39" s="5" t="s">
        <v>31</v>
      </c>
      <c r="G39" s="5" t="s">
        <v>47</v>
      </c>
      <c r="H39" s="5" t="s">
        <v>35</v>
      </c>
      <c r="I39" s="6">
        <v>1.0</v>
      </c>
      <c r="J39" s="8">
        <v>6.5</v>
      </c>
      <c r="K39" s="5" t="str">
        <f t="shared" si="1"/>
        <v>Delhi -&gt; Mumbai</v>
      </c>
    </row>
    <row r="40" ht="15.75" customHeight="1">
      <c r="A40" s="5" t="s">
        <v>23</v>
      </c>
      <c r="B40" s="5" t="s">
        <v>29</v>
      </c>
      <c r="C40" s="6" t="s">
        <v>159</v>
      </c>
      <c r="D40" s="5" t="s">
        <v>26</v>
      </c>
      <c r="E40" s="5" t="s">
        <v>27</v>
      </c>
      <c r="F40" s="5" t="s">
        <v>31</v>
      </c>
      <c r="G40" s="5" t="s">
        <v>33</v>
      </c>
      <c r="H40" s="5" t="s">
        <v>33</v>
      </c>
      <c r="I40" s="6">
        <v>0.0</v>
      </c>
      <c r="J40" s="8">
        <v>2.17</v>
      </c>
      <c r="K40" s="5" t="str">
        <f t="shared" si="1"/>
        <v>Delhi -&gt; Mumbai</v>
      </c>
    </row>
    <row r="41" ht="15.75" customHeight="1">
      <c r="A41" s="5" t="s">
        <v>91</v>
      </c>
      <c r="B41" s="5" t="s">
        <v>20</v>
      </c>
      <c r="C41" s="6" t="s">
        <v>148</v>
      </c>
      <c r="D41" s="5" t="s">
        <v>26</v>
      </c>
      <c r="E41" s="5" t="s">
        <v>27</v>
      </c>
      <c r="F41" s="5" t="s">
        <v>31</v>
      </c>
      <c r="G41" s="5" t="s">
        <v>54</v>
      </c>
      <c r="H41" s="5" t="s">
        <v>35</v>
      </c>
      <c r="I41" s="6">
        <v>1.0</v>
      </c>
      <c r="J41" s="8">
        <v>26.0</v>
      </c>
      <c r="K41" s="5" t="str">
        <f t="shared" si="1"/>
        <v>Delhi -&gt; Mumbai</v>
      </c>
    </row>
    <row r="42" ht="15.75" customHeight="1">
      <c r="A42" s="5" t="s">
        <v>161</v>
      </c>
      <c r="B42" s="5" t="s">
        <v>29</v>
      </c>
      <c r="C42" s="6" t="s">
        <v>162</v>
      </c>
      <c r="D42" s="5" t="s">
        <v>163</v>
      </c>
      <c r="E42" s="5" t="s">
        <v>31</v>
      </c>
      <c r="F42" s="5" t="s">
        <v>164</v>
      </c>
      <c r="G42" s="5" t="s">
        <v>35</v>
      </c>
      <c r="H42" s="5" t="s">
        <v>33</v>
      </c>
      <c r="I42" s="6">
        <v>1.0</v>
      </c>
      <c r="J42" s="8">
        <v>12.33</v>
      </c>
      <c r="K42" s="5" t="str">
        <f t="shared" si="1"/>
        <v>Mumbai -&gt; Chennai</v>
      </c>
    </row>
    <row r="43" ht="15.75" customHeight="1">
      <c r="A43" s="5" t="s">
        <v>166</v>
      </c>
      <c r="B43" s="5" t="s">
        <v>20</v>
      </c>
      <c r="C43" s="6" t="s">
        <v>167</v>
      </c>
      <c r="D43" s="5" t="s">
        <v>163</v>
      </c>
      <c r="E43" s="5" t="s">
        <v>31</v>
      </c>
      <c r="F43" s="5" t="s">
        <v>164</v>
      </c>
      <c r="G43" s="5" t="s">
        <v>47</v>
      </c>
      <c r="H43" s="5" t="s">
        <v>35</v>
      </c>
      <c r="I43" s="6">
        <v>1.0</v>
      </c>
      <c r="J43" s="8">
        <v>8.08</v>
      </c>
      <c r="K43" s="5" t="str">
        <f t="shared" si="1"/>
        <v>Mumbai -&gt; Chennai</v>
      </c>
    </row>
    <row r="44" ht="15.75" customHeight="1">
      <c r="A44" s="5" t="s">
        <v>169</v>
      </c>
      <c r="B44" s="5" t="s">
        <v>45</v>
      </c>
      <c r="C44" s="6" t="s">
        <v>170</v>
      </c>
      <c r="D44" s="5" t="s">
        <v>163</v>
      </c>
      <c r="E44" s="5" t="s">
        <v>31</v>
      </c>
      <c r="F44" s="5" t="s">
        <v>164</v>
      </c>
      <c r="G44" s="5" t="s">
        <v>47</v>
      </c>
      <c r="H44" s="5" t="s">
        <v>33</v>
      </c>
      <c r="I44" s="6">
        <v>1.0</v>
      </c>
      <c r="J44" s="8">
        <v>17.33</v>
      </c>
      <c r="K44" s="5" t="str">
        <f t="shared" si="1"/>
        <v>Mumbai -&gt; Chennai</v>
      </c>
    </row>
    <row r="45" ht="15.75" customHeight="1">
      <c r="A45" s="5" t="s">
        <v>172</v>
      </c>
      <c r="B45" s="5" t="s">
        <v>43</v>
      </c>
      <c r="C45" s="6" t="s">
        <v>173</v>
      </c>
      <c r="D45" s="5" t="s">
        <v>163</v>
      </c>
      <c r="E45" s="5" t="s">
        <v>31</v>
      </c>
      <c r="F45" s="5" t="s">
        <v>164</v>
      </c>
      <c r="G45" s="5" t="s">
        <v>47</v>
      </c>
      <c r="H45" s="5" t="s">
        <v>54</v>
      </c>
      <c r="I45" s="6">
        <v>1.0</v>
      </c>
      <c r="J45" s="8">
        <v>6.17</v>
      </c>
      <c r="K45" s="5" t="str">
        <f t="shared" si="1"/>
        <v>Mumbai -&gt; Chennai</v>
      </c>
    </row>
    <row r="46" ht="15.75" customHeight="1">
      <c r="A46" s="5" t="s">
        <v>175</v>
      </c>
      <c r="B46" s="5" t="s">
        <v>43</v>
      </c>
      <c r="C46" s="6" t="s">
        <v>177</v>
      </c>
      <c r="D46" s="5" t="s">
        <v>163</v>
      </c>
      <c r="E46" s="5" t="s">
        <v>31</v>
      </c>
      <c r="F46" s="5" t="s">
        <v>164</v>
      </c>
      <c r="G46" s="5" t="s">
        <v>54</v>
      </c>
      <c r="H46" s="5" t="s">
        <v>35</v>
      </c>
      <c r="I46" s="6">
        <v>1.0</v>
      </c>
      <c r="J46" s="8">
        <v>4.75</v>
      </c>
      <c r="K46" s="5" t="str">
        <f t="shared" si="1"/>
        <v>Mumbai -&gt; Chennai</v>
      </c>
    </row>
    <row r="47" ht="15.75" customHeight="1">
      <c r="A47" s="5" t="s">
        <v>178</v>
      </c>
      <c r="B47" s="5" t="s">
        <v>20</v>
      </c>
      <c r="C47" s="6" t="s">
        <v>179</v>
      </c>
      <c r="D47" s="5" t="s">
        <v>163</v>
      </c>
      <c r="E47" s="5" t="s">
        <v>31</v>
      </c>
      <c r="F47" s="5" t="s">
        <v>164</v>
      </c>
      <c r="G47" s="5" t="s">
        <v>54</v>
      </c>
      <c r="H47" s="5" t="s">
        <v>33</v>
      </c>
      <c r="I47" s="6" t="s">
        <v>180</v>
      </c>
      <c r="J47" s="8">
        <v>16.42</v>
      </c>
      <c r="K47" s="5" t="str">
        <f t="shared" si="1"/>
        <v>Mumbai -&gt; Chennai</v>
      </c>
    </row>
    <row r="48" ht="15.75" customHeight="1">
      <c r="A48" s="5" t="s">
        <v>181</v>
      </c>
      <c r="B48" s="5" t="s">
        <v>20</v>
      </c>
      <c r="C48" s="6" t="s">
        <v>182</v>
      </c>
      <c r="D48" s="5" t="s">
        <v>163</v>
      </c>
      <c r="E48" s="5" t="s">
        <v>31</v>
      </c>
      <c r="F48" s="5" t="s">
        <v>164</v>
      </c>
      <c r="G48" s="5" t="s">
        <v>33</v>
      </c>
      <c r="H48" s="5" t="s">
        <v>35</v>
      </c>
      <c r="I48" s="6">
        <v>1.0</v>
      </c>
      <c r="J48" s="8">
        <v>8.33</v>
      </c>
      <c r="K48" s="5" t="str">
        <f t="shared" si="1"/>
        <v>Mumbai -&gt; Chennai</v>
      </c>
    </row>
    <row r="49" ht="15.75" customHeight="1">
      <c r="A49" s="5" t="s">
        <v>184</v>
      </c>
      <c r="B49" s="5" t="s">
        <v>45</v>
      </c>
      <c r="C49" s="6" t="s">
        <v>185</v>
      </c>
      <c r="D49" s="5" t="s">
        <v>163</v>
      </c>
      <c r="E49" s="5" t="s">
        <v>31</v>
      </c>
      <c r="F49" s="5" t="s">
        <v>164</v>
      </c>
      <c r="G49" s="5" t="s">
        <v>33</v>
      </c>
      <c r="H49" s="5" t="s">
        <v>35</v>
      </c>
      <c r="I49" s="6">
        <v>1.0</v>
      </c>
      <c r="J49" s="8">
        <v>13.33</v>
      </c>
      <c r="K49" s="5" t="str">
        <f t="shared" si="1"/>
        <v>Mumbai -&gt; Chennai</v>
      </c>
    </row>
    <row r="50" ht="15.75" customHeight="1">
      <c r="A50" s="5" t="s">
        <v>187</v>
      </c>
      <c r="B50" s="5" t="s">
        <v>45</v>
      </c>
      <c r="C50" s="6" t="s">
        <v>188</v>
      </c>
      <c r="D50" s="5" t="s">
        <v>163</v>
      </c>
      <c r="E50" s="5" t="s">
        <v>31</v>
      </c>
      <c r="F50" s="5" t="s">
        <v>164</v>
      </c>
      <c r="G50" s="5" t="s">
        <v>35</v>
      </c>
      <c r="H50" s="5" t="s">
        <v>35</v>
      </c>
      <c r="I50" s="6">
        <v>1.0</v>
      </c>
      <c r="J50" s="8">
        <v>25.08</v>
      </c>
      <c r="K50" s="5" t="str">
        <f t="shared" si="1"/>
        <v>Mumbai -&gt; Chennai</v>
      </c>
    </row>
    <row r="51" ht="15.75" customHeight="1">
      <c r="A51" s="5" t="s">
        <v>189</v>
      </c>
      <c r="B51" s="5" t="s">
        <v>45</v>
      </c>
      <c r="C51" s="6" t="s">
        <v>191</v>
      </c>
      <c r="D51" s="5" t="s">
        <v>163</v>
      </c>
      <c r="E51" s="5" t="s">
        <v>31</v>
      </c>
      <c r="F51" s="5" t="s">
        <v>164</v>
      </c>
      <c r="G51" s="5" t="s">
        <v>33</v>
      </c>
      <c r="H51" s="5" t="s">
        <v>35</v>
      </c>
      <c r="I51" s="6">
        <v>1.0</v>
      </c>
      <c r="J51" s="8">
        <v>13.58</v>
      </c>
      <c r="K51" s="5" t="str">
        <f t="shared" si="1"/>
        <v>Mumbai -&gt; Chennai</v>
      </c>
    </row>
    <row r="52" ht="15.75" customHeight="1">
      <c r="A52" s="5" t="s">
        <v>192</v>
      </c>
      <c r="B52" s="5" t="s">
        <v>29</v>
      </c>
      <c r="C52" s="6" t="s">
        <v>193</v>
      </c>
      <c r="D52" s="5" t="s">
        <v>163</v>
      </c>
      <c r="E52" s="5" t="s">
        <v>31</v>
      </c>
      <c r="F52" s="5" t="s">
        <v>164</v>
      </c>
      <c r="G52" s="5" t="s">
        <v>47</v>
      </c>
      <c r="H52" s="5" t="s">
        <v>54</v>
      </c>
      <c r="I52" s="6">
        <v>1.0</v>
      </c>
      <c r="J52" s="8">
        <v>4.33</v>
      </c>
      <c r="K52" s="5" t="str">
        <f t="shared" si="1"/>
        <v>Mumbai -&gt; Chennai</v>
      </c>
    </row>
    <row r="53" ht="15.75" customHeight="1">
      <c r="A53" s="5" t="s">
        <v>196</v>
      </c>
      <c r="B53" s="5" t="s">
        <v>72</v>
      </c>
      <c r="C53" s="6" t="s">
        <v>197</v>
      </c>
      <c r="D53" s="5" t="s">
        <v>163</v>
      </c>
      <c r="E53" s="5" t="s">
        <v>31</v>
      </c>
      <c r="F53" s="5" t="s">
        <v>164</v>
      </c>
      <c r="G53" s="5" t="s">
        <v>35</v>
      </c>
      <c r="H53" s="5" t="s">
        <v>35</v>
      </c>
      <c r="I53" s="6">
        <v>0.0</v>
      </c>
      <c r="J53" s="8">
        <v>1.83</v>
      </c>
      <c r="K53" s="5" t="str">
        <f t="shared" si="1"/>
        <v>Mumbai -&gt; Chennai</v>
      </c>
    </row>
    <row r="54" ht="15.75" customHeight="1">
      <c r="A54" s="5" t="s">
        <v>199</v>
      </c>
      <c r="B54" s="5" t="s">
        <v>20</v>
      </c>
      <c r="C54" s="6" t="s">
        <v>200</v>
      </c>
      <c r="D54" s="5" t="s">
        <v>163</v>
      </c>
      <c r="E54" s="5" t="s">
        <v>31</v>
      </c>
      <c r="F54" s="5" t="s">
        <v>164</v>
      </c>
      <c r="G54" s="5" t="s">
        <v>33</v>
      </c>
      <c r="H54" s="5" t="s">
        <v>54</v>
      </c>
      <c r="I54" s="6" t="s">
        <v>180</v>
      </c>
      <c r="J54" s="8">
        <v>28.83</v>
      </c>
      <c r="K54" s="5" t="str">
        <f t="shared" si="1"/>
        <v>Mumbai -&gt; Chennai</v>
      </c>
    </row>
    <row r="55" ht="15.75" customHeight="1">
      <c r="A55" s="5" t="s">
        <v>201</v>
      </c>
      <c r="B55" s="5" t="s">
        <v>20</v>
      </c>
      <c r="C55" s="6" t="s">
        <v>202</v>
      </c>
      <c r="D55" s="5" t="s">
        <v>163</v>
      </c>
      <c r="E55" s="5" t="s">
        <v>31</v>
      </c>
      <c r="F55" s="5" t="s">
        <v>164</v>
      </c>
      <c r="G55" s="5" t="s">
        <v>54</v>
      </c>
      <c r="H55" s="5" t="s">
        <v>33</v>
      </c>
      <c r="I55" s="6">
        <v>1.0</v>
      </c>
      <c r="J55" s="8">
        <v>15.42</v>
      </c>
      <c r="K55" s="5" t="str">
        <f t="shared" si="1"/>
        <v>Mumbai -&gt; Chennai</v>
      </c>
    </row>
    <row r="56" ht="15.75" customHeight="1">
      <c r="A56" s="5" t="s">
        <v>203</v>
      </c>
      <c r="B56" s="5" t="s">
        <v>45</v>
      </c>
      <c r="C56" s="6" t="s">
        <v>204</v>
      </c>
      <c r="D56" s="5" t="s">
        <v>163</v>
      </c>
      <c r="E56" s="5" t="s">
        <v>31</v>
      </c>
      <c r="F56" s="5" t="s">
        <v>164</v>
      </c>
      <c r="G56" s="5" t="s">
        <v>33</v>
      </c>
      <c r="H56" s="5" t="s">
        <v>54</v>
      </c>
      <c r="I56" s="6" t="s">
        <v>180</v>
      </c>
      <c r="J56" s="8">
        <v>33.83</v>
      </c>
      <c r="K56" s="5" t="str">
        <f t="shared" si="1"/>
        <v>Mumbai -&gt; Chennai</v>
      </c>
    </row>
    <row r="57" ht="15.75" customHeight="1">
      <c r="A57" s="5" t="s">
        <v>205</v>
      </c>
      <c r="B57" s="5" t="s">
        <v>45</v>
      </c>
      <c r="C57" s="6" t="s">
        <v>185</v>
      </c>
      <c r="D57" s="5" t="s">
        <v>163</v>
      </c>
      <c r="E57" s="5" t="s">
        <v>31</v>
      </c>
      <c r="F57" s="5" t="s">
        <v>164</v>
      </c>
      <c r="G57" s="5" t="s">
        <v>33</v>
      </c>
      <c r="H57" s="5" t="s">
        <v>54</v>
      </c>
      <c r="I57" s="6" t="s">
        <v>180</v>
      </c>
      <c r="J57" s="8">
        <v>11.0</v>
      </c>
      <c r="K57" s="5" t="str">
        <f t="shared" si="1"/>
        <v>Mumbai -&gt; Chennai</v>
      </c>
    </row>
    <row r="58" ht="15.75" customHeight="1">
      <c r="A58" s="5" t="s">
        <v>207</v>
      </c>
      <c r="B58" s="5" t="s">
        <v>43</v>
      </c>
      <c r="C58" s="6" t="s">
        <v>208</v>
      </c>
      <c r="D58" s="5" t="s">
        <v>163</v>
      </c>
      <c r="E58" s="5" t="s">
        <v>31</v>
      </c>
      <c r="F58" s="5" t="s">
        <v>164</v>
      </c>
      <c r="G58" s="5" t="s">
        <v>54</v>
      </c>
      <c r="H58" s="5" t="s">
        <v>35</v>
      </c>
      <c r="I58" s="6">
        <v>1.0</v>
      </c>
      <c r="J58" s="8">
        <v>7.25</v>
      </c>
      <c r="K58" s="5" t="str">
        <f t="shared" si="1"/>
        <v>Mumbai -&gt; Chennai</v>
      </c>
    </row>
    <row r="59" ht="15.75" customHeight="1">
      <c r="A59" s="5" t="s">
        <v>210</v>
      </c>
      <c r="B59" s="5" t="s">
        <v>45</v>
      </c>
      <c r="C59" s="6" t="s">
        <v>211</v>
      </c>
      <c r="D59" s="5" t="s">
        <v>163</v>
      </c>
      <c r="E59" s="5" t="s">
        <v>31</v>
      </c>
      <c r="F59" s="5" t="s">
        <v>164</v>
      </c>
      <c r="G59" s="5" t="s">
        <v>33</v>
      </c>
      <c r="H59" s="5" t="s">
        <v>54</v>
      </c>
      <c r="I59" s="6">
        <v>1.0</v>
      </c>
      <c r="J59" s="8">
        <v>11.75</v>
      </c>
      <c r="K59" s="5" t="str">
        <f t="shared" si="1"/>
        <v>Mumbai -&gt; Chennai</v>
      </c>
    </row>
    <row r="60" ht="15.75" customHeight="1">
      <c r="A60" s="5" t="s">
        <v>214</v>
      </c>
      <c r="B60" s="5" t="s">
        <v>43</v>
      </c>
      <c r="C60" s="6" t="s">
        <v>215</v>
      </c>
      <c r="D60" s="5" t="s">
        <v>163</v>
      </c>
      <c r="E60" s="5" t="s">
        <v>31</v>
      </c>
      <c r="F60" s="5" t="s">
        <v>164</v>
      </c>
      <c r="G60" s="5" t="s">
        <v>35</v>
      </c>
      <c r="H60" s="5" t="s">
        <v>35</v>
      </c>
      <c r="I60" s="6">
        <v>0.0</v>
      </c>
      <c r="J60" s="8">
        <v>2.08</v>
      </c>
      <c r="K60" s="5" t="str">
        <f t="shared" si="1"/>
        <v>Mumbai -&gt; Chennai</v>
      </c>
    </row>
    <row r="61" ht="15.75" customHeight="1">
      <c r="A61" s="5" t="s">
        <v>218</v>
      </c>
      <c r="B61" s="5" t="s">
        <v>20</v>
      </c>
      <c r="C61" s="6" t="s">
        <v>219</v>
      </c>
      <c r="D61" s="5" t="s">
        <v>163</v>
      </c>
      <c r="E61" s="5" t="s">
        <v>31</v>
      </c>
      <c r="F61" s="5" t="s">
        <v>164</v>
      </c>
      <c r="G61" s="5" t="s">
        <v>33</v>
      </c>
      <c r="H61" s="5" t="s">
        <v>35</v>
      </c>
      <c r="I61" s="6">
        <v>1.0</v>
      </c>
      <c r="J61" s="8">
        <v>13.25</v>
      </c>
      <c r="K61" s="5" t="str">
        <f t="shared" si="1"/>
        <v>Mumbai -&gt; Chennai</v>
      </c>
    </row>
    <row r="62" ht="15.75" customHeight="1">
      <c r="A62" s="5" t="s">
        <v>223</v>
      </c>
      <c r="B62" s="5" t="s">
        <v>45</v>
      </c>
      <c r="C62" s="6" t="s">
        <v>170</v>
      </c>
      <c r="D62" s="5" t="s">
        <v>163</v>
      </c>
      <c r="E62" s="5" t="s">
        <v>31</v>
      </c>
      <c r="F62" s="5" t="s">
        <v>164</v>
      </c>
      <c r="G62" s="5" t="s">
        <v>47</v>
      </c>
      <c r="H62" s="5" t="s">
        <v>54</v>
      </c>
      <c r="I62" s="6">
        <v>1.0</v>
      </c>
      <c r="J62" s="8">
        <v>27.42</v>
      </c>
      <c r="K62" s="5" t="str">
        <f t="shared" si="1"/>
        <v>Mumbai -&gt; Chennai</v>
      </c>
    </row>
    <row r="63" ht="15.75" customHeight="1">
      <c r="A63" s="5" t="s">
        <v>226</v>
      </c>
      <c r="B63" s="5" t="s">
        <v>20</v>
      </c>
      <c r="C63" s="6" t="s">
        <v>227</v>
      </c>
      <c r="D63" s="5" t="s">
        <v>163</v>
      </c>
      <c r="E63" s="5" t="s">
        <v>31</v>
      </c>
      <c r="F63" s="5" t="s">
        <v>164</v>
      </c>
      <c r="G63" s="5" t="s">
        <v>33</v>
      </c>
      <c r="H63" s="5" t="s">
        <v>35</v>
      </c>
      <c r="I63" s="6">
        <v>1.0</v>
      </c>
      <c r="J63" s="8">
        <v>15.25</v>
      </c>
      <c r="K63" s="5" t="str">
        <f t="shared" si="1"/>
        <v>Mumbai -&gt; Chennai</v>
      </c>
    </row>
    <row r="64" ht="15.75" customHeight="1">
      <c r="A64" s="5" t="s">
        <v>230</v>
      </c>
      <c r="B64" s="5" t="s">
        <v>20</v>
      </c>
      <c r="C64" s="6" t="s">
        <v>231</v>
      </c>
      <c r="D64" s="5" t="s">
        <v>163</v>
      </c>
      <c r="E64" s="5" t="s">
        <v>31</v>
      </c>
      <c r="F64" s="5" t="s">
        <v>164</v>
      </c>
      <c r="G64" s="5" t="s">
        <v>33</v>
      </c>
      <c r="H64" s="5" t="s">
        <v>35</v>
      </c>
      <c r="I64" s="6" t="s">
        <v>180</v>
      </c>
      <c r="J64" s="8">
        <v>37.25</v>
      </c>
      <c r="K64" s="5" t="str">
        <f t="shared" si="1"/>
        <v>Mumbai -&gt; Chennai</v>
      </c>
    </row>
    <row r="65" ht="15.75" customHeight="1">
      <c r="A65" s="5" t="s">
        <v>232</v>
      </c>
      <c r="B65" s="5" t="s">
        <v>43</v>
      </c>
      <c r="C65" s="6" t="s">
        <v>234</v>
      </c>
      <c r="D65" s="5" t="s">
        <v>163</v>
      </c>
      <c r="E65" s="5" t="s">
        <v>31</v>
      </c>
      <c r="F65" s="5" t="s">
        <v>164</v>
      </c>
      <c r="G65" s="5" t="s">
        <v>33</v>
      </c>
      <c r="H65" s="5" t="s">
        <v>54</v>
      </c>
      <c r="I65" s="6">
        <v>1.0</v>
      </c>
      <c r="J65" s="8">
        <v>7.5</v>
      </c>
      <c r="K65" s="5" t="str">
        <f t="shared" si="1"/>
        <v>Mumbai -&gt; Chennai</v>
      </c>
    </row>
    <row r="66" ht="15.75" customHeight="1">
      <c r="A66" s="5" t="s">
        <v>236</v>
      </c>
      <c r="B66" s="5" t="s">
        <v>58</v>
      </c>
      <c r="C66" s="6" t="s">
        <v>237</v>
      </c>
      <c r="D66" s="5" t="s">
        <v>163</v>
      </c>
      <c r="E66" s="5" t="s">
        <v>31</v>
      </c>
      <c r="F66" s="5" t="s">
        <v>164</v>
      </c>
      <c r="G66" s="5" t="s">
        <v>54</v>
      </c>
      <c r="H66" s="5" t="s">
        <v>35</v>
      </c>
      <c r="I66" s="6">
        <v>1.0</v>
      </c>
      <c r="J66" s="8">
        <v>7.0</v>
      </c>
      <c r="K66" s="5" t="str">
        <f t="shared" si="1"/>
        <v>Mumbai -&gt; Chennai</v>
      </c>
    </row>
    <row r="67" ht="15.75" customHeight="1">
      <c r="A67" s="5" t="s">
        <v>240</v>
      </c>
      <c r="B67" s="5" t="s">
        <v>20</v>
      </c>
      <c r="C67" s="6" t="s">
        <v>241</v>
      </c>
      <c r="D67" s="5" t="s">
        <v>163</v>
      </c>
      <c r="E67" s="5" t="s">
        <v>31</v>
      </c>
      <c r="F67" s="5" t="s">
        <v>164</v>
      </c>
      <c r="G67" s="5" t="s">
        <v>33</v>
      </c>
      <c r="H67" s="5" t="s">
        <v>33</v>
      </c>
      <c r="I67" s="6">
        <v>1.0</v>
      </c>
      <c r="J67" s="8">
        <v>23.5</v>
      </c>
      <c r="K67" s="5" t="str">
        <f t="shared" si="1"/>
        <v>Mumbai -&gt; Chennai</v>
      </c>
    </row>
    <row r="68" ht="15.75" customHeight="1">
      <c r="A68" s="5" t="s">
        <v>242</v>
      </c>
      <c r="B68" s="5" t="s">
        <v>20</v>
      </c>
      <c r="C68" s="6" t="s">
        <v>243</v>
      </c>
      <c r="D68" s="5" t="s">
        <v>163</v>
      </c>
      <c r="E68" s="5" t="s">
        <v>31</v>
      </c>
      <c r="F68" s="5" t="s">
        <v>164</v>
      </c>
      <c r="G68" s="5" t="s">
        <v>35</v>
      </c>
      <c r="H68" s="5" t="s">
        <v>35</v>
      </c>
      <c r="I68" s="6">
        <v>1.0</v>
      </c>
      <c r="J68" s="8">
        <v>24.0</v>
      </c>
      <c r="K68" s="5" t="str">
        <f t="shared" si="1"/>
        <v>Mumbai -&gt; Chennai</v>
      </c>
    </row>
    <row r="69" ht="15.75" customHeight="1">
      <c r="A69" s="5" t="s">
        <v>246</v>
      </c>
      <c r="B69" s="5" t="s">
        <v>45</v>
      </c>
      <c r="C69" s="6" t="s">
        <v>211</v>
      </c>
      <c r="D69" s="5" t="s">
        <v>163</v>
      </c>
      <c r="E69" s="5" t="s">
        <v>31</v>
      </c>
      <c r="F69" s="5" t="s">
        <v>164</v>
      </c>
      <c r="G69" s="5" t="s">
        <v>33</v>
      </c>
      <c r="H69" s="5" t="s">
        <v>33</v>
      </c>
      <c r="I69" s="6">
        <v>1.0</v>
      </c>
      <c r="J69" s="8">
        <v>27.08</v>
      </c>
      <c r="K69" s="5" t="str">
        <f t="shared" si="1"/>
        <v>Mumbai -&gt; Chennai</v>
      </c>
    </row>
    <row r="70" ht="15.75" customHeight="1">
      <c r="A70" s="5" t="s">
        <v>249</v>
      </c>
      <c r="B70" s="5" t="s">
        <v>45</v>
      </c>
      <c r="C70" s="6" t="s">
        <v>250</v>
      </c>
      <c r="D70" s="5" t="s">
        <v>163</v>
      </c>
      <c r="E70" s="5" t="s">
        <v>31</v>
      </c>
      <c r="F70" s="5" t="s">
        <v>164</v>
      </c>
      <c r="G70" s="5" t="s">
        <v>33</v>
      </c>
      <c r="H70" s="5" t="s">
        <v>33</v>
      </c>
      <c r="I70" s="6">
        <v>1.0</v>
      </c>
      <c r="J70" s="8">
        <v>28.83</v>
      </c>
      <c r="K70" s="5" t="str">
        <f t="shared" si="1"/>
        <v>Mumbai -&gt; Chennai</v>
      </c>
    </row>
    <row r="71" ht="15.75" customHeight="1">
      <c r="A71" s="5" t="s">
        <v>252</v>
      </c>
      <c r="B71" s="5" t="s">
        <v>45</v>
      </c>
      <c r="C71" s="6" t="s">
        <v>250</v>
      </c>
      <c r="D71" s="5" t="s">
        <v>163</v>
      </c>
      <c r="E71" s="5" t="s">
        <v>31</v>
      </c>
      <c r="F71" s="5" t="s">
        <v>164</v>
      </c>
      <c r="G71" s="5" t="s">
        <v>33</v>
      </c>
      <c r="H71" s="5" t="s">
        <v>35</v>
      </c>
      <c r="I71" s="6">
        <v>1.0</v>
      </c>
      <c r="J71" s="8">
        <v>17.75</v>
      </c>
      <c r="K71" s="5" t="str">
        <f t="shared" si="1"/>
        <v>Mumbai -&gt; Chennai</v>
      </c>
    </row>
    <row r="72" ht="15.75" customHeight="1">
      <c r="A72" s="5" t="s">
        <v>253</v>
      </c>
      <c r="B72" s="5" t="s">
        <v>43</v>
      </c>
      <c r="C72" s="6" t="s">
        <v>254</v>
      </c>
      <c r="D72" s="5" t="s">
        <v>163</v>
      </c>
      <c r="E72" s="5" t="s">
        <v>31</v>
      </c>
      <c r="F72" s="5" t="s">
        <v>164</v>
      </c>
      <c r="G72" s="5" t="s">
        <v>33</v>
      </c>
      <c r="H72" s="5" t="s">
        <v>47</v>
      </c>
      <c r="I72" s="6">
        <v>1.0</v>
      </c>
      <c r="J72" s="8">
        <v>7.42</v>
      </c>
      <c r="K72" s="5" t="str">
        <f t="shared" si="1"/>
        <v>Mumbai -&gt; Chennai</v>
      </c>
    </row>
    <row r="73" ht="15.75" customHeight="1">
      <c r="A73" s="5" t="s">
        <v>257</v>
      </c>
      <c r="B73" s="5" t="s">
        <v>45</v>
      </c>
      <c r="C73" s="6" t="s">
        <v>185</v>
      </c>
      <c r="D73" s="5" t="s">
        <v>163</v>
      </c>
      <c r="E73" s="5" t="s">
        <v>31</v>
      </c>
      <c r="F73" s="5" t="s">
        <v>164</v>
      </c>
      <c r="G73" s="5" t="s">
        <v>33</v>
      </c>
      <c r="H73" s="5" t="s">
        <v>47</v>
      </c>
      <c r="I73" s="6">
        <v>1.0</v>
      </c>
      <c r="J73" s="8">
        <v>28.67</v>
      </c>
      <c r="K73" s="5" t="str">
        <f t="shared" si="1"/>
        <v>Mumbai -&gt; Chennai</v>
      </c>
    </row>
    <row r="74" ht="15.75" customHeight="1">
      <c r="A74" s="5" t="s">
        <v>258</v>
      </c>
      <c r="B74" s="5" t="s">
        <v>43</v>
      </c>
      <c r="C74" s="6" t="s">
        <v>260</v>
      </c>
      <c r="D74" s="5" t="s">
        <v>163</v>
      </c>
      <c r="E74" s="5" t="s">
        <v>31</v>
      </c>
      <c r="F74" s="5" t="s">
        <v>164</v>
      </c>
      <c r="G74" s="5" t="s">
        <v>33</v>
      </c>
      <c r="H74" s="5" t="s">
        <v>47</v>
      </c>
      <c r="I74" s="6">
        <v>1.0</v>
      </c>
      <c r="J74" s="8">
        <v>4.33</v>
      </c>
      <c r="K74" s="5" t="str">
        <f t="shared" si="1"/>
        <v>Mumbai -&gt; Chennai</v>
      </c>
    </row>
    <row r="75" ht="15.75" customHeight="1">
      <c r="A75" s="5" t="s">
        <v>262</v>
      </c>
      <c r="B75" s="5" t="s">
        <v>45</v>
      </c>
      <c r="C75" s="6" t="s">
        <v>264</v>
      </c>
      <c r="D75" s="5" t="s">
        <v>163</v>
      </c>
      <c r="E75" s="5" t="s">
        <v>31</v>
      </c>
      <c r="F75" s="5" t="s">
        <v>164</v>
      </c>
      <c r="G75" s="5" t="s">
        <v>54</v>
      </c>
      <c r="H75" s="5" t="s">
        <v>35</v>
      </c>
      <c r="I75" s="6">
        <v>1.0</v>
      </c>
      <c r="J75" s="8">
        <v>27.58</v>
      </c>
      <c r="K75" s="5" t="str">
        <f t="shared" si="1"/>
        <v>Mumbai -&gt; Chennai</v>
      </c>
    </row>
    <row r="76" ht="15.75" customHeight="1">
      <c r="A76" s="5" t="s">
        <v>267</v>
      </c>
      <c r="B76" s="5" t="s">
        <v>43</v>
      </c>
      <c r="C76" s="6" t="s">
        <v>173</v>
      </c>
      <c r="D76" s="5" t="s">
        <v>163</v>
      </c>
      <c r="E76" s="5" t="s">
        <v>31</v>
      </c>
      <c r="F76" s="5" t="s">
        <v>164</v>
      </c>
      <c r="G76" s="5" t="s">
        <v>47</v>
      </c>
      <c r="H76" s="5" t="s">
        <v>54</v>
      </c>
      <c r="I76" s="6">
        <v>1.0</v>
      </c>
      <c r="J76" s="8">
        <v>4.92</v>
      </c>
      <c r="K76" s="5" t="str">
        <f t="shared" si="1"/>
        <v>Mumbai -&gt; Chennai</v>
      </c>
    </row>
    <row r="77" ht="15.75" customHeight="1">
      <c r="A77" s="5" t="s">
        <v>270</v>
      </c>
      <c r="B77" s="5" t="s">
        <v>43</v>
      </c>
      <c r="C77" s="6" t="s">
        <v>271</v>
      </c>
      <c r="D77" s="5" t="s">
        <v>163</v>
      </c>
      <c r="E77" s="5" t="s">
        <v>31</v>
      </c>
      <c r="F77" s="5" t="s">
        <v>164</v>
      </c>
      <c r="G77" s="5" t="s">
        <v>33</v>
      </c>
      <c r="H77" s="5" t="s">
        <v>33</v>
      </c>
      <c r="I77" s="6">
        <v>0.0</v>
      </c>
      <c r="J77" s="8">
        <v>2.0</v>
      </c>
      <c r="K77" s="5" t="str">
        <f t="shared" si="1"/>
        <v>Mumbai -&gt; Chennai</v>
      </c>
    </row>
    <row r="78" ht="15.75" customHeight="1">
      <c r="A78" s="5" t="s">
        <v>273</v>
      </c>
      <c r="B78" s="5" t="s">
        <v>20</v>
      </c>
      <c r="C78" s="6" t="s">
        <v>275</v>
      </c>
      <c r="D78" s="5" t="s">
        <v>163</v>
      </c>
      <c r="E78" s="5" t="s">
        <v>31</v>
      </c>
      <c r="F78" s="5" t="s">
        <v>164</v>
      </c>
      <c r="G78" s="5" t="s">
        <v>33</v>
      </c>
      <c r="H78" s="5" t="s">
        <v>54</v>
      </c>
      <c r="I78" s="6" t="s">
        <v>180</v>
      </c>
      <c r="J78" s="8">
        <v>31.25</v>
      </c>
      <c r="K78" s="5" t="str">
        <f t="shared" si="1"/>
        <v>Mumbai -&gt; Chennai</v>
      </c>
    </row>
    <row r="79" ht="15.75" customHeight="1">
      <c r="A79" s="5" t="s">
        <v>277</v>
      </c>
      <c r="B79" s="5" t="s">
        <v>20</v>
      </c>
      <c r="C79" s="6" t="s">
        <v>278</v>
      </c>
      <c r="D79" s="5" t="s">
        <v>163</v>
      </c>
      <c r="E79" s="5" t="s">
        <v>31</v>
      </c>
      <c r="F79" s="5" t="s">
        <v>164</v>
      </c>
      <c r="G79" s="5" t="s">
        <v>47</v>
      </c>
      <c r="H79" s="5" t="s">
        <v>54</v>
      </c>
      <c r="I79" s="6">
        <v>1.0</v>
      </c>
      <c r="J79" s="8">
        <v>27.92</v>
      </c>
      <c r="K79" s="5" t="str">
        <f t="shared" si="1"/>
        <v>Mumbai -&gt; Chennai</v>
      </c>
    </row>
    <row r="80" ht="15.75" customHeight="1">
      <c r="A80" s="5" t="s">
        <v>280</v>
      </c>
      <c r="B80" s="5" t="s">
        <v>20</v>
      </c>
      <c r="C80" s="6" t="s">
        <v>200</v>
      </c>
      <c r="D80" s="5" t="s">
        <v>163</v>
      </c>
      <c r="E80" s="5" t="s">
        <v>31</v>
      </c>
      <c r="F80" s="5" t="s">
        <v>164</v>
      </c>
      <c r="G80" s="5" t="s">
        <v>33</v>
      </c>
      <c r="H80" s="5" t="s">
        <v>33</v>
      </c>
      <c r="I80" s="6" t="s">
        <v>180</v>
      </c>
      <c r="J80" s="8">
        <v>22.42</v>
      </c>
      <c r="K80" s="5" t="str">
        <f t="shared" si="1"/>
        <v>Mumbai -&gt; Chennai</v>
      </c>
    </row>
    <row r="81" ht="15.75" customHeight="1">
      <c r="A81" s="5" t="s">
        <v>282</v>
      </c>
      <c r="B81" s="5" t="s">
        <v>20</v>
      </c>
      <c r="C81" s="6" t="s">
        <v>283</v>
      </c>
      <c r="D81" s="5" t="s">
        <v>163</v>
      </c>
      <c r="E81" s="5" t="s">
        <v>31</v>
      </c>
      <c r="F81" s="5" t="s">
        <v>164</v>
      </c>
      <c r="G81" s="5" t="s">
        <v>35</v>
      </c>
      <c r="H81" s="5" t="s">
        <v>33</v>
      </c>
      <c r="I81" s="6">
        <v>1.0</v>
      </c>
      <c r="J81" s="8">
        <v>12.0</v>
      </c>
      <c r="K81" s="5" t="str">
        <f t="shared" si="1"/>
        <v>Mumbai -&gt; Chennai</v>
      </c>
    </row>
    <row r="82" ht="15.75" customHeight="1">
      <c r="A82" s="5" t="s">
        <v>286</v>
      </c>
      <c r="B82" s="5" t="s">
        <v>45</v>
      </c>
      <c r="C82" s="6" t="s">
        <v>287</v>
      </c>
      <c r="D82" s="5" t="s">
        <v>288</v>
      </c>
      <c r="E82" s="5" t="s">
        <v>109</v>
      </c>
      <c r="F82" s="5" t="s">
        <v>27</v>
      </c>
      <c r="G82" s="5" t="s">
        <v>47</v>
      </c>
      <c r="H82" s="5" t="s">
        <v>35</v>
      </c>
      <c r="I82" s="6">
        <v>1.0</v>
      </c>
      <c r="J82" s="8">
        <v>7.92</v>
      </c>
      <c r="K82" s="5" t="str">
        <f t="shared" si="1"/>
        <v>Bengaluru -&gt; Delhi</v>
      </c>
    </row>
    <row r="83" ht="15.75" customHeight="1">
      <c r="A83" s="5" t="s">
        <v>293</v>
      </c>
      <c r="B83" s="5" t="s">
        <v>45</v>
      </c>
      <c r="C83" s="6" t="s">
        <v>295</v>
      </c>
      <c r="D83" s="5" t="s">
        <v>288</v>
      </c>
      <c r="E83" s="5" t="s">
        <v>109</v>
      </c>
      <c r="F83" s="5" t="s">
        <v>27</v>
      </c>
      <c r="G83" s="5" t="s">
        <v>33</v>
      </c>
      <c r="H83" s="5" t="s">
        <v>35</v>
      </c>
      <c r="I83" s="6">
        <v>1.0</v>
      </c>
      <c r="J83" s="8">
        <v>11.67</v>
      </c>
      <c r="K83" s="5" t="str">
        <f t="shared" si="1"/>
        <v>Bengaluru -&gt; Delhi</v>
      </c>
    </row>
    <row r="84" ht="15.75" customHeight="1">
      <c r="A84" s="5" t="s">
        <v>297</v>
      </c>
      <c r="B84" s="5" t="s">
        <v>43</v>
      </c>
      <c r="C84" s="6" t="s">
        <v>298</v>
      </c>
      <c r="D84" s="5" t="s">
        <v>288</v>
      </c>
      <c r="E84" s="5" t="s">
        <v>109</v>
      </c>
      <c r="F84" s="5" t="s">
        <v>27</v>
      </c>
      <c r="G84" s="5" t="s">
        <v>33</v>
      </c>
      <c r="H84" s="5" t="s">
        <v>47</v>
      </c>
      <c r="I84" s="6">
        <v>1.0</v>
      </c>
      <c r="J84" s="8">
        <v>6.67</v>
      </c>
      <c r="K84" s="5" t="str">
        <f t="shared" si="1"/>
        <v>Bengaluru -&gt; Delhi</v>
      </c>
    </row>
    <row r="85" ht="15.75" customHeight="1">
      <c r="A85" s="5" t="s">
        <v>303</v>
      </c>
      <c r="B85" s="5" t="s">
        <v>29</v>
      </c>
      <c r="C85" s="6" t="s">
        <v>304</v>
      </c>
      <c r="D85" s="5" t="s">
        <v>288</v>
      </c>
      <c r="E85" s="5" t="s">
        <v>109</v>
      </c>
      <c r="F85" s="5" t="s">
        <v>27</v>
      </c>
      <c r="G85" s="5" t="s">
        <v>35</v>
      </c>
      <c r="H85" s="5" t="s">
        <v>35</v>
      </c>
      <c r="I85" s="6">
        <v>0.0</v>
      </c>
      <c r="J85" s="8">
        <v>2.92</v>
      </c>
      <c r="K85" s="5" t="str">
        <f t="shared" si="1"/>
        <v>Bengaluru -&gt; Delhi</v>
      </c>
    </row>
    <row r="86" ht="15.75" customHeight="1">
      <c r="A86" s="5" t="s">
        <v>305</v>
      </c>
      <c r="B86" s="5" t="s">
        <v>20</v>
      </c>
      <c r="C86" s="6" t="s">
        <v>306</v>
      </c>
      <c r="D86" s="5" t="s">
        <v>288</v>
      </c>
      <c r="E86" s="5" t="s">
        <v>109</v>
      </c>
      <c r="F86" s="5" t="s">
        <v>27</v>
      </c>
      <c r="G86" s="5" t="s">
        <v>33</v>
      </c>
      <c r="H86" s="5" t="s">
        <v>35</v>
      </c>
      <c r="I86" s="6">
        <v>1.0</v>
      </c>
      <c r="J86" s="8">
        <v>13.5</v>
      </c>
      <c r="K86" s="5" t="str">
        <f t="shared" si="1"/>
        <v>Bengaluru -&gt; Delhi</v>
      </c>
    </row>
    <row r="87" ht="15.75" customHeight="1">
      <c r="A87" s="5" t="s">
        <v>309</v>
      </c>
      <c r="B87" s="5" t="s">
        <v>20</v>
      </c>
      <c r="C87" s="6" t="s">
        <v>310</v>
      </c>
      <c r="D87" s="5" t="s">
        <v>288</v>
      </c>
      <c r="E87" s="5" t="s">
        <v>109</v>
      </c>
      <c r="F87" s="5" t="s">
        <v>27</v>
      </c>
      <c r="G87" s="5" t="s">
        <v>54</v>
      </c>
      <c r="H87" s="5" t="s">
        <v>54</v>
      </c>
      <c r="I87" s="6">
        <v>1.0</v>
      </c>
      <c r="J87" s="8">
        <v>20.83</v>
      </c>
      <c r="K87" s="5" t="str">
        <f t="shared" si="1"/>
        <v>Bengaluru -&gt; Delhi</v>
      </c>
    </row>
    <row r="88" ht="15.75" customHeight="1">
      <c r="A88" s="5" t="s">
        <v>311</v>
      </c>
      <c r="B88" s="5" t="s">
        <v>20</v>
      </c>
      <c r="C88" s="6" t="s">
        <v>306</v>
      </c>
      <c r="D88" s="5" t="s">
        <v>288</v>
      </c>
      <c r="E88" s="5" t="s">
        <v>109</v>
      </c>
      <c r="F88" s="5" t="s">
        <v>27</v>
      </c>
      <c r="G88" s="5" t="s">
        <v>33</v>
      </c>
      <c r="H88" s="5" t="s">
        <v>54</v>
      </c>
      <c r="I88" s="6">
        <v>1.0</v>
      </c>
      <c r="J88" s="8">
        <v>8.58</v>
      </c>
      <c r="K88" s="5" t="str">
        <f t="shared" si="1"/>
        <v>Bengaluru -&gt; Delhi</v>
      </c>
    </row>
    <row r="89" ht="15.75" customHeight="1">
      <c r="A89" s="5" t="s">
        <v>314</v>
      </c>
      <c r="B89" s="5" t="s">
        <v>45</v>
      </c>
      <c r="C89" s="6" t="s">
        <v>287</v>
      </c>
      <c r="D89" s="5" t="s">
        <v>288</v>
      </c>
      <c r="E89" s="5" t="s">
        <v>109</v>
      </c>
      <c r="F89" s="5" t="s">
        <v>27</v>
      </c>
      <c r="G89" s="5" t="s">
        <v>47</v>
      </c>
      <c r="H89" s="5" t="s">
        <v>47</v>
      </c>
      <c r="I89" s="6">
        <v>1.0</v>
      </c>
      <c r="J89" s="8">
        <v>24.08</v>
      </c>
      <c r="K89" s="5" t="str">
        <f t="shared" si="1"/>
        <v>Bengaluru -&gt; Delhi</v>
      </c>
    </row>
    <row r="90" ht="15.75" customHeight="1">
      <c r="A90" s="5" t="s">
        <v>317</v>
      </c>
      <c r="B90" s="5" t="s">
        <v>20</v>
      </c>
      <c r="C90" s="6" t="s">
        <v>318</v>
      </c>
      <c r="D90" s="5" t="s">
        <v>288</v>
      </c>
      <c r="E90" s="5" t="s">
        <v>109</v>
      </c>
      <c r="F90" s="5" t="s">
        <v>27</v>
      </c>
      <c r="G90" s="5" t="s">
        <v>54</v>
      </c>
      <c r="H90" s="5" t="s">
        <v>35</v>
      </c>
      <c r="I90" s="6">
        <v>1.0</v>
      </c>
      <c r="J90" s="8">
        <v>26.92</v>
      </c>
      <c r="K90" s="5" t="str">
        <f t="shared" si="1"/>
        <v>Bengaluru -&gt; Delhi</v>
      </c>
    </row>
    <row r="91" ht="15.75" customHeight="1">
      <c r="A91" s="5" t="s">
        <v>321</v>
      </c>
      <c r="B91" s="5" t="s">
        <v>43</v>
      </c>
      <c r="C91" s="6" t="s">
        <v>322</v>
      </c>
      <c r="D91" s="5" t="s">
        <v>288</v>
      </c>
      <c r="E91" s="5" t="s">
        <v>109</v>
      </c>
      <c r="F91" s="5" t="s">
        <v>27</v>
      </c>
      <c r="G91" s="5" t="s">
        <v>35</v>
      </c>
      <c r="H91" s="5" t="s">
        <v>35</v>
      </c>
      <c r="I91" s="6">
        <v>0.0</v>
      </c>
      <c r="J91" s="8">
        <v>2.83</v>
      </c>
      <c r="K91" s="5" t="str">
        <f t="shared" si="1"/>
        <v>Bengaluru -&gt; Delhi</v>
      </c>
    </row>
    <row r="92" ht="15.75" customHeight="1">
      <c r="A92" s="5" t="s">
        <v>323</v>
      </c>
      <c r="B92" s="5" t="s">
        <v>45</v>
      </c>
      <c r="C92" s="6" t="s">
        <v>325</v>
      </c>
      <c r="D92" s="5" t="s">
        <v>288</v>
      </c>
      <c r="E92" s="5" t="s">
        <v>109</v>
      </c>
      <c r="F92" s="5" t="s">
        <v>27</v>
      </c>
      <c r="G92" s="5" t="s">
        <v>33</v>
      </c>
      <c r="H92" s="5" t="s">
        <v>35</v>
      </c>
      <c r="I92" s="6">
        <v>1.0</v>
      </c>
      <c r="J92" s="8">
        <v>16.92</v>
      </c>
      <c r="K92" s="5" t="str">
        <f t="shared" si="1"/>
        <v>Bengaluru -&gt; Delhi</v>
      </c>
    </row>
    <row r="93" ht="15.75" customHeight="1">
      <c r="A93" s="5" t="s">
        <v>327</v>
      </c>
      <c r="B93" s="5" t="s">
        <v>58</v>
      </c>
      <c r="C93" s="6" t="s">
        <v>328</v>
      </c>
      <c r="D93" s="5" t="s">
        <v>288</v>
      </c>
      <c r="E93" s="5" t="s">
        <v>109</v>
      </c>
      <c r="F93" s="5" t="s">
        <v>27</v>
      </c>
      <c r="G93" s="5" t="s">
        <v>33</v>
      </c>
      <c r="H93" s="5" t="s">
        <v>47</v>
      </c>
      <c r="I93" s="6">
        <v>1.0</v>
      </c>
      <c r="J93" s="8">
        <v>6.67</v>
      </c>
      <c r="K93" s="5" t="str">
        <f t="shared" si="1"/>
        <v>Bengaluru -&gt; Delhi</v>
      </c>
    </row>
    <row r="94" ht="15.75" customHeight="1">
      <c r="A94" s="5" t="s">
        <v>330</v>
      </c>
      <c r="B94" s="5" t="s">
        <v>20</v>
      </c>
      <c r="C94" s="6" t="s">
        <v>310</v>
      </c>
      <c r="D94" s="5" t="s">
        <v>288</v>
      </c>
      <c r="E94" s="5" t="s">
        <v>109</v>
      </c>
      <c r="F94" s="5" t="s">
        <v>27</v>
      </c>
      <c r="G94" s="5" t="s">
        <v>54</v>
      </c>
      <c r="H94" s="5" t="s">
        <v>54</v>
      </c>
      <c r="I94" s="6">
        <v>1.0</v>
      </c>
      <c r="J94" s="8">
        <v>23.92</v>
      </c>
      <c r="K94" s="5" t="str">
        <f t="shared" si="1"/>
        <v>Bengaluru -&gt; Delhi</v>
      </c>
    </row>
    <row r="95" ht="15.75" customHeight="1">
      <c r="A95" s="5" t="s">
        <v>332</v>
      </c>
      <c r="B95" s="5" t="s">
        <v>72</v>
      </c>
      <c r="C95" s="6" t="s">
        <v>333</v>
      </c>
      <c r="D95" s="5" t="s">
        <v>288</v>
      </c>
      <c r="E95" s="5" t="s">
        <v>109</v>
      </c>
      <c r="F95" s="5" t="s">
        <v>27</v>
      </c>
      <c r="G95" s="5" t="s">
        <v>33</v>
      </c>
      <c r="H95" s="5" t="s">
        <v>35</v>
      </c>
      <c r="I95" s="6">
        <v>1.0</v>
      </c>
      <c r="J95" s="8">
        <v>17.83</v>
      </c>
      <c r="K95" s="5" t="str">
        <f t="shared" si="1"/>
        <v>Bengaluru -&gt; Delhi</v>
      </c>
    </row>
    <row r="96" ht="15.75" customHeight="1">
      <c r="A96" s="5" t="s">
        <v>334</v>
      </c>
      <c r="B96" s="5" t="s">
        <v>20</v>
      </c>
      <c r="C96" s="6" t="s">
        <v>336</v>
      </c>
      <c r="D96" s="5" t="s">
        <v>288</v>
      </c>
      <c r="E96" s="5" t="s">
        <v>109</v>
      </c>
      <c r="F96" s="5" t="s">
        <v>27</v>
      </c>
      <c r="G96" s="5" t="s">
        <v>54</v>
      </c>
      <c r="H96" s="5" t="s">
        <v>35</v>
      </c>
      <c r="I96" s="6">
        <v>0.0</v>
      </c>
      <c r="J96" s="8">
        <v>2.75</v>
      </c>
      <c r="K96" s="5" t="str">
        <f t="shared" si="1"/>
        <v>Bengaluru -&gt; Delhi</v>
      </c>
    </row>
    <row r="97" ht="15.75" customHeight="1">
      <c r="A97" s="5" t="s">
        <v>338</v>
      </c>
      <c r="B97" s="5" t="s">
        <v>45</v>
      </c>
      <c r="C97" s="6" t="s">
        <v>339</v>
      </c>
      <c r="D97" s="5" t="s">
        <v>288</v>
      </c>
      <c r="E97" s="5" t="s">
        <v>109</v>
      </c>
      <c r="F97" s="5" t="s">
        <v>27</v>
      </c>
      <c r="G97" s="5" t="s">
        <v>54</v>
      </c>
      <c r="H97" s="5" t="s">
        <v>35</v>
      </c>
      <c r="I97" s="6">
        <v>1.0</v>
      </c>
      <c r="J97" s="8">
        <v>25.25</v>
      </c>
      <c r="K97" s="5" t="str">
        <f t="shared" si="1"/>
        <v>Bengaluru -&gt; Delhi</v>
      </c>
    </row>
    <row r="98" ht="15.75" customHeight="1">
      <c r="A98" s="5" t="s">
        <v>340</v>
      </c>
      <c r="B98" s="5" t="s">
        <v>45</v>
      </c>
      <c r="C98" s="6" t="s">
        <v>341</v>
      </c>
      <c r="D98" s="5" t="s">
        <v>288</v>
      </c>
      <c r="E98" s="5" t="s">
        <v>109</v>
      </c>
      <c r="F98" s="5" t="s">
        <v>27</v>
      </c>
      <c r="G98" s="5" t="s">
        <v>33</v>
      </c>
      <c r="H98" s="5" t="s">
        <v>54</v>
      </c>
      <c r="I98" s="6">
        <v>1.0</v>
      </c>
      <c r="J98" s="8">
        <v>12.42</v>
      </c>
      <c r="K98" s="5" t="str">
        <f t="shared" si="1"/>
        <v>Bengaluru -&gt; Delhi</v>
      </c>
    </row>
    <row r="99" ht="15.75" customHeight="1">
      <c r="A99" s="5" t="s">
        <v>344</v>
      </c>
      <c r="B99" s="5" t="s">
        <v>43</v>
      </c>
      <c r="C99" s="6" t="s">
        <v>345</v>
      </c>
      <c r="D99" s="5" t="s">
        <v>288</v>
      </c>
      <c r="E99" s="5" t="s">
        <v>109</v>
      </c>
      <c r="F99" s="5" t="s">
        <v>27</v>
      </c>
      <c r="G99" s="5" t="s">
        <v>33</v>
      </c>
      <c r="H99" s="5" t="s">
        <v>54</v>
      </c>
      <c r="I99" s="6">
        <v>1.0</v>
      </c>
      <c r="J99" s="8">
        <v>9.0</v>
      </c>
      <c r="K99" s="5" t="str">
        <f t="shared" si="1"/>
        <v>Bengaluru -&gt; Delhi</v>
      </c>
    </row>
    <row r="100" ht="15.75" customHeight="1">
      <c r="A100" s="5" t="s">
        <v>346</v>
      </c>
      <c r="B100" s="5" t="s">
        <v>58</v>
      </c>
      <c r="C100" s="6" t="s">
        <v>347</v>
      </c>
      <c r="D100" s="5" t="s">
        <v>288</v>
      </c>
      <c r="E100" s="5" t="s">
        <v>109</v>
      </c>
      <c r="F100" s="5" t="s">
        <v>27</v>
      </c>
      <c r="G100" s="5" t="s">
        <v>47</v>
      </c>
      <c r="H100" s="5" t="s">
        <v>35</v>
      </c>
      <c r="I100" s="6">
        <v>1.0</v>
      </c>
      <c r="J100" s="8">
        <v>7.5</v>
      </c>
      <c r="K100" s="5" t="str">
        <f t="shared" si="1"/>
        <v>Bengaluru -&gt; Delhi</v>
      </c>
    </row>
    <row r="101" ht="15.75" customHeight="1">
      <c r="A101" s="5" t="s">
        <v>350</v>
      </c>
      <c r="B101" s="5" t="s">
        <v>58</v>
      </c>
      <c r="C101" s="6" t="s">
        <v>351</v>
      </c>
      <c r="D101" s="5" t="s">
        <v>288</v>
      </c>
      <c r="E101" s="5" t="s">
        <v>109</v>
      </c>
      <c r="F101" s="5" t="s">
        <v>27</v>
      </c>
      <c r="G101" s="5" t="s">
        <v>35</v>
      </c>
      <c r="H101" s="5" t="s">
        <v>33</v>
      </c>
      <c r="I101" s="6">
        <v>1.0</v>
      </c>
      <c r="J101" s="8">
        <v>10.17</v>
      </c>
      <c r="K101" s="5" t="str">
        <f t="shared" si="1"/>
        <v>Bengaluru -&gt; Delhi</v>
      </c>
    </row>
    <row r="102" ht="15.75" customHeight="1">
      <c r="A102" s="5" t="s">
        <v>354</v>
      </c>
      <c r="B102" s="5" t="s">
        <v>29</v>
      </c>
      <c r="C102" s="6" t="s">
        <v>355</v>
      </c>
      <c r="D102" s="5" t="s">
        <v>288</v>
      </c>
      <c r="E102" s="5" t="s">
        <v>109</v>
      </c>
      <c r="F102" s="5" t="s">
        <v>27</v>
      </c>
      <c r="G102" s="5" t="s">
        <v>47</v>
      </c>
      <c r="H102" s="5" t="s">
        <v>35</v>
      </c>
      <c r="I102" s="6">
        <v>1.0</v>
      </c>
      <c r="J102" s="8">
        <v>12.0</v>
      </c>
      <c r="K102" s="5" t="str">
        <f t="shared" si="1"/>
        <v>Bengaluru -&gt; Delhi</v>
      </c>
    </row>
    <row r="103" ht="15.75" customHeight="1">
      <c r="A103" s="5" t="s">
        <v>358</v>
      </c>
      <c r="B103" s="5" t="s">
        <v>20</v>
      </c>
      <c r="C103" s="6" t="s">
        <v>306</v>
      </c>
      <c r="D103" s="5" t="s">
        <v>288</v>
      </c>
      <c r="E103" s="5" t="s">
        <v>109</v>
      </c>
      <c r="F103" s="5" t="s">
        <v>27</v>
      </c>
      <c r="G103" s="5" t="s">
        <v>33</v>
      </c>
      <c r="H103" s="5" t="s">
        <v>35</v>
      </c>
      <c r="I103" s="6">
        <v>1.0</v>
      </c>
      <c r="J103" s="8">
        <v>12.42</v>
      </c>
      <c r="K103" s="5" t="str">
        <f t="shared" si="1"/>
        <v>Bengaluru -&gt; Delhi</v>
      </c>
    </row>
    <row r="104" ht="15.75" customHeight="1">
      <c r="A104" s="5" t="s">
        <v>362</v>
      </c>
      <c r="B104" s="5" t="s">
        <v>20</v>
      </c>
      <c r="C104" s="6" t="s">
        <v>363</v>
      </c>
      <c r="D104" s="5" t="s">
        <v>288</v>
      </c>
      <c r="E104" s="5" t="s">
        <v>109</v>
      </c>
      <c r="F104" s="5" t="s">
        <v>27</v>
      </c>
      <c r="G104" s="5" t="s">
        <v>35</v>
      </c>
      <c r="H104" s="5" t="s">
        <v>35</v>
      </c>
      <c r="I104" s="6">
        <v>0.0</v>
      </c>
      <c r="J104" s="8">
        <v>2.58</v>
      </c>
      <c r="K104" s="5" t="str">
        <f t="shared" si="1"/>
        <v>Bengaluru -&gt; Delhi</v>
      </c>
    </row>
    <row r="105" ht="15.75" customHeight="1">
      <c r="A105" s="5" t="s">
        <v>366</v>
      </c>
      <c r="B105" s="5" t="s">
        <v>29</v>
      </c>
      <c r="C105" s="6" t="s">
        <v>367</v>
      </c>
      <c r="D105" s="5" t="s">
        <v>288</v>
      </c>
      <c r="E105" s="5" t="s">
        <v>109</v>
      </c>
      <c r="F105" s="5" t="s">
        <v>27</v>
      </c>
      <c r="G105" s="5" t="s">
        <v>33</v>
      </c>
      <c r="H105" s="5" t="s">
        <v>35</v>
      </c>
      <c r="I105" s="6">
        <v>1.0</v>
      </c>
      <c r="J105" s="8">
        <v>17.33</v>
      </c>
      <c r="K105" s="5" t="str">
        <f t="shared" si="1"/>
        <v>Bengaluru -&gt; Delhi</v>
      </c>
    </row>
    <row r="106" ht="15.75" customHeight="1">
      <c r="A106" s="5" t="s">
        <v>370</v>
      </c>
      <c r="B106" s="5" t="s">
        <v>45</v>
      </c>
      <c r="C106" s="6" t="s">
        <v>339</v>
      </c>
      <c r="D106" s="5" t="s">
        <v>288</v>
      </c>
      <c r="E106" s="5" t="s">
        <v>109</v>
      </c>
      <c r="F106" s="5" t="s">
        <v>27</v>
      </c>
      <c r="G106" s="5" t="s">
        <v>54</v>
      </c>
      <c r="H106" s="5" t="s">
        <v>33</v>
      </c>
      <c r="I106" s="6">
        <v>1.0</v>
      </c>
      <c r="J106" s="8">
        <v>15.08</v>
      </c>
      <c r="K106" s="5" t="str">
        <f t="shared" si="1"/>
        <v>Bengaluru -&gt; Delhi</v>
      </c>
    </row>
    <row r="107" ht="15.75" customHeight="1">
      <c r="A107" s="5" t="s">
        <v>372</v>
      </c>
      <c r="B107" s="5" t="s">
        <v>58</v>
      </c>
      <c r="C107" s="6" t="s">
        <v>374</v>
      </c>
      <c r="D107" s="5" t="s">
        <v>288</v>
      </c>
      <c r="E107" s="5" t="s">
        <v>109</v>
      </c>
      <c r="F107" s="5" t="s">
        <v>27</v>
      </c>
      <c r="G107" s="5" t="s">
        <v>54</v>
      </c>
      <c r="H107" s="5" t="s">
        <v>35</v>
      </c>
      <c r="I107" s="6">
        <v>1.0</v>
      </c>
      <c r="J107" s="8">
        <v>5.42</v>
      </c>
      <c r="K107" s="5" t="str">
        <f t="shared" si="1"/>
        <v>Bengaluru -&gt; Delhi</v>
      </c>
    </row>
    <row r="108" ht="15.75" customHeight="1">
      <c r="A108" s="5" t="s">
        <v>375</v>
      </c>
      <c r="B108" s="5" t="s">
        <v>20</v>
      </c>
      <c r="C108" s="6" t="s">
        <v>376</v>
      </c>
      <c r="D108" s="5" t="s">
        <v>288</v>
      </c>
      <c r="E108" s="5" t="s">
        <v>109</v>
      </c>
      <c r="F108" s="5" t="s">
        <v>27</v>
      </c>
      <c r="G108" s="5" t="s">
        <v>33</v>
      </c>
      <c r="H108" s="5" t="s">
        <v>47</v>
      </c>
      <c r="I108" s="6">
        <v>0.0</v>
      </c>
      <c r="J108" s="8">
        <v>2.92</v>
      </c>
      <c r="K108" s="5" t="str">
        <f t="shared" si="1"/>
        <v>Bengaluru -&gt; Delhi</v>
      </c>
    </row>
    <row r="109" ht="15.75" customHeight="1">
      <c r="A109" s="5" t="s">
        <v>379</v>
      </c>
      <c r="B109" s="5" t="s">
        <v>58</v>
      </c>
      <c r="C109" s="6" t="s">
        <v>380</v>
      </c>
      <c r="D109" s="5" t="s">
        <v>288</v>
      </c>
      <c r="E109" s="5" t="s">
        <v>109</v>
      </c>
      <c r="F109" s="5" t="s">
        <v>27</v>
      </c>
      <c r="G109" s="5" t="s">
        <v>33</v>
      </c>
      <c r="H109" s="5" t="s">
        <v>47</v>
      </c>
      <c r="I109" s="6">
        <v>1.0</v>
      </c>
      <c r="J109" s="8">
        <v>6.33</v>
      </c>
      <c r="K109" s="5" t="str">
        <f t="shared" si="1"/>
        <v>Bengaluru -&gt; Delhi</v>
      </c>
    </row>
    <row r="110" ht="15.75" customHeight="1">
      <c r="A110" s="5" t="s">
        <v>383</v>
      </c>
      <c r="B110" s="5" t="s">
        <v>43</v>
      </c>
      <c r="C110" s="6" t="s">
        <v>384</v>
      </c>
      <c r="D110" s="5" t="s">
        <v>288</v>
      </c>
      <c r="E110" s="5" t="s">
        <v>109</v>
      </c>
      <c r="F110" s="5" t="s">
        <v>27</v>
      </c>
      <c r="G110" s="5" t="s">
        <v>54</v>
      </c>
      <c r="H110" s="5" t="s">
        <v>35</v>
      </c>
      <c r="I110" s="6">
        <v>1.0</v>
      </c>
      <c r="J110" s="8">
        <v>5.33</v>
      </c>
      <c r="K110" s="5" t="str">
        <f t="shared" si="1"/>
        <v>Bengaluru -&gt; Delhi</v>
      </c>
    </row>
    <row r="111" ht="15.75" customHeight="1">
      <c r="A111" s="5" t="s">
        <v>385</v>
      </c>
      <c r="B111" s="5" t="s">
        <v>58</v>
      </c>
      <c r="C111" s="6" t="s">
        <v>387</v>
      </c>
      <c r="D111" s="5" t="s">
        <v>288</v>
      </c>
      <c r="E111" s="5" t="s">
        <v>109</v>
      </c>
      <c r="F111" s="5" t="s">
        <v>27</v>
      </c>
      <c r="G111" s="5" t="s">
        <v>33</v>
      </c>
      <c r="H111" s="5" t="s">
        <v>47</v>
      </c>
      <c r="I111" s="6">
        <v>1.0</v>
      </c>
      <c r="J111" s="8">
        <v>5.58</v>
      </c>
      <c r="K111" s="5" t="str">
        <f t="shared" si="1"/>
        <v>Bengaluru -&gt; Delhi</v>
      </c>
    </row>
    <row r="112" ht="15.75" customHeight="1">
      <c r="A112" s="5" t="s">
        <v>389</v>
      </c>
      <c r="B112" s="5" t="s">
        <v>45</v>
      </c>
      <c r="C112" s="6" t="s">
        <v>341</v>
      </c>
      <c r="D112" s="5" t="s">
        <v>288</v>
      </c>
      <c r="E112" s="5" t="s">
        <v>109</v>
      </c>
      <c r="F112" s="5" t="s">
        <v>27</v>
      </c>
      <c r="G112" s="5" t="s">
        <v>33</v>
      </c>
      <c r="H112" s="5" t="s">
        <v>33</v>
      </c>
      <c r="I112" s="6">
        <v>1.0</v>
      </c>
      <c r="J112" s="8">
        <v>27.5</v>
      </c>
      <c r="K112" s="5" t="str">
        <f t="shared" si="1"/>
        <v>Bengaluru -&gt; Delhi</v>
      </c>
    </row>
    <row r="113" ht="15.75" customHeight="1">
      <c r="A113" s="5" t="s">
        <v>393</v>
      </c>
      <c r="B113" s="5" t="s">
        <v>43</v>
      </c>
      <c r="C113" s="6" t="s">
        <v>394</v>
      </c>
      <c r="D113" s="5" t="s">
        <v>288</v>
      </c>
      <c r="E113" s="5" t="s">
        <v>109</v>
      </c>
      <c r="F113" s="5" t="s">
        <v>27</v>
      </c>
      <c r="G113" s="5" t="s">
        <v>33</v>
      </c>
      <c r="H113" s="5" t="s">
        <v>33</v>
      </c>
      <c r="I113" s="6">
        <v>1.0</v>
      </c>
      <c r="J113" s="8">
        <v>6.75</v>
      </c>
      <c r="K113" s="5" t="str">
        <f t="shared" si="1"/>
        <v>Bengaluru -&gt; Delhi</v>
      </c>
    </row>
    <row r="114" ht="15.75" customHeight="1">
      <c r="A114" s="5" t="s">
        <v>397</v>
      </c>
      <c r="B114" s="5" t="s">
        <v>58</v>
      </c>
      <c r="C114" s="6" t="s">
        <v>398</v>
      </c>
      <c r="D114" s="5" t="s">
        <v>288</v>
      </c>
      <c r="E114" s="5" t="s">
        <v>109</v>
      </c>
      <c r="F114" s="5" t="s">
        <v>27</v>
      </c>
      <c r="G114" s="5" t="s">
        <v>33</v>
      </c>
      <c r="H114" s="5" t="s">
        <v>47</v>
      </c>
      <c r="I114" s="6">
        <v>1.0</v>
      </c>
      <c r="J114" s="8">
        <v>5.75</v>
      </c>
      <c r="K114" s="5" t="str">
        <f t="shared" si="1"/>
        <v>Bengaluru -&gt; Delhi</v>
      </c>
    </row>
    <row r="115" ht="15.75" customHeight="1">
      <c r="A115" s="5" t="s">
        <v>400</v>
      </c>
      <c r="B115" s="5" t="s">
        <v>20</v>
      </c>
      <c r="C115" s="6" t="s">
        <v>306</v>
      </c>
      <c r="D115" s="5" t="s">
        <v>288</v>
      </c>
      <c r="E115" s="5" t="s">
        <v>109</v>
      </c>
      <c r="F115" s="5" t="s">
        <v>27</v>
      </c>
      <c r="G115" s="5" t="s">
        <v>33</v>
      </c>
      <c r="H115" s="5" t="s">
        <v>54</v>
      </c>
      <c r="I115" s="6">
        <v>1.0</v>
      </c>
      <c r="J115" s="8">
        <v>7.42</v>
      </c>
      <c r="K115" s="5" t="str">
        <f t="shared" si="1"/>
        <v>Bengaluru -&gt; Delhi</v>
      </c>
    </row>
    <row r="116" ht="15.75" customHeight="1">
      <c r="A116" s="5" t="s">
        <v>402</v>
      </c>
      <c r="B116" s="5" t="s">
        <v>20</v>
      </c>
      <c r="C116" s="6" t="s">
        <v>306</v>
      </c>
      <c r="D116" s="5" t="s">
        <v>288</v>
      </c>
      <c r="E116" s="5" t="s">
        <v>109</v>
      </c>
      <c r="F116" s="5" t="s">
        <v>27</v>
      </c>
      <c r="G116" s="5" t="s">
        <v>33</v>
      </c>
      <c r="H116" s="5" t="s">
        <v>54</v>
      </c>
      <c r="I116" s="6">
        <v>1.0</v>
      </c>
      <c r="J116" s="8">
        <v>6.83</v>
      </c>
      <c r="K116" s="5" t="str">
        <f t="shared" si="1"/>
        <v>Bengaluru -&gt; Delhi</v>
      </c>
    </row>
    <row r="117" ht="15.75" customHeight="1">
      <c r="A117" s="5" t="s">
        <v>405</v>
      </c>
      <c r="B117" s="5" t="s">
        <v>58</v>
      </c>
      <c r="C117" s="6" t="s">
        <v>347</v>
      </c>
      <c r="D117" s="5" t="s">
        <v>288</v>
      </c>
      <c r="E117" s="5" t="s">
        <v>109</v>
      </c>
      <c r="F117" s="5" t="s">
        <v>27</v>
      </c>
      <c r="G117" s="5" t="s">
        <v>54</v>
      </c>
      <c r="H117" s="5" t="s">
        <v>35</v>
      </c>
      <c r="I117" s="6">
        <v>1.0</v>
      </c>
      <c r="J117" s="8">
        <v>4.83</v>
      </c>
      <c r="K117" s="5" t="str">
        <f t="shared" si="1"/>
        <v>Bengaluru -&gt; Delhi</v>
      </c>
    </row>
    <row r="118" ht="15.75" customHeight="1">
      <c r="A118" s="5" t="s">
        <v>408</v>
      </c>
      <c r="B118" s="5" t="s">
        <v>29</v>
      </c>
      <c r="C118" s="6" t="s">
        <v>409</v>
      </c>
      <c r="D118" s="5" t="s">
        <v>288</v>
      </c>
      <c r="E118" s="5" t="s">
        <v>109</v>
      </c>
      <c r="F118" s="5" t="s">
        <v>27</v>
      </c>
      <c r="G118" s="5" t="s">
        <v>33</v>
      </c>
      <c r="H118" s="5" t="s">
        <v>54</v>
      </c>
      <c r="I118" s="6">
        <v>1.0</v>
      </c>
      <c r="J118" s="8">
        <v>9.17</v>
      </c>
      <c r="K118" s="5" t="str">
        <f t="shared" si="1"/>
        <v>Bengaluru -&gt; Delhi</v>
      </c>
    </row>
    <row r="119" ht="15.75" customHeight="1">
      <c r="A119" s="5" t="s">
        <v>410</v>
      </c>
      <c r="B119" s="5" t="s">
        <v>20</v>
      </c>
      <c r="C119" s="6" t="s">
        <v>318</v>
      </c>
      <c r="D119" s="5" t="s">
        <v>288</v>
      </c>
      <c r="E119" s="5" t="s">
        <v>109</v>
      </c>
      <c r="F119" s="5" t="s">
        <v>27</v>
      </c>
      <c r="G119" s="5" t="s">
        <v>54</v>
      </c>
      <c r="H119" s="5" t="s">
        <v>47</v>
      </c>
      <c r="I119" s="6">
        <v>1.0</v>
      </c>
      <c r="J119" s="8">
        <v>16.75</v>
      </c>
      <c r="K119" s="5" t="str">
        <f t="shared" si="1"/>
        <v>Bengaluru -&gt; Delhi</v>
      </c>
    </row>
    <row r="120" ht="15.75" customHeight="1">
      <c r="A120" s="5" t="s">
        <v>413</v>
      </c>
      <c r="B120" s="5" t="s">
        <v>20</v>
      </c>
      <c r="C120" s="6" t="s">
        <v>414</v>
      </c>
      <c r="D120" s="5" t="s">
        <v>288</v>
      </c>
      <c r="E120" s="5" t="s">
        <v>109</v>
      </c>
      <c r="F120" s="5" t="s">
        <v>27</v>
      </c>
      <c r="G120" s="5" t="s">
        <v>54</v>
      </c>
      <c r="H120" s="5" t="s">
        <v>47</v>
      </c>
      <c r="I120" s="6">
        <v>1.0</v>
      </c>
      <c r="J120" s="8">
        <v>18.25</v>
      </c>
      <c r="K120" s="5" t="str">
        <f t="shared" si="1"/>
        <v>Bengaluru -&gt; Delhi</v>
      </c>
    </row>
    <row r="121" ht="15.75" customHeight="1">
      <c r="A121" s="5" t="s">
        <v>417</v>
      </c>
      <c r="B121" s="5" t="s">
        <v>20</v>
      </c>
      <c r="C121" s="6" t="s">
        <v>310</v>
      </c>
      <c r="D121" s="5" t="s">
        <v>288</v>
      </c>
      <c r="E121" s="5" t="s">
        <v>109</v>
      </c>
      <c r="F121" s="5" t="s">
        <v>27</v>
      </c>
      <c r="G121" s="5" t="s">
        <v>54</v>
      </c>
      <c r="H121" s="5" t="s">
        <v>54</v>
      </c>
      <c r="I121" s="6">
        <v>1.0</v>
      </c>
      <c r="J121" s="8">
        <v>22.17</v>
      </c>
      <c r="K121" s="5" t="str">
        <f t="shared" si="1"/>
        <v>Bengaluru -&gt; Delhi</v>
      </c>
    </row>
    <row r="122" ht="15.75" customHeight="1">
      <c r="A122" s="5" t="s">
        <v>418</v>
      </c>
      <c r="B122" s="5" t="s">
        <v>58</v>
      </c>
      <c r="C122" s="6" t="s">
        <v>419</v>
      </c>
      <c r="D122" s="5" t="s">
        <v>361</v>
      </c>
      <c r="E122" s="5" t="s">
        <v>109</v>
      </c>
      <c r="F122" s="5" t="s">
        <v>31</v>
      </c>
      <c r="G122" s="5" t="s">
        <v>33</v>
      </c>
      <c r="H122" s="5" t="s">
        <v>54</v>
      </c>
      <c r="I122" s="6">
        <v>1.0</v>
      </c>
      <c r="J122" s="8">
        <v>8.92</v>
      </c>
      <c r="K122" s="5" t="str">
        <f t="shared" si="1"/>
        <v>Bengaluru -&gt; Mumbai</v>
      </c>
    </row>
    <row r="123" ht="15.75" customHeight="1">
      <c r="A123" s="5" t="s">
        <v>420</v>
      </c>
      <c r="B123" s="5" t="s">
        <v>20</v>
      </c>
      <c r="C123" s="6" t="s">
        <v>336</v>
      </c>
      <c r="D123" s="5" t="s">
        <v>361</v>
      </c>
      <c r="E123" s="5" t="s">
        <v>109</v>
      </c>
      <c r="F123" s="5" t="s">
        <v>31</v>
      </c>
      <c r="G123" s="5" t="s">
        <v>54</v>
      </c>
      <c r="H123" s="5" t="s">
        <v>35</v>
      </c>
      <c r="I123" s="6">
        <v>1.0</v>
      </c>
      <c r="J123" s="8">
        <v>28.17</v>
      </c>
      <c r="K123" s="5" t="str">
        <f t="shared" si="1"/>
        <v>Bengaluru -&gt; Mumbai</v>
      </c>
    </row>
    <row r="124" ht="15.75" customHeight="1">
      <c r="A124" s="5" t="s">
        <v>424</v>
      </c>
      <c r="B124" s="5" t="s">
        <v>45</v>
      </c>
      <c r="C124" s="6" t="s">
        <v>425</v>
      </c>
      <c r="D124" s="5" t="s">
        <v>361</v>
      </c>
      <c r="E124" s="5" t="s">
        <v>109</v>
      </c>
      <c r="F124" s="5" t="s">
        <v>31</v>
      </c>
      <c r="G124" s="5" t="s">
        <v>47</v>
      </c>
      <c r="H124" s="5" t="s">
        <v>54</v>
      </c>
      <c r="I124" s="6">
        <v>1.0</v>
      </c>
      <c r="J124" s="8">
        <v>6.67</v>
      </c>
      <c r="K124" s="5" t="str">
        <f t="shared" si="1"/>
        <v>Bengaluru -&gt; Mumbai</v>
      </c>
    </row>
    <row r="125" ht="15.75" customHeight="1">
      <c r="A125" s="5" t="s">
        <v>428</v>
      </c>
      <c r="B125" s="5" t="s">
        <v>45</v>
      </c>
      <c r="C125" s="6" t="s">
        <v>429</v>
      </c>
      <c r="D125" s="5" t="s">
        <v>361</v>
      </c>
      <c r="E125" s="5" t="s">
        <v>109</v>
      </c>
      <c r="F125" s="5" t="s">
        <v>31</v>
      </c>
      <c r="G125" s="5" t="s">
        <v>33</v>
      </c>
      <c r="H125" s="5" t="s">
        <v>33</v>
      </c>
      <c r="I125" s="6">
        <v>1.0</v>
      </c>
      <c r="J125" s="8">
        <v>26.08</v>
      </c>
      <c r="K125" s="5" t="str">
        <f t="shared" si="1"/>
        <v>Bengaluru -&gt; Mumbai</v>
      </c>
    </row>
    <row r="126" ht="15.75" customHeight="1">
      <c r="A126" s="5" t="s">
        <v>430</v>
      </c>
      <c r="B126" s="5" t="s">
        <v>45</v>
      </c>
      <c r="C126" s="6" t="s">
        <v>433</v>
      </c>
      <c r="D126" s="5" t="s">
        <v>361</v>
      </c>
      <c r="E126" s="5" t="s">
        <v>109</v>
      </c>
      <c r="F126" s="5" t="s">
        <v>31</v>
      </c>
      <c r="G126" s="5" t="s">
        <v>33</v>
      </c>
      <c r="H126" s="5" t="s">
        <v>35</v>
      </c>
      <c r="I126" s="6">
        <v>1.0</v>
      </c>
      <c r="J126" s="8">
        <v>14.75</v>
      </c>
      <c r="K126" s="5" t="str">
        <f t="shared" si="1"/>
        <v>Bengaluru -&gt; Mumbai</v>
      </c>
    </row>
    <row r="127" ht="15.75" customHeight="1">
      <c r="A127" s="5" t="s">
        <v>434</v>
      </c>
      <c r="B127" s="5" t="s">
        <v>45</v>
      </c>
      <c r="C127" s="6" t="s">
        <v>435</v>
      </c>
      <c r="D127" s="5" t="s">
        <v>361</v>
      </c>
      <c r="E127" s="5" t="s">
        <v>109</v>
      </c>
      <c r="F127" s="5" t="s">
        <v>31</v>
      </c>
      <c r="G127" s="5" t="s">
        <v>54</v>
      </c>
      <c r="H127" s="5" t="s">
        <v>33</v>
      </c>
      <c r="I127" s="6">
        <v>1.0</v>
      </c>
      <c r="J127" s="8">
        <v>15.92</v>
      </c>
      <c r="K127" s="5" t="str">
        <f t="shared" si="1"/>
        <v>Bengaluru -&gt; Mumbai</v>
      </c>
    </row>
    <row r="128" ht="15.75" customHeight="1">
      <c r="A128" s="5" t="s">
        <v>438</v>
      </c>
      <c r="B128" s="5" t="s">
        <v>20</v>
      </c>
      <c r="C128" s="6" t="s">
        <v>439</v>
      </c>
      <c r="D128" s="5" t="s">
        <v>361</v>
      </c>
      <c r="E128" s="5" t="s">
        <v>109</v>
      </c>
      <c r="F128" s="5" t="s">
        <v>31</v>
      </c>
      <c r="G128" s="5" t="s">
        <v>33</v>
      </c>
      <c r="H128" s="5" t="s">
        <v>35</v>
      </c>
      <c r="I128" s="6" t="s">
        <v>180</v>
      </c>
      <c r="J128" s="8">
        <v>8.58</v>
      </c>
      <c r="K128" s="5" t="str">
        <f t="shared" si="1"/>
        <v>Bengaluru -&gt; Mumbai</v>
      </c>
    </row>
    <row r="129" ht="15.75" customHeight="1">
      <c r="A129" s="5" t="s">
        <v>440</v>
      </c>
      <c r="B129" s="5" t="s">
        <v>45</v>
      </c>
      <c r="C129" s="6" t="s">
        <v>441</v>
      </c>
      <c r="D129" s="5" t="s">
        <v>361</v>
      </c>
      <c r="E129" s="5" t="s">
        <v>109</v>
      </c>
      <c r="F129" s="5" t="s">
        <v>31</v>
      </c>
      <c r="G129" s="5" t="s">
        <v>54</v>
      </c>
      <c r="H129" s="5" t="s">
        <v>35</v>
      </c>
      <c r="I129" s="6">
        <v>1.0</v>
      </c>
      <c r="J129" s="8">
        <v>27.42</v>
      </c>
      <c r="K129" s="5" t="str">
        <f t="shared" si="1"/>
        <v>Bengaluru -&gt; Mumbai</v>
      </c>
    </row>
    <row r="130" ht="15.75" customHeight="1">
      <c r="A130" s="5" t="s">
        <v>444</v>
      </c>
      <c r="B130" s="5" t="s">
        <v>43</v>
      </c>
      <c r="C130" s="6" t="s">
        <v>445</v>
      </c>
      <c r="D130" s="5" t="s">
        <v>361</v>
      </c>
      <c r="E130" s="5" t="s">
        <v>109</v>
      </c>
      <c r="F130" s="5" t="s">
        <v>31</v>
      </c>
      <c r="G130" s="5" t="s">
        <v>47</v>
      </c>
      <c r="H130" s="5" t="s">
        <v>35</v>
      </c>
      <c r="I130" s="6">
        <v>1.0</v>
      </c>
      <c r="J130" s="8">
        <v>8.67</v>
      </c>
      <c r="K130" s="5" t="str">
        <f t="shared" si="1"/>
        <v>Bengaluru -&gt; Mumbai</v>
      </c>
    </row>
    <row r="131" ht="15.75" customHeight="1">
      <c r="A131" s="5" t="s">
        <v>447</v>
      </c>
      <c r="B131" s="5" t="s">
        <v>20</v>
      </c>
      <c r="C131" s="6" t="s">
        <v>376</v>
      </c>
      <c r="D131" s="5" t="s">
        <v>361</v>
      </c>
      <c r="E131" s="5" t="s">
        <v>109</v>
      </c>
      <c r="F131" s="5" t="s">
        <v>31</v>
      </c>
      <c r="G131" s="5" t="s">
        <v>33</v>
      </c>
      <c r="H131" s="5" t="s">
        <v>35</v>
      </c>
      <c r="I131" s="6">
        <v>1.0</v>
      </c>
      <c r="J131" s="8">
        <v>13.08</v>
      </c>
      <c r="K131" s="5" t="str">
        <f t="shared" si="1"/>
        <v>Bengaluru -&gt; Mumbai</v>
      </c>
    </row>
    <row r="132" ht="15.75" customHeight="1">
      <c r="A132" s="5" t="s">
        <v>449</v>
      </c>
      <c r="B132" s="5" t="s">
        <v>43</v>
      </c>
      <c r="C132" s="6" t="s">
        <v>450</v>
      </c>
      <c r="D132" s="5" t="s">
        <v>361</v>
      </c>
      <c r="E132" s="5" t="s">
        <v>109</v>
      </c>
      <c r="F132" s="5" t="s">
        <v>31</v>
      </c>
      <c r="G132" s="5" t="s">
        <v>47</v>
      </c>
      <c r="H132" s="5" t="s">
        <v>35</v>
      </c>
      <c r="I132" s="6">
        <v>1.0</v>
      </c>
      <c r="J132" s="8">
        <v>6.0</v>
      </c>
      <c r="K132" s="5" t="str">
        <f t="shared" si="1"/>
        <v>Bengaluru -&gt; Mumbai</v>
      </c>
    </row>
    <row r="133" ht="15.75" customHeight="1">
      <c r="A133" s="5" t="s">
        <v>454</v>
      </c>
      <c r="B133" s="5" t="s">
        <v>20</v>
      </c>
      <c r="C133" s="6" t="s">
        <v>376</v>
      </c>
      <c r="D133" s="5" t="s">
        <v>361</v>
      </c>
      <c r="E133" s="5" t="s">
        <v>109</v>
      </c>
      <c r="F133" s="5" t="s">
        <v>31</v>
      </c>
      <c r="G133" s="5" t="s">
        <v>33</v>
      </c>
      <c r="H133" s="5" t="s">
        <v>33</v>
      </c>
      <c r="I133" s="6">
        <v>1.0</v>
      </c>
      <c r="J133" s="8">
        <v>25.75</v>
      </c>
      <c r="K133" s="5" t="str">
        <f t="shared" si="1"/>
        <v>Bengaluru -&gt; Mumbai</v>
      </c>
    </row>
    <row r="134" ht="15.75" customHeight="1">
      <c r="A134" s="5" t="s">
        <v>457</v>
      </c>
      <c r="B134" s="5" t="s">
        <v>45</v>
      </c>
      <c r="C134" s="6" t="s">
        <v>425</v>
      </c>
      <c r="D134" s="5" t="s">
        <v>361</v>
      </c>
      <c r="E134" s="5" t="s">
        <v>109</v>
      </c>
      <c r="F134" s="5" t="s">
        <v>31</v>
      </c>
      <c r="G134" s="5" t="s">
        <v>47</v>
      </c>
      <c r="H134" s="5" t="s">
        <v>47</v>
      </c>
      <c r="I134" s="6">
        <v>1.0</v>
      </c>
      <c r="J134" s="8">
        <v>23.5</v>
      </c>
      <c r="K134" s="5" t="str">
        <f t="shared" si="1"/>
        <v>Bengaluru -&gt; Mumbai</v>
      </c>
    </row>
    <row r="135" ht="15.75" customHeight="1">
      <c r="A135" s="5" t="s">
        <v>460</v>
      </c>
      <c r="B135" s="5" t="s">
        <v>58</v>
      </c>
      <c r="C135" s="6" t="s">
        <v>461</v>
      </c>
      <c r="D135" s="5" t="s">
        <v>361</v>
      </c>
      <c r="E135" s="5" t="s">
        <v>109</v>
      </c>
      <c r="F135" s="5" t="s">
        <v>31</v>
      </c>
      <c r="G135" s="5" t="s">
        <v>47</v>
      </c>
      <c r="H135" s="5" t="s">
        <v>35</v>
      </c>
      <c r="I135" s="6">
        <v>1.0</v>
      </c>
      <c r="J135" s="8">
        <v>6.33</v>
      </c>
      <c r="K135" s="5" t="str">
        <f t="shared" si="1"/>
        <v>Bengaluru -&gt; Mumbai</v>
      </c>
    </row>
    <row r="136" ht="15.75" customHeight="1">
      <c r="A136" s="5" t="s">
        <v>462</v>
      </c>
      <c r="B136" s="5" t="s">
        <v>45</v>
      </c>
      <c r="C136" s="6" t="s">
        <v>465</v>
      </c>
      <c r="D136" s="5" t="s">
        <v>361</v>
      </c>
      <c r="E136" s="5" t="s">
        <v>109</v>
      </c>
      <c r="F136" s="5" t="s">
        <v>31</v>
      </c>
      <c r="G136" s="5" t="s">
        <v>54</v>
      </c>
      <c r="H136" s="5" t="s">
        <v>35</v>
      </c>
      <c r="I136" s="6">
        <v>1.0</v>
      </c>
      <c r="J136" s="8">
        <v>5.58</v>
      </c>
      <c r="K136" s="5" t="str">
        <f t="shared" si="1"/>
        <v>Bengaluru -&gt; Mumbai</v>
      </c>
    </row>
    <row r="137" ht="15.75" customHeight="1">
      <c r="A137" s="5" t="s">
        <v>466</v>
      </c>
      <c r="B137" s="5" t="s">
        <v>20</v>
      </c>
      <c r="C137" s="6" t="s">
        <v>467</v>
      </c>
      <c r="D137" s="5" t="s">
        <v>361</v>
      </c>
      <c r="E137" s="5" t="s">
        <v>109</v>
      </c>
      <c r="F137" s="5" t="s">
        <v>31</v>
      </c>
      <c r="G137" s="5" t="s">
        <v>33</v>
      </c>
      <c r="H137" s="5" t="s">
        <v>35</v>
      </c>
      <c r="I137" s="6">
        <v>1.0</v>
      </c>
      <c r="J137" s="8">
        <v>14.0</v>
      </c>
      <c r="K137" s="5" t="str">
        <f t="shared" si="1"/>
        <v>Bengaluru -&gt; Mumbai</v>
      </c>
    </row>
    <row r="138" ht="15.75" customHeight="1">
      <c r="A138" s="5" t="s">
        <v>470</v>
      </c>
      <c r="B138" s="5" t="s">
        <v>20</v>
      </c>
      <c r="C138" s="6" t="s">
        <v>376</v>
      </c>
      <c r="D138" s="5" t="s">
        <v>361</v>
      </c>
      <c r="E138" s="5" t="s">
        <v>109</v>
      </c>
      <c r="F138" s="5" t="s">
        <v>31</v>
      </c>
      <c r="G138" s="5" t="s">
        <v>33</v>
      </c>
      <c r="H138" s="5" t="s">
        <v>54</v>
      </c>
      <c r="I138" s="6">
        <v>1.0</v>
      </c>
      <c r="J138" s="8">
        <v>9.33</v>
      </c>
      <c r="K138" s="5" t="str">
        <f t="shared" si="1"/>
        <v>Bengaluru -&gt; Mumbai</v>
      </c>
    </row>
    <row r="139" ht="15.75" customHeight="1">
      <c r="A139" s="5" t="s">
        <v>472</v>
      </c>
      <c r="B139" s="5" t="s">
        <v>29</v>
      </c>
      <c r="C139" s="6" t="s">
        <v>474</v>
      </c>
      <c r="D139" s="5" t="s">
        <v>361</v>
      </c>
      <c r="E139" s="5" t="s">
        <v>109</v>
      </c>
      <c r="F139" s="5" t="s">
        <v>31</v>
      </c>
      <c r="G139" s="5" t="s">
        <v>47</v>
      </c>
      <c r="H139" s="5" t="s">
        <v>54</v>
      </c>
      <c r="I139" s="6">
        <v>1.0</v>
      </c>
      <c r="J139" s="8">
        <v>6.67</v>
      </c>
      <c r="K139" s="5" t="str">
        <f t="shared" si="1"/>
        <v>Bengaluru -&gt; Mumbai</v>
      </c>
    </row>
    <row r="140" ht="15.75" customHeight="1">
      <c r="A140" s="5" t="s">
        <v>476</v>
      </c>
      <c r="B140" s="5" t="s">
        <v>20</v>
      </c>
      <c r="C140" s="6" t="s">
        <v>467</v>
      </c>
      <c r="D140" s="5" t="s">
        <v>361</v>
      </c>
      <c r="E140" s="5" t="s">
        <v>109</v>
      </c>
      <c r="F140" s="5" t="s">
        <v>31</v>
      </c>
      <c r="G140" s="5" t="s">
        <v>33</v>
      </c>
      <c r="H140" s="5" t="s">
        <v>35</v>
      </c>
      <c r="I140" s="6">
        <v>1.0</v>
      </c>
      <c r="J140" s="8">
        <v>13.25</v>
      </c>
      <c r="K140" s="5" t="str">
        <f t="shared" si="1"/>
        <v>Bengaluru -&gt; Mumbai</v>
      </c>
    </row>
    <row r="141" ht="15.75" customHeight="1">
      <c r="A141" s="5" t="s">
        <v>479</v>
      </c>
      <c r="B141" s="5" t="s">
        <v>20</v>
      </c>
      <c r="C141" s="6" t="s">
        <v>480</v>
      </c>
      <c r="D141" s="5" t="s">
        <v>361</v>
      </c>
      <c r="E141" s="5" t="s">
        <v>109</v>
      </c>
      <c r="F141" s="5" t="s">
        <v>31</v>
      </c>
      <c r="G141" s="5" t="s">
        <v>33</v>
      </c>
      <c r="H141" s="5" t="s">
        <v>33</v>
      </c>
      <c r="I141" s="6">
        <v>1.0</v>
      </c>
      <c r="J141" s="8">
        <v>28.5</v>
      </c>
      <c r="K141" s="5" t="str">
        <f t="shared" si="1"/>
        <v>Bengaluru -&gt; Mumbai</v>
      </c>
    </row>
    <row r="142" ht="15.75" customHeight="1">
      <c r="A142" s="5" t="s">
        <v>483</v>
      </c>
      <c r="B142" s="5" t="s">
        <v>43</v>
      </c>
      <c r="C142" s="6" t="s">
        <v>345</v>
      </c>
      <c r="D142" s="5" t="s">
        <v>361</v>
      </c>
      <c r="E142" s="5" t="s">
        <v>109</v>
      </c>
      <c r="F142" s="5" t="s">
        <v>31</v>
      </c>
      <c r="G142" s="5" t="s">
        <v>33</v>
      </c>
      <c r="H142" s="5" t="s">
        <v>54</v>
      </c>
      <c r="I142" s="6">
        <v>1.0</v>
      </c>
      <c r="J142" s="8">
        <v>9.42</v>
      </c>
      <c r="K142" s="5" t="str">
        <f t="shared" si="1"/>
        <v>Bengaluru -&gt; Mumbai</v>
      </c>
    </row>
    <row r="143" ht="15.75" customHeight="1">
      <c r="A143" s="5" t="s">
        <v>484</v>
      </c>
      <c r="B143" s="5" t="s">
        <v>43</v>
      </c>
      <c r="C143" s="6" t="s">
        <v>486</v>
      </c>
      <c r="D143" s="5" t="s">
        <v>361</v>
      </c>
      <c r="E143" s="5" t="s">
        <v>109</v>
      </c>
      <c r="F143" s="5" t="s">
        <v>31</v>
      </c>
      <c r="G143" s="5" t="s">
        <v>35</v>
      </c>
      <c r="H143" s="5" t="s">
        <v>33</v>
      </c>
      <c r="I143" s="6">
        <v>1.0</v>
      </c>
      <c r="J143" s="8">
        <v>7.83</v>
      </c>
      <c r="K143" s="5" t="str">
        <f t="shared" si="1"/>
        <v>Bengaluru -&gt; Mumbai</v>
      </c>
    </row>
    <row r="144" ht="15.75" customHeight="1">
      <c r="A144" s="5" t="s">
        <v>488</v>
      </c>
      <c r="B144" s="5" t="s">
        <v>58</v>
      </c>
      <c r="C144" s="6" t="s">
        <v>489</v>
      </c>
      <c r="D144" s="5" t="s">
        <v>361</v>
      </c>
      <c r="E144" s="5" t="s">
        <v>109</v>
      </c>
      <c r="F144" s="5" t="s">
        <v>31</v>
      </c>
      <c r="G144" s="5" t="s">
        <v>35</v>
      </c>
      <c r="H144" s="5" t="s">
        <v>33</v>
      </c>
      <c r="I144" s="6">
        <v>1.0</v>
      </c>
      <c r="J144" s="8">
        <v>11.92</v>
      </c>
      <c r="K144" s="5" t="str">
        <f t="shared" si="1"/>
        <v>Bengaluru -&gt; Mumbai</v>
      </c>
    </row>
    <row r="145" ht="15.75" customHeight="1">
      <c r="A145" s="5" t="s">
        <v>491</v>
      </c>
      <c r="B145" s="5" t="s">
        <v>20</v>
      </c>
      <c r="C145" s="6" t="s">
        <v>363</v>
      </c>
      <c r="D145" s="5" t="s">
        <v>361</v>
      </c>
      <c r="E145" s="5" t="s">
        <v>109</v>
      </c>
      <c r="F145" s="5" t="s">
        <v>31</v>
      </c>
      <c r="G145" s="5" t="s">
        <v>35</v>
      </c>
      <c r="H145" s="5" t="s">
        <v>33</v>
      </c>
      <c r="I145" s="6">
        <v>1.0</v>
      </c>
      <c r="J145" s="8">
        <v>14.0</v>
      </c>
      <c r="K145" s="5" t="str">
        <f t="shared" si="1"/>
        <v>Bengaluru -&gt; Mumbai</v>
      </c>
    </row>
    <row r="146" ht="15.75" customHeight="1">
      <c r="A146" s="5" t="s">
        <v>493</v>
      </c>
      <c r="B146" s="5" t="s">
        <v>45</v>
      </c>
      <c r="C146" s="6" t="s">
        <v>429</v>
      </c>
      <c r="D146" s="5" t="s">
        <v>361</v>
      </c>
      <c r="E146" s="5" t="s">
        <v>109</v>
      </c>
      <c r="F146" s="5" t="s">
        <v>31</v>
      </c>
      <c r="G146" s="5" t="s">
        <v>33</v>
      </c>
      <c r="H146" s="5" t="s">
        <v>35</v>
      </c>
      <c r="I146" s="6">
        <v>1.0</v>
      </c>
      <c r="J146" s="8">
        <v>13.67</v>
      </c>
      <c r="K146" s="5" t="str">
        <f t="shared" si="1"/>
        <v>Bengaluru -&gt; Mumbai</v>
      </c>
    </row>
    <row r="147" ht="15.75" customHeight="1">
      <c r="A147" s="5" t="s">
        <v>496</v>
      </c>
      <c r="B147" s="5" t="s">
        <v>20</v>
      </c>
      <c r="C147" s="6" t="s">
        <v>480</v>
      </c>
      <c r="D147" s="5" t="s">
        <v>361</v>
      </c>
      <c r="E147" s="5" t="s">
        <v>109</v>
      </c>
      <c r="F147" s="5" t="s">
        <v>31</v>
      </c>
      <c r="G147" s="5" t="s">
        <v>33</v>
      </c>
      <c r="H147" s="5" t="s">
        <v>35</v>
      </c>
      <c r="I147" s="6">
        <v>1.0</v>
      </c>
      <c r="J147" s="8">
        <v>16.0</v>
      </c>
      <c r="K147" s="5" t="str">
        <f t="shared" si="1"/>
        <v>Bengaluru -&gt; Mumbai</v>
      </c>
    </row>
    <row r="148" ht="15.75" customHeight="1">
      <c r="A148" s="5" t="s">
        <v>498</v>
      </c>
      <c r="B148" s="5" t="s">
        <v>45</v>
      </c>
      <c r="C148" s="6" t="s">
        <v>500</v>
      </c>
      <c r="D148" s="5" t="s">
        <v>361</v>
      </c>
      <c r="E148" s="5" t="s">
        <v>109</v>
      </c>
      <c r="F148" s="5" t="s">
        <v>31</v>
      </c>
      <c r="G148" s="5" t="s">
        <v>33</v>
      </c>
      <c r="H148" s="5" t="s">
        <v>35</v>
      </c>
      <c r="I148" s="6">
        <v>1.0</v>
      </c>
      <c r="J148" s="8">
        <v>15.83</v>
      </c>
      <c r="K148" s="5" t="str">
        <f t="shared" si="1"/>
        <v>Bengaluru -&gt; Mumbai</v>
      </c>
    </row>
    <row r="149" ht="15.75" customHeight="1">
      <c r="A149" s="5" t="s">
        <v>501</v>
      </c>
      <c r="B149" s="5" t="s">
        <v>20</v>
      </c>
      <c r="C149" s="6" t="s">
        <v>336</v>
      </c>
      <c r="D149" s="5" t="s">
        <v>361</v>
      </c>
      <c r="E149" s="5" t="s">
        <v>109</v>
      </c>
      <c r="F149" s="5" t="s">
        <v>31</v>
      </c>
      <c r="G149" s="5" t="s">
        <v>54</v>
      </c>
      <c r="H149" s="5" t="s">
        <v>35</v>
      </c>
      <c r="I149" s="6">
        <v>1.0</v>
      </c>
      <c r="J149" s="8">
        <v>27.17</v>
      </c>
      <c r="K149" s="5" t="str">
        <f t="shared" si="1"/>
        <v>Bengaluru -&gt; Mumbai</v>
      </c>
    </row>
    <row r="150" ht="15.75" customHeight="1">
      <c r="A150" s="5" t="s">
        <v>505</v>
      </c>
      <c r="B150" s="5" t="s">
        <v>20</v>
      </c>
      <c r="C150" s="6" t="s">
        <v>506</v>
      </c>
      <c r="D150" s="5" t="s">
        <v>361</v>
      </c>
      <c r="E150" s="5" t="s">
        <v>109</v>
      </c>
      <c r="F150" s="5" t="s">
        <v>31</v>
      </c>
      <c r="G150" s="5" t="s">
        <v>33</v>
      </c>
      <c r="H150" s="5" t="s">
        <v>33</v>
      </c>
      <c r="I150" s="6">
        <v>1.0</v>
      </c>
      <c r="J150" s="8">
        <v>26.08</v>
      </c>
      <c r="K150" s="5" t="str">
        <f t="shared" si="1"/>
        <v>Bengaluru -&gt; Mumbai</v>
      </c>
    </row>
    <row r="151" ht="15.75" customHeight="1">
      <c r="A151" s="5" t="s">
        <v>508</v>
      </c>
      <c r="B151" s="5" t="s">
        <v>43</v>
      </c>
      <c r="C151" s="6" t="s">
        <v>345</v>
      </c>
      <c r="D151" s="5" t="s">
        <v>361</v>
      </c>
      <c r="E151" s="5" t="s">
        <v>109</v>
      </c>
      <c r="F151" s="5" t="s">
        <v>31</v>
      </c>
      <c r="G151" s="5" t="s">
        <v>33</v>
      </c>
      <c r="H151" s="5" t="s">
        <v>47</v>
      </c>
      <c r="I151" s="6">
        <v>1.0</v>
      </c>
      <c r="J151" s="8">
        <v>5.08</v>
      </c>
      <c r="K151" s="5" t="str">
        <f t="shared" si="1"/>
        <v>Bengaluru -&gt; Mumbai</v>
      </c>
    </row>
    <row r="152" ht="15.75" customHeight="1">
      <c r="A152" s="5" t="s">
        <v>510</v>
      </c>
      <c r="B152" s="5" t="s">
        <v>20</v>
      </c>
      <c r="C152" s="6" t="s">
        <v>376</v>
      </c>
      <c r="D152" s="5" t="s">
        <v>361</v>
      </c>
      <c r="E152" s="5" t="s">
        <v>109</v>
      </c>
      <c r="F152" s="5" t="s">
        <v>31</v>
      </c>
      <c r="G152" s="5" t="s">
        <v>33</v>
      </c>
      <c r="H152" s="5" t="s">
        <v>54</v>
      </c>
      <c r="I152" s="6">
        <v>1.0</v>
      </c>
      <c r="J152" s="8">
        <v>8.58</v>
      </c>
      <c r="K152" s="5" t="str">
        <f t="shared" si="1"/>
        <v>Bengaluru -&gt; Mumbai</v>
      </c>
    </row>
    <row r="153" ht="15.75" customHeight="1">
      <c r="A153" s="5" t="s">
        <v>514</v>
      </c>
      <c r="B153" s="5" t="s">
        <v>45</v>
      </c>
      <c r="C153" s="6" t="s">
        <v>287</v>
      </c>
      <c r="D153" s="5" t="s">
        <v>361</v>
      </c>
      <c r="E153" s="5" t="s">
        <v>109</v>
      </c>
      <c r="F153" s="5" t="s">
        <v>31</v>
      </c>
      <c r="G153" s="5" t="s">
        <v>47</v>
      </c>
      <c r="H153" s="5" t="s">
        <v>54</v>
      </c>
      <c r="I153" s="6">
        <v>1.0</v>
      </c>
      <c r="J153" s="8">
        <v>28.83</v>
      </c>
      <c r="K153" s="5" t="str">
        <f t="shared" si="1"/>
        <v>Bengaluru -&gt; Mumbai</v>
      </c>
    </row>
    <row r="154" ht="15.75" customHeight="1">
      <c r="A154" s="5" t="s">
        <v>517</v>
      </c>
      <c r="B154" s="5" t="s">
        <v>58</v>
      </c>
      <c r="C154" s="6" t="s">
        <v>519</v>
      </c>
      <c r="D154" s="5" t="s">
        <v>361</v>
      </c>
      <c r="E154" s="5" t="s">
        <v>109</v>
      </c>
      <c r="F154" s="5" t="s">
        <v>31</v>
      </c>
      <c r="G154" s="5" t="s">
        <v>35</v>
      </c>
      <c r="H154" s="5" t="s">
        <v>33</v>
      </c>
      <c r="I154" s="6">
        <v>1.0</v>
      </c>
      <c r="J154" s="8">
        <v>11.58</v>
      </c>
      <c r="K154" s="5" t="str">
        <f t="shared" si="1"/>
        <v>Bengaluru -&gt; Mumbai</v>
      </c>
    </row>
    <row r="155" ht="15.75" customHeight="1">
      <c r="A155" s="5" t="s">
        <v>521</v>
      </c>
      <c r="B155" s="5" t="s">
        <v>45</v>
      </c>
      <c r="C155" s="6" t="s">
        <v>522</v>
      </c>
      <c r="D155" s="5" t="s">
        <v>361</v>
      </c>
      <c r="E155" s="5" t="s">
        <v>109</v>
      </c>
      <c r="F155" s="5" t="s">
        <v>31</v>
      </c>
      <c r="G155" s="5" t="s">
        <v>33</v>
      </c>
      <c r="H155" s="5" t="s">
        <v>35</v>
      </c>
      <c r="I155" s="6">
        <v>1.0</v>
      </c>
      <c r="J155" s="8">
        <v>15.25</v>
      </c>
      <c r="K155" s="5" t="str">
        <f t="shared" si="1"/>
        <v>Bengaluru -&gt; Mumbai</v>
      </c>
    </row>
    <row r="156" ht="15.75" customHeight="1">
      <c r="A156" s="5" t="s">
        <v>525</v>
      </c>
      <c r="B156" s="5" t="s">
        <v>20</v>
      </c>
      <c r="C156" s="6" t="s">
        <v>506</v>
      </c>
      <c r="D156" s="5" t="s">
        <v>361</v>
      </c>
      <c r="E156" s="5" t="s">
        <v>109</v>
      </c>
      <c r="F156" s="5" t="s">
        <v>31</v>
      </c>
      <c r="G156" s="5" t="s">
        <v>33</v>
      </c>
      <c r="H156" s="5" t="s">
        <v>47</v>
      </c>
      <c r="I156" s="6">
        <v>1.0</v>
      </c>
      <c r="J156" s="8">
        <v>6.58</v>
      </c>
      <c r="K156" s="5" t="str">
        <f t="shared" si="1"/>
        <v>Bengaluru -&gt; Mumbai</v>
      </c>
    </row>
    <row r="157" ht="15.75" customHeight="1">
      <c r="A157" s="5" t="s">
        <v>530</v>
      </c>
      <c r="B157" s="5" t="s">
        <v>20</v>
      </c>
      <c r="C157" s="6" t="s">
        <v>480</v>
      </c>
      <c r="D157" s="5" t="s">
        <v>361</v>
      </c>
      <c r="E157" s="5" t="s">
        <v>109</v>
      </c>
      <c r="F157" s="5" t="s">
        <v>31</v>
      </c>
      <c r="G157" s="5" t="s">
        <v>33</v>
      </c>
      <c r="H157" s="5" t="s">
        <v>47</v>
      </c>
      <c r="I157" s="6">
        <v>1.0</v>
      </c>
      <c r="J157" s="8">
        <v>7.0</v>
      </c>
      <c r="K157" s="5" t="str">
        <f t="shared" si="1"/>
        <v>Bengaluru -&gt; Mumbai</v>
      </c>
    </row>
    <row r="158" ht="15.75" customHeight="1">
      <c r="A158" s="5" t="s">
        <v>534</v>
      </c>
      <c r="B158" s="5" t="s">
        <v>45</v>
      </c>
      <c r="C158" s="6" t="s">
        <v>425</v>
      </c>
      <c r="D158" s="5" t="s">
        <v>361</v>
      </c>
      <c r="E158" s="5" t="s">
        <v>109</v>
      </c>
      <c r="F158" s="5" t="s">
        <v>31</v>
      </c>
      <c r="G158" s="5" t="s">
        <v>47</v>
      </c>
      <c r="H158" s="5" t="s">
        <v>35</v>
      </c>
      <c r="I158" s="6">
        <v>1.0</v>
      </c>
      <c r="J158" s="8">
        <v>8.25</v>
      </c>
      <c r="K158" s="5" t="str">
        <f t="shared" si="1"/>
        <v>Bengaluru -&gt; Mumbai</v>
      </c>
    </row>
    <row r="159" ht="15.75" customHeight="1">
      <c r="A159" s="5" t="s">
        <v>537</v>
      </c>
      <c r="B159" s="5" t="s">
        <v>45</v>
      </c>
      <c r="C159" s="6" t="s">
        <v>522</v>
      </c>
      <c r="D159" s="5" t="s">
        <v>361</v>
      </c>
      <c r="E159" s="5" t="s">
        <v>109</v>
      </c>
      <c r="F159" s="5" t="s">
        <v>31</v>
      </c>
      <c r="G159" s="5" t="s">
        <v>33</v>
      </c>
      <c r="H159" s="5" t="s">
        <v>47</v>
      </c>
      <c r="I159" s="6">
        <v>1.0</v>
      </c>
      <c r="J159" s="8">
        <v>9.08</v>
      </c>
      <c r="K159" s="5" t="str">
        <f t="shared" si="1"/>
        <v>Bengaluru -&gt; Mumbai</v>
      </c>
    </row>
    <row r="160" ht="15.75" customHeight="1">
      <c r="A160" s="5" t="s">
        <v>541</v>
      </c>
      <c r="B160" s="5" t="s">
        <v>20</v>
      </c>
      <c r="C160" s="6" t="s">
        <v>306</v>
      </c>
      <c r="D160" s="5" t="s">
        <v>361</v>
      </c>
      <c r="E160" s="5" t="s">
        <v>109</v>
      </c>
      <c r="F160" s="5" t="s">
        <v>31</v>
      </c>
      <c r="G160" s="5" t="s">
        <v>33</v>
      </c>
      <c r="H160" s="5" t="s">
        <v>33</v>
      </c>
      <c r="I160" s="6">
        <v>0.0</v>
      </c>
      <c r="J160" s="8">
        <v>1.92</v>
      </c>
      <c r="K160" s="5" t="str">
        <f t="shared" si="1"/>
        <v>Bengaluru -&gt; Mumbai</v>
      </c>
    </row>
    <row r="161" ht="15.75" customHeight="1">
      <c r="A161" s="5" t="s">
        <v>545</v>
      </c>
      <c r="B161" s="5" t="s">
        <v>20</v>
      </c>
      <c r="C161" s="6" t="s">
        <v>467</v>
      </c>
      <c r="D161" s="5" t="s">
        <v>361</v>
      </c>
      <c r="E161" s="5" t="s">
        <v>109</v>
      </c>
      <c r="F161" s="5" t="s">
        <v>31</v>
      </c>
      <c r="G161" s="5" t="s">
        <v>33</v>
      </c>
      <c r="H161" s="5" t="s">
        <v>35</v>
      </c>
      <c r="I161" s="6">
        <v>1.0</v>
      </c>
      <c r="J161" s="8">
        <v>12.08</v>
      </c>
      <c r="K161" s="5" t="str">
        <f t="shared" si="1"/>
        <v>Bengaluru -&gt; Mumbai</v>
      </c>
    </row>
    <row r="162" ht="15.75" customHeight="1">
      <c r="A162" s="5" t="s">
        <v>548</v>
      </c>
      <c r="B162" s="5" t="s">
        <v>20</v>
      </c>
      <c r="C162" s="6" t="s">
        <v>318</v>
      </c>
      <c r="D162" s="5" t="s">
        <v>392</v>
      </c>
      <c r="E162" s="5" t="s">
        <v>109</v>
      </c>
      <c r="F162" s="5" t="s">
        <v>132</v>
      </c>
      <c r="G162" s="5" t="s">
        <v>54</v>
      </c>
      <c r="H162" s="5" t="s">
        <v>54</v>
      </c>
      <c r="I162" s="6" t="s">
        <v>180</v>
      </c>
      <c r="J162" s="8">
        <v>23.67</v>
      </c>
      <c r="K162" s="5" t="str">
        <f t="shared" si="1"/>
        <v>Bengaluru -&gt; Kolkata</v>
      </c>
    </row>
    <row r="163" ht="15.75" customHeight="1">
      <c r="A163" s="5" t="s">
        <v>550</v>
      </c>
      <c r="B163" s="5" t="s">
        <v>20</v>
      </c>
      <c r="C163" s="6" t="s">
        <v>310</v>
      </c>
      <c r="D163" s="5" t="s">
        <v>392</v>
      </c>
      <c r="E163" s="5" t="s">
        <v>109</v>
      </c>
      <c r="F163" s="5" t="s">
        <v>132</v>
      </c>
      <c r="G163" s="5" t="s">
        <v>54</v>
      </c>
      <c r="H163" s="5" t="s">
        <v>33</v>
      </c>
      <c r="I163" s="6">
        <v>1.0</v>
      </c>
      <c r="J163" s="8">
        <v>13.75</v>
      </c>
      <c r="K163" s="5" t="str">
        <f t="shared" si="1"/>
        <v>Bengaluru -&gt; Kolkata</v>
      </c>
    </row>
    <row r="164" ht="15.75" customHeight="1">
      <c r="A164" s="5" t="s">
        <v>553</v>
      </c>
      <c r="B164" s="5" t="s">
        <v>20</v>
      </c>
      <c r="C164" s="6" t="s">
        <v>467</v>
      </c>
      <c r="D164" s="5" t="s">
        <v>392</v>
      </c>
      <c r="E164" s="5" t="s">
        <v>109</v>
      </c>
      <c r="F164" s="5" t="s">
        <v>132</v>
      </c>
      <c r="G164" s="5" t="s">
        <v>33</v>
      </c>
      <c r="H164" s="5" t="s">
        <v>54</v>
      </c>
      <c r="I164" s="6">
        <v>1.0</v>
      </c>
      <c r="J164" s="8">
        <v>10.08</v>
      </c>
      <c r="K164" s="5" t="str">
        <f t="shared" si="1"/>
        <v>Bengaluru -&gt; Kolkata</v>
      </c>
    </row>
    <row r="165" ht="15.75" customHeight="1">
      <c r="A165" s="5" t="s">
        <v>558</v>
      </c>
      <c r="B165" s="5" t="s">
        <v>20</v>
      </c>
      <c r="C165" s="6" t="s">
        <v>506</v>
      </c>
      <c r="D165" s="5" t="s">
        <v>392</v>
      </c>
      <c r="E165" s="5" t="s">
        <v>109</v>
      </c>
      <c r="F165" s="5" t="s">
        <v>132</v>
      </c>
      <c r="G165" s="5" t="s">
        <v>33</v>
      </c>
      <c r="H165" s="5" t="s">
        <v>35</v>
      </c>
      <c r="I165" s="6" t="s">
        <v>180</v>
      </c>
      <c r="J165" s="8">
        <v>14.83</v>
      </c>
      <c r="K165" s="5" t="str">
        <f t="shared" si="1"/>
        <v>Bengaluru -&gt; Kolkata</v>
      </c>
    </row>
    <row r="166" ht="15.75" customHeight="1">
      <c r="A166" s="5" t="s">
        <v>560</v>
      </c>
      <c r="B166" s="5" t="s">
        <v>45</v>
      </c>
      <c r="C166" s="6" t="s">
        <v>562</v>
      </c>
      <c r="D166" s="5" t="s">
        <v>392</v>
      </c>
      <c r="E166" s="5" t="s">
        <v>109</v>
      </c>
      <c r="F166" s="5" t="s">
        <v>132</v>
      </c>
      <c r="G166" s="5" t="s">
        <v>54</v>
      </c>
      <c r="H166" s="5" t="s">
        <v>33</v>
      </c>
      <c r="I166" s="6">
        <v>1.0</v>
      </c>
      <c r="J166" s="8">
        <v>13.25</v>
      </c>
      <c r="K166" s="5" t="str">
        <f t="shared" si="1"/>
        <v>Bengaluru -&gt; Kolkata</v>
      </c>
    </row>
    <row r="167" ht="15.75" customHeight="1">
      <c r="A167" s="5" t="s">
        <v>563</v>
      </c>
      <c r="B167" s="5" t="s">
        <v>20</v>
      </c>
      <c r="C167" s="6" t="s">
        <v>363</v>
      </c>
      <c r="D167" s="5" t="s">
        <v>392</v>
      </c>
      <c r="E167" s="5" t="s">
        <v>109</v>
      </c>
      <c r="F167" s="5" t="s">
        <v>132</v>
      </c>
      <c r="G167" s="5" t="s">
        <v>35</v>
      </c>
      <c r="H167" s="5" t="s">
        <v>54</v>
      </c>
      <c r="I167" s="6">
        <v>1.0</v>
      </c>
      <c r="J167" s="8">
        <v>20.92</v>
      </c>
      <c r="K167" s="5" t="str">
        <f t="shared" si="1"/>
        <v>Bengaluru -&gt; Kolkata</v>
      </c>
    </row>
    <row r="168" ht="15.75" customHeight="1">
      <c r="A168" s="5" t="s">
        <v>565</v>
      </c>
      <c r="B168" s="5" t="s">
        <v>43</v>
      </c>
      <c r="C168" s="6" t="s">
        <v>566</v>
      </c>
      <c r="D168" s="5" t="s">
        <v>392</v>
      </c>
      <c r="E168" s="5" t="s">
        <v>109</v>
      </c>
      <c r="F168" s="5" t="s">
        <v>132</v>
      </c>
      <c r="G168" s="5" t="s">
        <v>33</v>
      </c>
      <c r="H168" s="5" t="s">
        <v>47</v>
      </c>
      <c r="I168" s="6">
        <v>1.0</v>
      </c>
      <c r="J168" s="8">
        <v>4.42</v>
      </c>
      <c r="K168" s="5" t="str">
        <f t="shared" si="1"/>
        <v>Bengaluru -&gt; Kolkata</v>
      </c>
    </row>
    <row r="169" ht="15.75" customHeight="1">
      <c r="A169" s="5" t="s">
        <v>567</v>
      </c>
      <c r="B169" s="5" t="s">
        <v>20</v>
      </c>
      <c r="C169" s="6" t="s">
        <v>568</v>
      </c>
      <c r="D169" s="5" t="s">
        <v>392</v>
      </c>
      <c r="E169" s="5" t="s">
        <v>109</v>
      </c>
      <c r="F169" s="5" t="s">
        <v>132</v>
      </c>
      <c r="G169" s="5" t="s">
        <v>33</v>
      </c>
      <c r="H169" s="5" t="s">
        <v>54</v>
      </c>
      <c r="I169" s="6">
        <v>1.0</v>
      </c>
      <c r="J169" s="8">
        <v>11.42</v>
      </c>
      <c r="K169" s="5" t="str">
        <f t="shared" si="1"/>
        <v>Bengaluru -&gt; Kolkata</v>
      </c>
    </row>
    <row r="170" ht="15.75" customHeight="1">
      <c r="A170" s="5" t="s">
        <v>571</v>
      </c>
      <c r="B170" s="5" t="s">
        <v>20</v>
      </c>
      <c r="C170" s="6" t="s">
        <v>480</v>
      </c>
      <c r="D170" s="5" t="s">
        <v>392</v>
      </c>
      <c r="E170" s="5" t="s">
        <v>109</v>
      </c>
      <c r="F170" s="5" t="s">
        <v>132</v>
      </c>
      <c r="G170" s="5" t="s">
        <v>33</v>
      </c>
      <c r="H170" s="5" t="s">
        <v>35</v>
      </c>
      <c r="I170" s="6">
        <v>1.0</v>
      </c>
      <c r="J170" s="8">
        <v>13.75</v>
      </c>
      <c r="K170" s="5" t="str">
        <f t="shared" si="1"/>
        <v>Bengaluru -&gt; Kolkata</v>
      </c>
    </row>
    <row r="171" ht="15.75" customHeight="1">
      <c r="A171" s="5" t="s">
        <v>574</v>
      </c>
      <c r="B171" s="5" t="s">
        <v>43</v>
      </c>
      <c r="C171" s="6" t="s">
        <v>345</v>
      </c>
      <c r="D171" s="5" t="s">
        <v>392</v>
      </c>
      <c r="E171" s="5" t="s">
        <v>109</v>
      </c>
      <c r="F171" s="5" t="s">
        <v>132</v>
      </c>
      <c r="G171" s="5" t="s">
        <v>33</v>
      </c>
      <c r="H171" s="5" t="s">
        <v>47</v>
      </c>
      <c r="I171" s="6" t="s">
        <v>180</v>
      </c>
      <c r="J171" s="8">
        <v>6.17</v>
      </c>
      <c r="K171" s="5" t="str">
        <f t="shared" si="1"/>
        <v>Bengaluru -&gt; Kolkata</v>
      </c>
    </row>
    <row r="172" ht="15.75" customHeight="1">
      <c r="A172" s="5" t="s">
        <v>575</v>
      </c>
      <c r="B172" s="5" t="s">
        <v>45</v>
      </c>
      <c r="C172" s="6" t="s">
        <v>578</v>
      </c>
      <c r="D172" s="5" t="s">
        <v>392</v>
      </c>
      <c r="E172" s="5" t="s">
        <v>109</v>
      </c>
      <c r="F172" s="5" t="s">
        <v>132</v>
      </c>
      <c r="G172" s="5" t="s">
        <v>33</v>
      </c>
      <c r="H172" s="5" t="s">
        <v>47</v>
      </c>
      <c r="I172" s="6">
        <v>1.0</v>
      </c>
      <c r="J172" s="8">
        <v>28.08</v>
      </c>
      <c r="K172" s="5" t="str">
        <f t="shared" si="1"/>
        <v>Bengaluru -&gt; Kolkata</v>
      </c>
    </row>
    <row r="173" ht="15.75" customHeight="1">
      <c r="A173" s="5" t="s">
        <v>581</v>
      </c>
      <c r="B173" s="5" t="s">
        <v>72</v>
      </c>
      <c r="C173" s="6" t="s">
        <v>582</v>
      </c>
      <c r="D173" s="5" t="s">
        <v>392</v>
      </c>
      <c r="E173" s="5" t="s">
        <v>109</v>
      </c>
      <c r="F173" s="5" t="s">
        <v>132</v>
      </c>
      <c r="G173" s="5" t="s">
        <v>54</v>
      </c>
      <c r="H173" s="5" t="s">
        <v>35</v>
      </c>
      <c r="I173" s="6">
        <v>0.0</v>
      </c>
      <c r="J173" s="8">
        <v>2.58</v>
      </c>
      <c r="K173" s="5" t="str">
        <f t="shared" si="1"/>
        <v>Bengaluru -&gt; Kolkata</v>
      </c>
    </row>
    <row r="174" ht="15.75" customHeight="1">
      <c r="A174" s="5" t="s">
        <v>583</v>
      </c>
      <c r="B174" s="5" t="s">
        <v>45</v>
      </c>
      <c r="C174" s="6" t="s">
        <v>341</v>
      </c>
      <c r="D174" s="5" t="s">
        <v>392</v>
      </c>
      <c r="E174" s="5" t="s">
        <v>109</v>
      </c>
      <c r="F174" s="5" t="s">
        <v>132</v>
      </c>
      <c r="G174" s="5" t="s">
        <v>33</v>
      </c>
      <c r="H174" s="5" t="s">
        <v>33</v>
      </c>
      <c r="I174" s="6">
        <v>1.0</v>
      </c>
      <c r="J174" s="8">
        <v>26.08</v>
      </c>
      <c r="K174" s="5" t="str">
        <f t="shared" si="1"/>
        <v>Bengaluru -&gt; Kolkata</v>
      </c>
    </row>
    <row r="175" ht="15.75" customHeight="1">
      <c r="A175" s="5" t="s">
        <v>586</v>
      </c>
      <c r="B175" s="5" t="s">
        <v>20</v>
      </c>
      <c r="C175" s="6" t="s">
        <v>568</v>
      </c>
      <c r="D175" s="5" t="s">
        <v>392</v>
      </c>
      <c r="E175" s="5" t="s">
        <v>109</v>
      </c>
      <c r="F175" s="5" t="s">
        <v>132</v>
      </c>
      <c r="G175" s="5" t="s">
        <v>33</v>
      </c>
      <c r="H175" s="5" t="s">
        <v>54</v>
      </c>
      <c r="I175" s="6">
        <v>1.0</v>
      </c>
      <c r="J175" s="8">
        <v>8.42</v>
      </c>
      <c r="K175" s="5" t="str">
        <f t="shared" si="1"/>
        <v>Bengaluru -&gt; Kolkata</v>
      </c>
    </row>
    <row r="176" ht="15.75" customHeight="1">
      <c r="A176" s="5" t="s">
        <v>587</v>
      </c>
      <c r="B176" s="5" t="s">
        <v>45</v>
      </c>
      <c r="C176" s="6" t="s">
        <v>287</v>
      </c>
      <c r="D176" s="5" t="s">
        <v>392</v>
      </c>
      <c r="E176" s="5" t="s">
        <v>109</v>
      </c>
      <c r="F176" s="5" t="s">
        <v>132</v>
      </c>
      <c r="G176" s="5" t="s">
        <v>47</v>
      </c>
      <c r="H176" s="5" t="s">
        <v>47</v>
      </c>
      <c r="I176" s="6">
        <v>1.0</v>
      </c>
      <c r="J176" s="8">
        <v>23.17</v>
      </c>
      <c r="K176" s="5" t="str">
        <f t="shared" si="1"/>
        <v>Bengaluru -&gt; Kolkata</v>
      </c>
    </row>
    <row r="177" ht="15.75" customHeight="1">
      <c r="A177" s="5" t="s">
        <v>591</v>
      </c>
      <c r="B177" s="5" t="s">
        <v>43</v>
      </c>
      <c r="C177" s="6" t="s">
        <v>450</v>
      </c>
      <c r="D177" s="5" t="s">
        <v>392</v>
      </c>
      <c r="E177" s="5" t="s">
        <v>109</v>
      </c>
      <c r="F177" s="5" t="s">
        <v>132</v>
      </c>
      <c r="G177" s="5" t="s">
        <v>47</v>
      </c>
      <c r="H177" s="5" t="s">
        <v>35</v>
      </c>
      <c r="I177" s="6">
        <v>1.0</v>
      </c>
      <c r="J177" s="8">
        <v>5.33</v>
      </c>
      <c r="K177" s="5" t="str">
        <f t="shared" si="1"/>
        <v>Bengaluru -&gt; Kolkata</v>
      </c>
    </row>
    <row r="178" ht="15.75" customHeight="1">
      <c r="A178" s="5" t="s">
        <v>594</v>
      </c>
      <c r="B178" s="5" t="s">
        <v>45</v>
      </c>
      <c r="C178" s="6" t="s">
        <v>595</v>
      </c>
      <c r="D178" s="5" t="s">
        <v>392</v>
      </c>
      <c r="E178" s="5" t="s">
        <v>109</v>
      </c>
      <c r="F178" s="5" t="s">
        <v>132</v>
      </c>
      <c r="G178" s="5" t="s">
        <v>33</v>
      </c>
      <c r="H178" s="5" t="s">
        <v>33</v>
      </c>
      <c r="I178" s="6">
        <v>1.0</v>
      </c>
      <c r="J178" s="8">
        <v>25.58</v>
      </c>
      <c r="K178" s="5" t="str">
        <f t="shared" si="1"/>
        <v>Bengaluru -&gt; Kolkata</v>
      </c>
    </row>
    <row r="179" ht="15.75" customHeight="1">
      <c r="A179" s="5" t="s">
        <v>598</v>
      </c>
      <c r="B179" s="5" t="s">
        <v>45</v>
      </c>
      <c r="C179" s="6" t="s">
        <v>425</v>
      </c>
      <c r="D179" s="5" t="s">
        <v>392</v>
      </c>
      <c r="E179" s="5" t="s">
        <v>109</v>
      </c>
      <c r="F179" s="5" t="s">
        <v>132</v>
      </c>
      <c r="G179" s="5" t="s">
        <v>47</v>
      </c>
      <c r="H179" s="5" t="s">
        <v>54</v>
      </c>
      <c r="I179" s="6">
        <v>1.0</v>
      </c>
      <c r="J179" s="8">
        <v>5.83</v>
      </c>
      <c r="K179" s="5" t="str">
        <f t="shared" si="1"/>
        <v>Bengaluru -&gt; Kolkata</v>
      </c>
    </row>
    <row r="180" ht="15.75" customHeight="1">
      <c r="A180" s="5" t="s">
        <v>601</v>
      </c>
      <c r="B180" s="5" t="s">
        <v>72</v>
      </c>
      <c r="C180" s="6" t="s">
        <v>602</v>
      </c>
      <c r="D180" s="5" t="s">
        <v>392</v>
      </c>
      <c r="E180" s="5" t="s">
        <v>109</v>
      </c>
      <c r="F180" s="5" t="s">
        <v>132</v>
      </c>
      <c r="G180" s="5" t="s">
        <v>33</v>
      </c>
      <c r="H180" s="5" t="s">
        <v>33</v>
      </c>
      <c r="I180" s="6">
        <v>0.0</v>
      </c>
      <c r="J180" s="8">
        <v>2.58</v>
      </c>
      <c r="K180" s="5" t="str">
        <f t="shared" si="1"/>
        <v>Bengaluru -&gt; Kolkata</v>
      </c>
    </row>
    <row r="181" ht="15.75" customHeight="1">
      <c r="A181" s="5" t="s">
        <v>603</v>
      </c>
      <c r="B181" s="5" t="s">
        <v>29</v>
      </c>
      <c r="C181" s="6" t="s">
        <v>606</v>
      </c>
      <c r="D181" s="5" t="s">
        <v>392</v>
      </c>
      <c r="E181" s="5" t="s">
        <v>109</v>
      </c>
      <c r="F181" s="5" t="s">
        <v>132</v>
      </c>
      <c r="G181" s="5" t="s">
        <v>54</v>
      </c>
      <c r="H181" s="5" t="s">
        <v>33</v>
      </c>
      <c r="I181" s="6">
        <v>1.0</v>
      </c>
      <c r="J181" s="8">
        <v>11.75</v>
      </c>
      <c r="K181" s="5" t="str">
        <f t="shared" si="1"/>
        <v>Bengaluru -&gt; Kolkata</v>
      </c>
    </row>
    <row r="182" ht="15.75" customHeight="1">
      <c r="A182" s="5" t="s">
        <v>607</v>
      </c>
      <c r="B182" s="5" t="s">
        <v>43</v>
      </c>
      <c r="C182" s="6" t="s">
        <v>608</v>
      </c>
      <c r="D182" s="5" t="s">
        <v>392</v>
      </c>
      <c r="E182" s="5" t="s">
        <v>109</v>
      </c>
      <c r="F182" s="5" t="s">
        <v>132</v>
      </c>
      <c r="G182" s="5" t="s">
        <v>33</v>
      </c>
      <c r="H182" s="5" t="s">
        <v>47</v>
      </c>
      <c r="I182" s="6">
        <v>1.0</v>
      </c>
      <c r="J182" s="8">
        <v>9.17</v>
      </c>
      <c r="K182" s="5" t="str">
        <f t="shared" si="1"/>
        <v>Bengaluru -&gt; Kolkata</v>
      </c>
    </row>
    <row r="183" ht="15.75" customHeight="1">
      <c r="A183" s="5" t="s">
        <v>611</v>
      </c>
      <c r="B183" s="5" t="s">
        <v>20</v>
      </c>
      <c r="C183" s="6" t="s">
        <v>612</v>
      </c>
      <c r="D183" s="5" t="s">
        <v>392</v>
      </c>
      <c r="E183" s="5" t="s">
        <v>109</v>
      </c>
      <c r="F183" s="5" t="s">
        <v>132</v>
      </c>
      <c r="G183" s="5" t="s">
        <v>54</v>
      </c>
      <c r="H183" s="5" t="s">
        <v>35</v>
      </c>
      <c r="I183" s="6">
        <v>1.0</v>
      </c>
      <c r="J183" s="8">
        <v>25.08</v>
      </c>
      <c r="K183" s="5" t="str">
        <f t="shared" si="1"/>
        <v>Bengaluru -&gt; Kolkata</v>
      </c>
    </row>
    <row r="184" ht="15.75" customHeight="1">
      <c r="A184" s="5" t="s">
        <v>613</v>
      </c>
      <c r="B184" s="5" t="s">
        <v>20</v>
      </c>
      <c r="C184" s="6" t="s">
        <v>568</v>
      </c>
      <c r="D184" s="5" t="s">
        <v>392</v>
      </c>
      <c r="E184" s="5" t="s">
        <v>109</v>
      </c>
      <c r="F184" s="5" t="s">
        <v>132</v>
      </c>
      <c r="G184" s="5" t="s">
        <v>33</v>
      </c>
      <c r="H184" s="5" t="s">
        <v>33</v>
      </c>
      <c r="I184" s="6">
        <v>1.0</v>
      </c>
      <c r="J184" s="8">
        <v>25.17</v>
      </c>
      <c r="K184" s="5" t="str">
        <f t="shared" si="1"/>
        <v>Bengaluru -&gt; Kolkata</v>
      </c>
    </row>
    <row r="185" ht="15.75" customHeight="1">
      <c r="A185" s="5" t="s">
        <v>617</v>
      </c>
      <c r="B185" s="5" t="s">
        <v>43</v>
      </c>
      <c r="C185" s="6" t="s">
        <v>618</v>
      </c>
      <c r="D185" s="5" t="s">
        <v>392</v>
      </c>
      <c r="E185" s="5" t="s">
        <v>109</v>
      </c>
      <c r="F185" s="5" t="s">
        <v>132</v>
      </c>
      <c r="G185" s="5" t="s">
        <v>35</v>
      </c>
      <c r="H185" s="5" t="s">
        <v>33</v>
      </c>
      <c r="I185" s="6">
        <v>1.0</v>
      </c>
      <c r="J185" s="8">
        <v>9.92</v>
      </c>
      <c r="K185" s="5" t="str">
        <f t="shared" si="1"/>
        <v>Bengaluru -&gt; Kolkata</v>
      </c>
    </row>
    <row r="186" ht="15.75" customHeight="1">
      <c r="A186" s="5" t="s">
        <v>619</v>
      </c>
      <c r="B186" s="5" t="s">
        <v>58</v>
      </c>
      <c r="C186" s="6" t="s">
        <v>380</v>
      </c>
      <c r="D186" s="5" t="s">
        <v>392</v>
      </c>
      <c r="E186" s="5" t="s">
        <v>109</v>
      </c>
      <c r="F186" s="5" t="s">
        <v>132</v>
      </c>
      <c r="G186" s="5" t="s">
        <v>33</v>
      </c>
      <c r="H186" s="5" t="s">
        <v>35</v>
      </c>
      <c r="I186" s="6">
        <v>1.0</v>
      </c>
      <c r="J186" s="8">
        <v>15.5</v>
      </c>
      <c r="K186" s="5" t="str">
        <f t="shared" si="1"/>
        <v>Bengaluru -&gt; Kolkata</v>
      </c>
    </row>
    <row r="187" ht="15.75" customHeight="1">
      <c r="A187" s="5" t="s">
        <v>622</v>
      </c>
      <c r="B187" s="5" t="s">
        <v>58</v>
      </c>
      <c r="C187" s="6" t="s">
        <v>623</v>
      </c>
      <c r="D187" s="5" t="s">
        <v>392</v>
      </c>
      <c r="E187" s="5" t="s">
        <v>109</v>
      </c>
      <c r="F187" s="5" t="s">
        <v>132</v>
      </c>
      <c r="G187" s="5" t="s">
        <v>54</v>
      </c>
      <c r="H187" s="5" t="s">
        <v>35</v>
      </c>
      <c r="I187" s="6">
        <v>1.0</v>
      </c>
      <c r="J187" s="8">
        <v>7.5</v>
      </c>
      <c r="K187" s="5" t="str">
        <f t="shared" si="1"/>
        <v>Bengaluru -&gt; Kolkata</v>
      </c>
    </row>
    <row r="188" ht="15.75" customHeight="1">
      <c r="A188" s="5" t="s">
        <v>626</v>
      </c>
      <c r="B188" s="5" t="s">
        <v>20</v>
      </c>
      <c r="C188" s="6" t="s">
        <v>336</v>
      </c>
      <c r="D188" s="5" t="s">
        <v>392</v>
      </c>
      <c r="E188" s="5" t="s">
        <v>109</v>
      </c>
      <c r="F188" s="5" t="s">
        <v>132</v>
      </c>
      <c r="G188" s="5" t="s">
        <v>54</v>
      </c>
      <c r="H188" s="5" t="s">
        <v>35</v>
      </c>
      <c r="I188" s="6">
        <v>1.0</v>
      </c>
      <c r="J188" s="8">
        <v>27.92</v>
      </c>
      <c r="K188" s="5" t="str">
        <f t="shared" si="1"/>
        <v>Bengaluru -&gt; Kolkata</v>
      </c>
    </row>
    <row r="189" ht="15.75" customHeight="1">
      <c r="A189" s="5" t="s">
        <v>627</v>
      </c>
      <c r="B189" s="5" t="s">
        <v>45</v>
      </c>
      <c r="C189" s="6" t="s">
        <v>628</v>
      </c>
      <c r="D189" s="5" t="s">
        <v>392</v>
      </c>
      <c r="E189" s="5" t="s">
        <v>109</v>
      </c>
      <c r="F189" s="5" t="s">
        <v>132</v>
      </c>
      <c r="G189" s="5" t="s">
        <v>33</v>
      </c>
      <c r="H189" s="5" t="s">
        <v>35</v>
      </c>
      <c r="I189" s="6">
        <v>1.0</v>
      </c>
      <c r="J189" s="8">
        <v>8.67</v>
      </c>
      <c r="K189" s="5" t="str">
        <f t="shared" si="1"/>
        <v>Bengaluru -&gt; Kolkata</v>
      </c>
    </row>
    <row r="190" ht="15.75" customHeight="1">
      <c r="A190" s="5" t="s">
        <v>630</v>
      </c>
      <c r="B190" s="5" t="s">
        <v>29</v>
      </c>
      <c r="C190" s="6" t="s">
        <v>631</v>
      </c>
      <c r="D190" s="5" t="s">
        <v>392</v>
      </c>
      <c r="E190" s="5" t="s">
        <v>109</v>
      </c>
      <c r="F190" s="5" t="s">
        <v>132</v>
      </c>
      <c r="G190" s="5" t="s">
        <v>54</v>
      </c>
      <c r="H190" s="5" t="s">
        <v>54</v>
      </c>
      <c r="I190" s="6">
        <v>0.0</v>
      </c>
      <c r="J190" s="8">
        <v>2.42</v>
      </c>
      <c r="K190" s="5" t="str">
        <f t="shared" si="1"/>
        <v>Bengaluru -&gt; Kolkata</v>
      </c>
    </row>
    <row r="191" ht="15.75" customHeight="1">
      <c r="A191" s="5" t="s">
        <v>633</v>
      </c>
      <c r="B191" s="5" t="s">
        <v>20</v>
      </c>
      <c r="C191" s="6" t="s">
        <v>336</v>
      </c>
      <c r="D191" s="5" t="s">
        <v>392</v>
      </c>
      <c r="E191" s="5" t="s">
        <v>109</v>
      </c>
      <c r="F191" s="5" t="s">
        <v>132</v>
      </c>
      <c r="G191" s="5" t="s">
        <v>54</v>
      </c>
      <c r="H191" s="5" t="s">
        <v>54</v>
      </c>
      <c r="I191" s="6">
        <v>1.0</v>
      </c>
      <c r="J191" s="8">
        <v>23.25</v>
      </c>
      <c r="K191" s="5" t="str">
        <f t="shared" si="1"/>
        <v>Bengaluru -&gt; Kolkata</v>
      </c>
    </row>
    <row r="192" ht="15.75" customHeight="1">
      <c r="A192" s="5" t="s">
        <v>634</v>
      </c>
      <c r="B192" s="5" t="s">
        <v>45</v>
      </c>
      <c r="C192" s="6" t="s">
        <v>425</v>
      </c>
      <c r="D192" s="5" t="s">
        <v>392</v>
      </c>
      <c r="E192" s="5" t="s">
        <v>109</v>
      </c>
      <c r="F192" s="5" t="s">
        <v>132</v>
      </c>
      <c r="G192" s="5" t="s">
        <v>47</v>
      </c>
      <c r="H192" s="5" t="s">
        <v>33</v>
      </c>
      <c r="I192" s="6">
        <v>1.0</v>
      </c>
      <c r="J192" s="8">
        <v>21.75</v>
      </c>
      <c r="K192" s="5" t="str">
        <f t="shared" si="1"/>
        <v>Bengaluru -&gt; Kolkata</v>
      </c>
    </row>
    <row r="193" ht="15.75" customHeight="1">
      <c r="A193" s="5" t="s">
        <v>637</v>
      </c>
      <c r="B193" s="5" t="s">
        <v>45</v>
      </c>
      <c r="C193" s="6" t="s">
        <v>638</v>
      </c>
      <c r="D193" s="5" t="s">
        <v>392</v>
      </c>
      <c r="E193" s="5" t="s">
        <v>109</v>
      </c>
      <c r="F193" s="5" t="s">
        <v>132</v>
      </c>
      <c r="G193" s="5" t="s">
        <v>33</v>
      </c>
      <c r="H193" s="5" t="s">
        <v>47</v>
      </c>
      <c r="I193" s="6">
        <v>1.0</v>
      </c>
      <c r="J193" s="8">
        <v>26.08</v>
      </c>
      <c r="K193" s="5" t="str">
        <f t="shared" si="1"/>
        <v>Bengaluru -&gt; Kolkata</v>
      </c>
    </row>
    <row r="194" ht="15.75" customHeight="1">
      <c r="A194" s="5" t="s">
        <v>639</v>
      </c>
      <c r="B194" s="5" t="s">
        <v>72</v>
      </c>
      <c r="C194" s="6" t="s">
        <v>641</v>
      </c>
      <c r="D194" s="5" t="s">
        <v>392</v>
      </c>
      <c r="E194" s="5" t="s">
        <v>109</v>
      </c>
      <c r="F194" s="5" t="s">
        <v>132</v>
      </c>
      <c r="G194" s="5" t="s">
        <v>33</v>
      </c>
      <c r="H194" s="5" t="s">
        <v>35</v>
      </c>
      <c r="I194" s="6">
        <v>1.0</v>
      </c>
      <c r="J194" s="8">
        <v>13.33</v>
      </c>
      <c r="K194" s="5" t="str">
        <f t="shared" si="1"/>
        <v>Bengaluru -&gt; Kolkata</v>
      </c>
    </row>
    <row r="195" ht="15.75" customHeight="1">
      <c r="A195" s="5" t="s">
        <v>643</v>
      </c>
      <c r="B195" s="5" t="s">
        <v>29</v>
      </c>
      <c r="C195" s="6" t="s">
        <v>644</v>
      </c>
      <c r="D195" s="5" t="s">
        <v>392</v>
      </c>
      <c r="E195" s="5" t="s">
        <v>109</v>
      </c>
      <c r="F195" s="5" t="s">
        <v>132</v>
      </c>
      <c r="G195" s="5" t="s">
        <v>47</v>
      </c>
      <c r="H195" s="5" t="s">
        <v>54</v>
      </c>
      <c r="I195" s="6">
        <v>0.0</v>
      </c>
      <c r="J195" s="8">
        <v>2.75</v>
      </c>
      <c r="K195" s="5" t="str">
        <f t="shared" si="1"/>
        <v>Bengaluru -&gt; Kolkata</v>
      </c>
    </row>
    <row r="196" ht="15.75" customHeight="1">
      <c r="A196" s="5" t="s">
        <v>646</v>
      </c>
      <c r="B196" s="5" t="s">
        <v>20</v>
      </c>
      <c r="C196" s="6" t="s">
        <v>363</v>
      </c>
      <c r="D196" s="5" t="s">
        <v>392</v>
      </c>
      <c r="E196" s="5" t="s">
        <v>109</v>
      </c>
      <c r="F196" s="5" t="s">
        <v>132</v>
      </c>
      <c r="G196" s="5" t="s">
        <v>35</v>
      </c>
      <c r="H196" s="5" t="s">
        <v>54</v>
      </c>
      <c r="I196" s="6">
        <v>1.0</v>
      </c>
      <c r="J196" s="8">
        <v>22.42</v>
      </c>
      <c r="K196" s="5" t="str">
        <f t="shared" si="1"/>
        <v>Bengaluru -&gt; Kolkata</v>
      </c>
    </row>
    <row r="197" ht="15.75" customHeight="1">
      <c r="A197" s="5" t="s">
        <v>647</v>
      </c>
      <c r="B197" s="5" t="s">
        <v>58</v>
      </c>
      <c r="C197" s="6" t="s">
        <v>328</v>
      </c>
      <c r="D197" s="5" t="s">
        <v>392</v>
      </c>
      <c r="E197" s="5" t="s">
        <v>109</v>
      </c>
      <c r="F197" s="5" t="s">
        <v>132</v>
      </c>
      <c r="G197" s="5" t="s">
        <v>33</v>
      </c>
      <c r="H197" s="5" t="s">
        <v>54</v>
      </c>
      <c r="I197" s="6">
        <v>1.0</v>
      </c>
      <c r="J197" s="8">
        <v>11.75</v>
      </c>
      <c r="K197" s="5" t="str">
        <f t="shared" si="1"/>
        <v>Bengaluru -&gt; Kolkata</v>
      </c>
    </row>
    <row r="198" ht="15.75" customHeight="1">
      <c r="A198" s="5" t="s">
        <v>650</v>
      </c>
      <c r="B198" s="5" t="s">
        <v>43</v>
      </c>
      <c r="C198" s="6" t="s">
        <v>651</v>
      </c>
      <c r="D198" s="5" t="s">
        <v>392</v>
      </c>
      <c r="E198" s="5" t="s">
        <v>109</v>
      </c>
      <c r="F198" s="5" t="s">
        <v>132</v>
      </c>
      <c r="G198" s="5" t="s">
        <v>47</v>
      </c>
      <c r="H198" s="5" t="s">
        <v>35</v>
      </c>
      <c r="I198" s="6" t="s">
        <v>66</v>
      </c>
      <c r="J198" s="8">
        <v>9.58</v>
      </c>
      <c r="K198" s="5" t="str">
        <f t="shared" si="1"/>
        <v>Bengaluru -&gt; Kolkata</v>
      </c>
    </row>
    <row r="199" ht="15.75" customHeight="1">
      <c r="A199" s="5" t="s">
        <v>652</v>
      </c>
      <c r="B199" s="5" t="s">
        <v>43</v>
      </c>
      <c r="C199" s="6" t="s">
        <v>653</v>
      </c>
      <c r="D199" s="5" t="s">
        <v>392</v>
      </c>
      <c r="E199" s="5" t="s">
        <v>109</v>
      </c>
      <c r="F199" s="5" t="s">
        <v>132</v>
      </c>
      <c r="G199" s="5" t="s">
        <v>33</v>
      </c>
      <c r="H199" s="5" t="s">
        <v>54</v>
      </c>
      <c r="I199" s="6">
        <v>1.0</v>
      </c>
      <c r="J199" s="8">
        <v>5.83</v>
      </c>
      <c r="K199" s="5" t="str">
        <f t="shared" si="1"/>
        <v>Bengaluru -&gt; Kolkata</v>
      </c>
    </row>
    <row r="200" ht="15.75" customHeight="1">
      <c r="A200" s="5" t="s">
        <v>656</v>
      </c>
      <c r="B200" s="5" t="s">
        <v>43</v>
      </c>
      <c r="C200" s="6" t="s">
        <v>657</v>
      </c>
      <c r="D200" s="5" t="s">
        <v>392</v>
      </c>
      <c r="E200" s="5" t="s">
        <v>109</v>
      </c>
      <c r="F200" s="5" t="s">
        <v>132</v>
      </c>
      <c r="G200" s="5" t="s">
        <v>33</v>
      </c>
      <c r="H200" s="5" t="s">
        <v>47</v>
      </c>
      <c r="I200" s="6">
        <v>1.0</v>
      </c>
      <c r="J200" s="8">
        <v>5.17</v>
      </c>
      <c r="K200" s="5" t="str">
        <f t="shared" si="1"/>
        <v>Bengaluru -&gt; Kolkata</v>
      </c>
    </row>
    <row r="201" ht="15.75" customHeight="1">
      <c r="A201" s="5" t="s">
        <v>658</v>
      </c>
      <c r="B201" s="5" t="s">
        <v>43</v>
      </c>
      <c r="C201" s="6" t="s">
        <v>651</v>
      </c>
      <c r="D201" s="5" t="s">
        <v>392</v>
      </c>
      <c r="E201" s="5" t="s">
        <v>109</v>
      </c>
      <c r="F201" s="5" t="s">
        <v>132</v>
      </c>
      <c r="G201" s="5" t="s">
        <v>47</v>
      </c>
      <c r="H201" s="5" t="s">
        <v>54</v>
      </c>
      <c r="I201" s="6" t="s">
        <v>180</v>
      </c>
      <c r="J201" s="8">
        <v>6.75</v>
      </c>
      <c r="K201" s="5" t="str">
        <f t="shared" si="1"/>
        <v>Bengaluru -&gt; Kolkata</v>
      </c>
    </row>
    <row r="202" ht="15.75" customHeight="1">
      <c r="A202" s="5" t="s">
        <v>659</v>
      </c>
      <c r="B202" s="5" t="s">
        <v>45</v>
      </c>
      <c r="C202" s="6" t="s">
        <v>500</v>
      </c>
      <c r="D202" s="5" t="s">
        <v>423</v>
      </c>
      <c r="E202" s="5" t="s">
        <v>109</v>
      </c>
      <c r="F202" s="5" t="s">
        <v>154</v>
      </c>
      <c r="G202" s="5" t="s">
        <v>33</v>
      </c>
      <c r="H202" s="5" t="s">
        <v>33</v>
      </c>
      <c r="I202" s="6">
        <v>1.0</v>
      </c>
      <c r="J202" s="8">
        <v>26.83</v>
      </c>
      <c r="K202" s="5" t="str">
        <f t="shared" si="1"/>
        <v>Bengaluru -&gt; Hyderabad</v>
      </c>
    </row>
    <row r="203" ht="15.75" customHeight="1">
      <c r="A203" s="5" t="s">
        <v>662</v>
      </c>
      <c r="B203" s="5" t="s">
        <v>20</v>
      </c>
      <c r="C203" s="6" t="s">
        <v>467</v>
      </c>
      <c r="D203" s="5" t="s">
        <v>423</v>
      </c>
      <c r="E203" s="5" t="s">
        <v>109</v>
      </c>
      <c r="F203" s="5" t="s">
        <v>154</v>
      </c>
      <c r="G203" s="5" t="s">
        <v>33</v>
      </c>
      <c r="H203" s="5" t="s">
        <v>47</v>
      </c>
      <c r="I203" s="6">
        <v>1.0</v>
      </c>
      <c r="J203" s="8">
        <v>28.58</v>
      </c>
      <c r="K203" s="5" t="str">
        <f t="shared" si="1"/>
        <v>Bengaluru -&gt; Hyderabad</v>
      </c>
    </row>
    <row r="204" ht="15.75" customHeight="1">
      <c r="A204" s="5" t="s">
        <v>665</v>
      </c>
      <c r="B204" s="5" t="s">
        <v>43</v>
      </c>
      <c r="C204" s="6" t="s">
        <v>666</v>
      </c>
      <c r="D204" s="5" t="s">
        <v>423</v>
      </c>
      <c r="E204" s="5" t="s">
        <v>109</v>
      </c>
      <c r="F204" s="5" t="s">
        <v>154</v>
      </c>
      <c r="G204" s="5" t="s">
        <v>33</v>
      </c>
      <c r="H204" s="5" t="s">
        <v>54</v>
      </c>
      <c r="I204" s="6">
        <v>1.0</v>
      </c>
      <c r="J204" s="8">
        <v>8.0</v>
      </c>
      <c r="K204" s="5" t="str">
        <f t="shared" si="1"/>
        <v>Bengaluru -&gt; Hyderabad</v>
      </c>
    </row>
    <row r="205" ht="15.75" customHeight="1">
      <c r="A205" s="5" t="s">
        <v>667</v>
      </c>
      <c r="B205" s="5" t="s">
        <v>58</v>
      </c>
      <c r="C205" s="6" t="s">
        <v>669</v>
      </c>
      <c r="D205" s="5" t="s">
        <v>423</v>
      </c>
      <c r="E205" s="5" t="s">
        <v>109</v>
      </c>
      <c r="F205" s="5" t="s">
        <v>154</v>
      </c>
      <c r="G205" s="5" t="s">
        <v>47</v>
      </c>
      <c r="H205" s="5" t="s">
        <v>35</v>
      </c>
      <c r="I205" s="6">
        <v>1.0</v>
      </c>
      <c r="J205" s="8">
        <v>8.42</v>
      </c>
      <c r="K205" s="5" t="str">
        <f t="shared" si="1"/>
        <v>Bengaluru -&gt; Hyderabad</v>
      </c>
    </row>
    <row r="206" ht="15.75" customHeight="1">
      <c r="A206" s="5" t="s">
        <v>672</v>
      </c>
      <c r="B206" s="5" t="s">
        <v>45</v>
      </c>
      <c r="C206" s="6" t="s">
        <v>425</v>
      </c>
      <c r="D206" s="5" t="s">
        <v>423</v>
      </c>
      <c r="E206" s="5" t="s">
        <v>109</v>
      </c>
      <c r="F206" s="5" t="s">
        <v>154</v>
      </c>
      <c r="G206" s="5" t="s">
        <v>47</v>
      </c>
      <c r="H206" s="5" t="s">
        <v>47</v>
      </c>
      <c r="I206" s="6">
        <v>1.0</v>
      </c>
      <c r="J206" s="8">
        <v>23.08</v>
      </c>
      <c r="K206" s="5" t="str">
        <f t="shared" si="1"/>
        <v>Bengaluru -&gt; Hyderabad</v>
      </c>
    </row>
    <row r="207" ht="15.75" customHeight="1">
      <c r="A207" s="5" t="s">
        <v>673</v>
      </c>
      <c r="B207" s="5" t="s">
        <v>20</v>
      </c>
      <c r="C207" s="6" t="s">
        <v>310</v>
      </c>
      <c r="D207" s="5" t="s">
        <v>423</v>
      </c>
      <c r="E207" s="5" t="s">
        <v>109</v>
      </c>
      <c r="F207" s="5" t="s">
        <v>154</v>
      </c>
      <c r="G207" s="5" t="s">
        <v>54</v>
      </c>
      <c r="H207" s="5" t="s">
        <v>33</v>
      </c>
      <c r="I207" s="6">
        <v>1.0</v>
      </c>
      <c r="J207" s="8">
        <v>13.75</v>
      </c>
      <c r="K207" s="5" t="str">
        <f t="shared" si="1"/>
        <v>Bengaluru -&gt; Hyderabad</v>
      </c>
    </row>
    <row r="208" ht="15.75" customHeight="1">
      <c r="A208" s="5" t="s">
        <v>676</v>
      </c>
      <c r="B208" s="5" t="s">
        <v>45</v>
      </c>
      <c r="C208" s="6" t="s">
        <v>465</v>
      </c>
      <c r="D208" s="5" t="s">
        <v>423</v>
      </c>
      <c r="E208" s="5" t="s">
        <v>109</v>
      </c>
      <c r="F208" s="5" t="s">
        <v>154</v>
      </c>
      <c r="G208" s="5" t="s">
        <v>54</v>
      </c>
      <c r="H208" s="5" t="s">
        <v>47</v>
      </c>
      <c r="I208" s="6">
        <v>1.0</v>
      </c>
      <c r="J208" s="8">
        <v>19.75</v>
      </c>
      <c r="K208" s="5" t="str">
        <f t="shared" si="1"/>
        <v>Bengaluru -&gt; Hyderabad</v>
      </c>
    </row>
    <row r="209" ht="15.75" customHeight="1">
      <c r="A209" s="5" t="s">
        <v>679</v>
      </c>
      <c r="B209" s="5" t="s">
        <v>58</v>
      </c>
      <c r="C209" s="6" t="s">
        <v>419</v>
      </c>
      <c r="D209" s="5" t="s">
        <v>423</v>
      </c>
      <c r="E209" s="5" t="s">
        <v>109</v>
      </c>
      <c r="F209" s="5" t="s">
        <v>154</v>
      </c>
      <c r="G209" s="5" t="s">
        <v>33</v>
      </c>
      <c r="H209" s="5" t="s">
        <v>35</v>
      </c>
      <c r="I209" s="6">
        <v>1.0</v>
      </c>
      <c r="J209" s="8">
        <v>15.33</v>
      </c>
      <c r="K209" s="5" t="str">
        <f t="shared" si="1"/>
        <v>Bengaluru -&gt; Hyderabad</v>
      </c>
    </row>
    <row r="210" ht="15.75" customHeight="1">
      <c r="A210" s="5" t="s">
        <v>680</v>
      </c>
      <c r="B210" s="5" t="s">
        <v>43</v>
      </c>
      <c r="C210" s="6" t="s">
        <v>681</v>
      </c>
      <c r="D210" s="5" t="s">
        <v>423</v>
      </c>
      <c r="E210" s="5" t="s">
        <v>109</v>
      </c>
      <c r="F210" s="5" t="s">
        <v>154</v>
      </c>
      <c r="G210" s="5" t="s">
        <v>33</v>
      </c>
      <c r="H210" s="5" t="s">
        <v>33</v>
      </c>
      <c r="I210" s="6">
        <v>0.0</v>
      </c>
      <c r="J210" s="8">
        <v>1.17</v>
      </c>
      <c r="K210" s="5" t="str">
        <f t="shared" si="1"/>
        <v>Bengaluru -&gt; Hyderabad</v>
      </c>
    </row>
    <row r="211" ht="15.75" customHeight="1">
      <c r="A211" s="5" t="s">
        <v>684</v>
      </c>
      <c r="B211" s="5" t="s">
        <v>45</v>
      </c>
      <c r="C211" s="6" t="s">
        <v>341</v>
      </c>
      <c r="D211" s="5" t="s">
        <v>423</v>
      </c>
      <c r="E211" s="5" t="s">
        <v>109</v>
      </c>
      <c r="F211" s="5" t="s">
        <v>154</v>
      </c>
      <c r="G211" s="5" t="s">
        <v>33</v>
      </c>
      <c r="H211" s="5" t="s">
        <v>47</v>
      </c>
      <c r="I211" s="6" t="s">
        <v>66</v>
      </c>
      <c r="J211" s="8">
        <v>29.67</v>
      </c>
      <c r="K211" s="5" t="str">
        <f t="shared" si="1"/>
        <v>Bengaluru -&gt; Hyderabad</v>
      </c>
    </row>
    <row r="212" ht="15.75" customHeight="1">
      <c r="A212" s="5" t="s">
        <v>687</v>
      </c>
      <c r="B212" s="5" t="s">
        <v>45</v>
      </c>
      <c r="C212" s="6" t="s">
        <v>441</v>
      </c>
      <c r="D212" s="5" t="s">
        <v>423</v>
      </c>
      <c r="E212" s="5" t="s">
        <v>109</v>
      </c>
      <c r="F212" s="5" t="s">
        <v>154</v>
      </c>
      <c r="G212" s="5" t="s">
        <v>54</v>
      </c>
      <c r="H212" s="5" t="s">
        <v>54</v>
      </c>
      <c r="I212" s="6" t="s">
        <v>180</v>
      </c>
      <c r="J212" s="8">
        <v>25.5</v>
      </c>
      <c r="K212" s="5" t="str">
        <f t="shared" si="1"/>
        <v>Bengaluru -&gt; Hyderabad</v>
      </c>
    </row>
    <row r="213" ht="15.75" customHeight="1">
      <c r="A213" s="5" t="s">
        <v>688</v>
      </c>
      <c r="B213" s="5" t="s">
        <v>45</v>
      </c>
      <c r="C213" s="6" t="s">
        <v>287</v>
      </c>
      <c r="D213" s="5" t="s">
        <v>423</v>
      </c>
      <c r="E213" s="5" t="s">
        <v>109</v>
      </c>
      <c r="F213" s="5" t="s">
        <v>154</v>
      </c>
      <c r="G213" s="5" t="s">
        <v>47</v>
      </c>
      <c r="H213" s="5" t="s">
        <v>33</v>
      </c>
      <c r="I213" s="6" t="s">
        <v>180</v>
      </c>
      <c r="J213" s="8">
        <v>21.5</v>
      </c>
      <c r="K213" s="5" t="str">
        <f t="shared" si="1"/>
        <v>Bengaluru -&gt; Hyderabad</v>
      </c>
    </row>
    <row r="214" ht="15.75" customHeight="1">
      <c r="A214" s="5" t="s">
        <v>691</v>
      </c>
      <c r="B214" s="5" t="s">
        <v>20</v>
      </c>
      <c r="C214" s="6" t="s">
        <v>363</v>
      </c>
      <c r="D214" s="5" t="s">
        <v>423</v>
      </c>
      <c r="E214" s="5" t="s">
        <v>109</v>
      </c>
      <c r="F214" s="5" t="s">
        <v>154</v>
      </c>
      <c r="G214" s="5" t="s">
        <v>35</v>
      </c>
      <c r="H214" s="5" t="s">
        <v>54</v>
      </c>
      <c r="I214" s="6">
        <v>1.0</v>
      </c>
      <c r="J214" s="8">
        <v>19.83</v>
      </c>
      <c r="K214" s="5" t="str">
        <f t="shared" si="1"/>
        <v>Bengaluru -&gt; Hyderabad</v>
      </c>
    </row>
    <row r="215" ht="15.75" customHeight="1">
      <c r="A215" s="5" t="s">
        <v>693</v>
      </c>
      <c r="B215" s="5" t="s">
        <v>20</v>
      </c>
      <c r="C215" s="6" t="s">
        <v>695</v>
      </c>
      <c r="D215" s="5" t="s">
        <v>423</v>
      </c>
      <c r="E215" s="5" t="s">
        <v>109</v>
      </c>
      <c r="F215" s="5" t="s">
        <v>154</v>
      </c>
      <c r="G215" s="5" t="s">
        <v>33</v>
      </c>
      <c r="H215" s="5" t="s">
        <v>35</v>
      </c>
      <c r="I215" s="6">
        <v>1.0</v>
      </c>
      <c r="J215" s="8">
        <v>11.42</v>
      </c>
      <c r="K215" s="5" t="str">
        <f t="shared" si="1"/>
        <v>Bengaluru -&gt; Hyderabad</v>
      </c>
    </row>
    <row r="216" ht="15.75" customHeight="1">
      <c r="A216" s="5" t="s">
        <v>696</v>
      </c>
      <c r="B216" s="5" t="s">
        <v>20</v>
      </c>
      <c r="C216" s="6" t="s">
        <v>376</v>
      </c>
      <c r="D216" s="5" t="s">
        <v>423</v>
      </c>
      <c r="E216" s="5" t="s">
        <v>109</v>
      </c>
      <c r="F216" s="5" t="s">
        <v>154</v>
      </c>
      <c r="G216" s="5" t="s">
        <v>33</v>
      </c>
      <c r="H216" s="5" t="s">
        <v>54</v>
      </c>
      <c r="I216" s="6">
        <v>1.0</v>
      </c>
      <c r="J216" s="8">
        <v>7.25</v>
      </c>
      <c r="K216" s="5" t="str">
        <f t="shared" si="1"/>
        <v>Bengaluru -&gt; Hyderabad</v>
      </c>
    </row>
    <row r="217" ht="15.75" customHeight="1">
      <c r="A217" s="5" t="s">
        <v>700</v>
      </c>
      <c r="B217" s="5" t="s">
        <v>43</v>
      </c>
      <c r="C217" s="6" t="s">
        <v>701</v>
      </c>
      <c r="D217" s="5" t="s">
        <v>423</v>
      </c>
      <c r="E217" s="5" t="s">
        <v>109</v>
      </c>
      <c r="F217" s="5" t="s">
        <v>154</v>
      </c>
      <c r="G217" s="5" t="s">
        <v>33</v>
      </c>
      <c r="H217" s="5" t="s">
        <v>47</v>
      </c>
      <c r="I217" s="6">
        <v>1.0</v>
      </c>
      <c r="J217" s="8">
        <v>3.67</v>
      </c>
      <c r="K217" s="5" t="str">
        <f t="shared" si="1"/>
        <v>Bengaluru -&gt; Hyderabad</v>
      </c>
    </row>
    <row r="218" ht="15.75" customHeight="1">
      <c r="A218" s="5" t="s">
        <v>702</v>
      </c>
      <c r="B218" s="5" t="s">
        <v>29</v>
      </c>
      <c r="C218" s="6" t="s">
        <v>704</v>
      </c>
      <c r="D218" s="5" t="s">
        <v>423</v>
      </c>
      <c r="E218" s="5" t="s">
        <v>109</v>
      </c>
      <c r="F218" s="5" t="s">
        <v>154</v>
      </c>
      <c r="G218" s="5" t="s">
        <v>33</v>
      </c>
      <c r="H218" s="5" t="s">
        <v>33</v>
      </c>
      <c r="I218" s="6">
        <v>0.0</v>
      </c>
      <c r="J218" s="8">
        <v>1.17</v>
      </c>
      <c r="K218" s="5" t="str">
        <f t="shared" si="1"/>
        <v>Bengaluru -&gt; Hyderabad</v>
      </c>
    </row>
    <row r="219" ht="15.75" customHeight="1">
      <c r="A219" s="5" t="s">
        <v>706</v>
      </c>
      <c r="B219" s="5" t="s">
        <v>45</v>
      </c>
      <c r="C219" s="6" t="s">
        <v>441</v>
      </c>
      <c r="D219" s="5" t="s">
        <v>423</v>
      </c>
      <c r="E219" s="5" t="s">
        <v>109</v>
      </c>
      <c r="F219" s="5" t="s">
        <v>154</v>
      </c>
      <c r="G219" s="5" t="s">
        <v>54</v>
      </c>
      <c r="H219" s="5" t="s">
        <v>33</v>
      </c>
      <c r="I219" s="6" t="s">
        <v>180</v>
      </c>
      <c r="J219" s="8">
        <v>16.67</v>
      </c>
      <c r="K219" s="5" t="str">
        <f t="shared" si="1"/>
        <v>Bengaluru -&gt; Hyderabad</v>
      </c>
    </row>
    <row r="220" ht="15.75" customHeight="1">
      <c r="A220" s="5" t="s">
        <v>709</v>
      </c>
      <c r="B220" s="5" t="s">
        <v>20</v>
      </c>
      <c r="C220" s="6" t="s">
        <v>480</v>
      </c>
      <c r="D220" s="5" t="s">
        <v>423</v>
      </c>
      <c r="E220" s="5" t="s">
        <v>109</v>
      </c>
      <c r="F220" s="5" t="s">
        <v>154</v>
      </c>
      <c r="G220" s="5" t="s">
        <v>33</v>
      </c>
      <c r="H220" s="5" t="s">
        <v>54</v>
      </c>
      <c r="I220" s="6">
        <v>1.0</v>
      </c>
      <c r="J220" s="8">
        <v>12.83</v>
      </c>
      <c r="K220" s="5" t="str">
        <f t="shared" si="1"/>
        <v>Bengaluru -&gt; Hyderabad</v>
      </c>
    </row>
    <row r="221" ht="15.75" customHeight="1">
      <c r="A221" s="5" t="s">
        <v>712</v>
      </c>
      <c r="B221" s="5" t="s">
        <v>29</v>
      </c>
      <c r="C221" s="6" t="s">
        <v>713</v>
      </c>
      <c r="D221" s="5" t="s">
        <v>423</v>
      </c>
      <c r="E221" s="5" t="s">
        <v>109</v>
      </c>
      <c r="F221" s="5" t="s">
        <v>154</v>
      </c>
      <c r="G221" s="5" t="s">
        <v>33</v>
      </c>
      <c r="H221" s="5" t="s">
        <v>33</v>
      </c>
      <c r="I221" s="6">
        <v>1.0</v>
      </c>
      <c r="J221" s="8">
        <v>3.67</v>
      </c>
      <c r="K221" s="5" t="str">
        <f t="shared" si="1"/>
        <v>Bengaluru -&gt; Hyderabad</v>
      </c>
    </row>
    <row r="222" ht="15.75" customHeight="1">
      <c r="A222" s="5" t="s">
        <v>715</v>
      </c>
      <c r="B222" s="5" t="s">
        <v>20</v>
      </c>
      <c r="C222" s="6" t="s">
        <v>310</v>
      </c>
      <c r="D222" s="5" t="s">
        <v>423</v>
      </c>
      <c r="E222" s="5" t="s">
        <v>109</v>
      </c>
      <c r="F222" s="5" t="s">
        <v>154</v>
      </c>
      <c r="G222" s="5" t="s">
        <v>54</v>
      </c>
      <c r="H222" s="5" t="s">
        <v>35</v>
      </c>
      <c r="I222" s="6">
        <v>1.0</v>
      </c>
      <c r="J222" s="8">
        <v>25.0</v>
      </c>
      <c r="K222" s="5" t="str">
        <f t="shared" si="1"/>
        <v>Bengaluru -&gt; Hyderabad</v>
      </c>
    </row>
    <row r="223" ht="15.75" customHeight="1">
      <c r="A223" s="5" t="s">
        <v>717</v>
      </c>
      <c r="B223" s="5" t="s">
        <v>45</v>
      </c>
      <c r="C223" s="6" t="s">
        <v>500</v>
      </c>
      <c r="D223" s="5" t="s">
        <v>423</v>
      </c>
      <c r="E223" s="5" t="s">
        <v>109</v>
      </c>
      <c r="F223" s="5" t="s">
        <v>154</v>
      </c>
      <c r="G223" s="5" t="s">
        <v>33</v>
      </c>
      <c r="H223" s="5" t="s">
        <v>35</v>
      </c>
      <c r="I223" s="6">
        <v>1.0</v>
      </c>
      <c r="J223" s="8">
        <v>14.42</v>
      </c>
      <c r="K223" s="5" t="str">
        <f t="shared" si="1"/>
        <v>Bengaluru -&gt; Hyderabad</v>
      </c>
    </row>
    <row r="224" ht="15.75" customHeight="1">
      <c r="A224" s="5" t="s">
        <v>721</v>
      </c>
      <c r="B224" s="5" t="s">
        <v>43</v>
      </c>
      <c r="C224" s="6" t="s">
        <v>724</v>
      </c>
      <c r="D224" s="5" t="s">
        <v>423</v>
      </c>
      <c r="E224" s="5" t="s">
        <v>109</v>
      </c>
      <c r="F224" s="5" t="s">
        <v>154</v>
      </c>
      <c r="G224" s="5" t="s">
        <v>54</v>
      </c>
      <c r="H224" s="5" t="s">
        <v>35</v>
      </c>
      <c r="I224" s="6">
        <v>1.0</v>
      </c>
      <c r="J224" s="8">
        <v>4.08</v>
      </c>
      <c r="K224" s="5" t="str">
        <f t="shared" si="1"/>
        <v>Bengaluru -&gt; Hyderabad</v>
      </c>
    </row>
    <row r="225" ht="15.75" customHeight="1">
      <c r="A225" s="5" t="s">
        <v>725</v>
      </c>
      <c r="B225" s="5" t="s">
        <v>45</v>
      </c>
      <c r="C225" s="6" t="s">
        <v>500</v>
      </c>
      <c r="D225" s="5" t="s">
        <v>423</v>
      </c>
      <c r="E225" s="5" t="s">
        <v>109</v>
      </c>
      <c r="F225" s="5" t="s">
        <v>154</v>
      </c>
      <c r="G225" s="5" t="s">
        <v>33</v>
      </c>
      <c r="H225" s="5" t="s">
        <v>35</v>
      </c>
      <c r="I225" s="6" t="s">
        <v>180</v>
      </c>
      <c r="J225" s="8">
        <v>17.42</v>
      </c>
      <c r="K225" s="5" t="str">
        <f t="shared" si="1"/>
        <v>Bengaluru -&gt; Hyderabad</v>
      </c>
    </row>
    <row r="226" ht="15.75" customHeight="1">
      <c r="A226" s="5" t="s">
        <v>728</v>
      </c>
      <c r="B226" s="5" t="s">
        <v>43</v>
      </c>
      <c r="C226" s="6" t="s">
        <v>729</v>
      </c>
      <c r="D226" s="5" t="s">
        <v>423</v>
      </c>
      <c r="E226" s="5" t="s">
        <v>109</v>
      </c>
      <c r="F226" s="5" t="s">
        <v>154</v>
      </c>
      <c r="G226" s="5" t="s">
        <v>33</v>
      </c>
      <c r="H226" s="5" t="s">
        <v>54</v>
      </c>
      <c r="I226" s="6">
        <v>1.0</v>
      </c>
      <c r="J226" s="8">
        <v>8.42</v>
      </c>
      <c r="K226" s="5" t="str">
        <f t="shared" si="1"/>
        <v>Bengaluru -&gt; Hyderabad</v>
      </c>
    </row>
    <row r="227" ht="15.75" customHeight="1">
      <c r="A227" s="5" t="s">
        <v>730</v>
      </c>
      <c r="B227" s="5" t="s">
        <v>72</v>
      </c>
      <c r="C227" s="6" t="s">
        <v>732</v>
      </c>
      <c r="D227" s="5" t="s">
        <v>423</v>
      </c>
      <c r="E227" s="5" t="s">
        <v>109</v>
      </c>
      <c r="F227" s="5" t="s">
        <v>154</v>
      </c>
      <c r="G227" s="5" t="s">
        <v>54</v>
      </c>
      <c r="H227" s="5" t="s">
        <v>54</v>
      </c>
      <c r="I227" s="6">
        <v>0.0</v>
      </c>
      <c r="J227" s="8">
        <v>1.08</v>
      </c>
      <c r="K227" s="5" t="str">
        <f t="shared" si="1"/>
        <v>Bengaluru -&gt; Hyderabad</v>
      </c>
    </row>
    <row r="228" ht="15.75" customHeight="1">
      <c r="A228" s="5" t="s">
        <v>734</v>
      </c>
      <c r="B228" s="5" t="s">
        <v>45</v>
      </c>
      <c r="C228" s="6" t="s">
        <v>735</v>
      </c>
      <c r="D228" s="5" t="s">
        <v>423</v>
      </c>
      <c r="E228" s="5" t="s">
        <v>109</v>
      </c>
      <c r="F228" s="5" t="s">
        <v>154</v>
      </c>
      <c r="G228" s="5" t="s">
        <v>47</v>
      </c>
      <c r="H228" s="5" t="s">
        <v>33</v>
      </c>
      <c r="I228" s="6" t="s">
        <v>180</v>
      </c>
      <c r="J228" s="8">
        <v>20.42</v>
      </c>
      <c r="K228" s="5" t="str">
        <f t="shared" si="1"/>
        <v>Bengaluru -&gt; Hyderabad</v>
      </c>
    </row>
    <row r="229" ht="15.75" customHeight="1">
      <c r="A229" s="5" t="s">
        <v>736</v>
      </c>
      <c r="B229" s="5" t="s">
        <v>20</v>
      </c>
      <c r="C229" s="6" t="s">
        <v>439</v>
      </c>
      <c r="D229" s="5" t="s">
        <v>423</v>
      </c>
      <c r="E229" s="5" t="s">
        <v>109</v>
      </c>
      <c r="F229" s="5" t="s">
        <v>154</v>
      </c>
      <c r="G229" s="5" t="s">
        <v>33</v>
      </c>
      <c r="H229" s="5" t="s">
        <v>54</v>
      </c>
      <c r="I229" s="6" t="s">
        <v>180</v>
      </c>
      <c r="J229" s="8">
        <v>29.5</v>
      </c>
      <c r="K229" s="5" t="str">
        <f t="shared" si="1"/>
        <v>Bengaluru -&gt; Hyderabad</v>
      </c>
    </row>
    <row r="230" ht="15.75" customHeight="1">
      <c r="A230" s="5" t="s">
        <v>739</v>
      </c>
      <c r="B230" s="5" t="s">
        <v>20</v>
      </c>
      <c r="C230" s="6" t="s">
        <v>568</v>
      </c>
      <c r="D230" s="5" t="s">
        <v>423</v>
      </c>
      <c r="E230" s="5" t="s">
        <v>109</v>
      </c>
      <c r="F230" s="5" t="s">
        <v>154</v>
      </c>
      <c r="G230" s="5" t="s">
        <v>33</v>
      </c>
      <c r="H230" s="5" t="s">
        <v>54</v>
      </c>
      <c r="I230" s="6">
        <v>1.0</v>
      </c>
      <c r="J230" s="8">
        <v>33.0</v>
      </c>
      <c r="K230" s="5" t="str">
        <f t="shared" si="1"/>
        <v>Bengaluru -&gt; Hyderabad</v>
      </c>
    </row>
    <row r="231" ht="15.75" customHeight="1">
      <c r="A231" s="5" t="s">
        <v>742</v>
      </c>
      <c r="B231" s="5" t="s">
        <v>45</v>
      </c>
      <c r="C231" s="6" t="s">
        <v>578</v>
      </c>
      <c r="D231" s="5" t="s">
        <v>423</v>
      </c>
      <c r="E231" s="5" t="s">
        <v>109</v>
      </c>
      <c r="F231" s="5" t="s">
        <v>154</v>
      </c>
      <c r="G231" s="5" t="s">
        <v>33</v>
      </c>
      <c r="H231" s="5" t="s">
        <v>33</v>
      </c>
      <c r="I231" s="6">
        <v>1.0</v>
      </c>
      <c r="J231" s="8">
        <v>24.08</v>
      </c>
      <c r="K231" s="5" t="str">
        <f t="shared" si="1"/>
        <v>Bengaluru -&gt; Hyderabad</v>
      </c>
    </row>
    <row r="232" ht="15.75" customHeight="1">
      <c r="A232" s="5" t="s">
        <v>745</v>
      </c>
      <c r="B232" s="5" t="s">
        <v>45</v>
      </c>
      <c r="C232" s="6" t="s">
        <v>425</v>
      </c>
      <c r="D232" s="5" t="s">
        <v>423</v>
      </c>
      <c r="E232" s="5" t="s">
        <v>109</v>
      </c>
      <c r="F232" s="5" t="s">
        <v>154</v>
      </c>
      <c r="G232" s="5" t="s">
        <v>47</v>
      </c>
      <c r="H232" s="5" t="s">
        <v>33</v>
      </c>
      <c r="I232" s="6">
        <v>1.0</v>
      </c>
      <c r="J232" s="8">
        <v>21.17</v>
      </c>
      <c r="K232" s="5" t="str">
        <f t="shared" si="1"/>
        <v>Bengaluru -&gt; Hyderabad</v>
      </c>
    </row>
    <row r="233" ht="15.75" customHeight="1">
      <c r="A233" s="5" t="s">
        <v>748</v>
      </c>
      <c r="B233" s="5" t="s">
        <v>45</v>
      </c>
      <c r="C233" s="6" t="s">
        <v>500</v>
      </c>
      <c r="D233" s="5" t="s">
        <v>423</v>
      </c>
      <c r="E233" s="5" t="s">
        <v>109</v>
      </c>
      <c r="F233" s="5" t="s">
        <v>154</v>
      </c>
      <c r="G233" s="5" t="s">
        <v>33</v>
      </c>
      <c r="H233" s="5" t="s">
        <v>54</v>
      </c>
      <c r="I233" s="6">
        <v>1.0</v>
      </c>
      <c r="J233" s="8">
        <v>35.42</v>
      </c>
      <c r="K233" s="5" t="str">
        <f t="shared" si="1"/>
        <v>Bengaluru -&gt; Hyderabad</v>
      </c>
    </row>
    <row r="234" ht="15.75" customHeight="1">
      <c r="A234" s="5" t="s">
        <v>749</v>
      </c>
      <c r="B234" s="5" t="s">
        <v>45</v>
      </c>
      <c r="C234" s="6" t="s">
        <v>751</v>
      </c>
      <c r="D234" s="5" t="s">
        <v>423</v>
      </c>
      <c r="E234" s="5" t="s">
        <v>109</v>
      </c>
      <c r="F234" s="5" t="s">
        <v>154</v>
      </c>
      <c r="G234" s="5" t="s">
        <v>35</v>
      </c>
      <c r="H234" s="5" t="s">
        <v>54</v>
      </c>
      <c r="I234" s="6" t="s">
        <v>180</v>
      </c>
      <c r="J234" s="8">
        <v>20.58</v>
      </c>
      <c r="K234" s="5" t="str">
        <f t="shared" si="1"/>
        <v>Bengaluru -&gt; Hyderabad</v>
      </c>
    </row>
    <row r="235" ht="15.75" customHeight="1">
      <c r="A235" s="5" t="s">
        <v>754</v>
      </c>
      <c r="B235" s="5" t="s">
        <v>45</v>
      </c>
      <c r="C235" s="6" t="s">
        <v>638</v>
      </c>
      <c r="D235" s="5" t="s">
        <v>423</v>
      </c>
      <c r="E235" s="5" t="s">
        <v>109</v>
      </c>
      <c r="F235" s="5" t="s">
        <v>154</v>
      </c>
      <c r="G235" s="5" t="s">
        <v>33</v>
      </c>
      <c r="H235" s="5" t="s">
        <v>33</v>
      </c>
      <c r="I235" s="6">
        <v>1.0</v>
      </c>
      <c r="J235" s="8">
        <v>22.08</v>
      </c>
      <c r="K235" s="5" t="str">
        <f t="shared" si="1"/>
        <v>Bengaluru -&gt; Hyderabad</v>
      </c>
    </row>
    <row r="236" ht="15.75" customHeight="1">
      <c r="A236" s="5" t="s">
        <v>757</v>
      </c>
      <c r="B236" s="5" t="s">
        <v>43</v>
      </c>
      <c r="C236" s="6" t="s">
        <v>758</v>
      </c>
      <c r="D236" s="5" t="s">
        <v>423</v>
      </c>
      <c r="E236" s="5" t="s">
        <v>109</v>
      </c>
      <c r="F236" s="5" t="s">
        <v>154</v>
      </c>
      <c r="G236" s="5" t="s">
        <v>47</v>
      </c>
      <c r="H236" s="5" t="s">
        <v>35</v>
      </c>
      <c r="I236" s="6">
        <v>1.0</v>
      </c>
      <c r="J236" s="8">
        <v>6.17</v>
      </c>
      <c r="K236" s="5" t="str">
        <f t="shared" si="1"/>
        <v>Bengaluru -&gt; Hyderabad</v>
      </c>
    </row>
    <row r="237" ht="15.75" customHeight="1">
      <c r="A237" s="5" t="s">
        <v>759</v>
      </c>
      <c r="B237" s="5" t="s">
        <v>20</v>
      </c>
      <c r="C237" s="6" t="s">
        <v>760</v>
      </c>
      <c r="D237" s="5" t="s">
        <v>423</v>
      </c>
      <c r="E237" s="5" t="s">
        <v>109</v>
      </c>
      <c r="F237" s="5" t="s">
        <v>154</v>
      </c>
      <c r="G237" s="5" t="s">
        <v>33</v>
      </c>
      <c r="H237" s="5" t="s">
        <v>54</v>
      </c>
      <c r="I237" s="6">
        <v>1.0</v>
      </c>
      <c r="J237" s="8">
        <v>10.33</v>
      </c>
      <c r="K237" s="5" t="str">
        <f t="shared" si="1"/>
        <v>Bengaluru -&gt; Hyderabad</v>
      </c>
    </row>
    <row r="238" ht="15.75" customHeight="1">
      <c r="A238" s="5" t="s">
        <v>763</v>
      </c>
      <c r="B238" s="5" t="s">
        <v>72</v>
      </c>
      <c r="C238" s="6" t="s">
        <v>641</v>
      </c>
      <c r="D238" s="5" t="s">
        <v>423</v>
      </c>
      <c r="E238" s="5" t="s">
        <v>109</v>
      </c>
      <c r="F238" s="5" t="s">
        <v>154</v>
      </c>
      <c r="G238" s="5" t="s">
        <v>33</v>
      </c>
      <c r="H238" s="5" t="s">
        <v>33</v>
      </c>
      <c r="I238" s="6">
        <v>0.0</v>
      </c>
      <c r="J238" s="8">
        <v>1.0</v>
      </c>
      <c r="K238" s="5" t="str">
        <f t="shared" si="1"/>
        <v>Bengaluru -&gt; Hyderabad</v>
      </c>
    </row>
    <row r="239" ht="15.75" customHeight="1">
      <c r="A239" s="5" t="s">
        <v>766</v>
      </c>
      <c r="B239" s="5" t="s">
        <v>20</v>
      </c>
      <c r="C239" s="6" t="s">
        <v>767</v>
      </c>
      <c r="D239" s="5" t="s">
        <v>423</v>
      </c>
      <c r="E239" s="5" t="s">
        <v>109</v>
      </c>
      <c r="F239" s="5" t="s">
        <v>154</v>
      </c>
      <c r="G239" s="5" t="s">
        <v>54</v>
      </c>
      <c r="H239" s="5" t="s">
        <v>54</v>
      </c>
      <c r="I239" s="6">
        <v>1.0</v>
      </c>
      <c r="J239" s="8">
        <v>23.17</v>
      </c>
      <c r="K239" s="5" t="str">
        <f t="shared" si="1"/>
        <v>Bengaluru -&gt; Hyderabad</v>
      </c>
    </row>
    <row r="240" ht="15.75" customHeight="1">
      <c r="A240" s="5" t="s">
        <v>770</v>
      </c>
      <c r="B240" s="5" t="s">
        <v>20</v>
      </c>
      <c r="C240" s="6" t="s">
        <v>376</v>
      </c>
      <c r="D240" s="5" t="s">
        <v>423</v>
      </c>
      <c r="E240" s="5" t="s">
        <v>109</v>
      </c>
      <c r="F240" s="5" t="s">
        <v>154</v>
      </c>
      <c r="G240" s="5" t="s">
        <v>33</v>
      </c>
      <c r="H240" s="5" t="s">
        <v>35</v>
      </c>
      <c r="I240" s="6">
        <v>1.0</v>
      </c>
      <c r="J240" s="8">
        <v>13.17</v>
      </c>
      <c r="K240" s="5" t="str">
        <f t="shared" si="1"/>
        <v>Bengaluru -&gt; Hyderabad</v>
      </c>
    </row>
    <row r="241" ht="15.75" customHeight="1">
      <c r="A241" s="5" t="s">
        <v>774</v>
      </c>
      <c r="B241" s="5" t="s">
        <v>43</v>
      </c>
      <c r="C241" s="6" t="s">
        <v>775</v>
      </c>
      <c r="D241" s="5" t="s">
        <v>423</v>
      </c>
      <c r="E241" s="5" t="s">
        <v>109</v>
      </c>
      <c r="F241" s="5" t="s">
        <v>154</v>
      </c>
      <c r="G241" s="5" t="s">
        <v>35</v>
      </c>
      <c r="H241" s="5" t="s">
        <v>33</v>
      </c>
      <c r="I241" s="6">
        <v>1.0</v>
      </c>
      <c r="J241" s="8">
        <v>8.83</v>
      </c>
      <c r="K241" s="5" t="str">
        <f t="shared" si="1"/>
        <v>Bengaluru -&gt; Hyderabad</v>
      </c>
    </row>
    <row r="242" ht="15.75" customHeight="1">
      <c r="A242" s="5" t="s">
        <v>778</v>
      </c>
      <c r="B242" s="5" t="s">
        <v>29</v>
      </c>
      <c r="C242" s="6" t="s">
        <v>779</v>
      </c>
      <c r="D242" s="5" t="s">
        <v>452</v>
      </c>
      <c r="E242" s="5" t="s">
        <v>109</v>
      </c>
      <c r="F242" s="5" t="s">
        <v>164</v>
      </c>
      <c r="G242" s="5" t="s">
        <v>47</v>
      </c>
      <c r="H242" s="5" t="s">
        <v>47</v>
      </c>
      <c r="I242" s="6">
        <v>0.0</v>
      </c>
      <c r="J242" s="8">
        <v>1.0</v>
      </c>
      <c r="K242" s="5" t="str">
        <f t="shared" si="1"/>
        <v>Bengaluru -&gt; Chennai</v>
      </c>
    </row>
    <row r="243" ht="15.75" customHeight="1">
      <c r="A243" s="5" t="s">
        <v>782</v>
      </c>
      <c r="B243" s="5" t="s">
        <v>20</v>
      </c>
      <c r="C243" s="6" t="s">
        <v>336</v>
      </c>
      <c r="D243" s="5" t="s">
        <v>452</v>
      </c>
      <c r="E243" s="5" t="s">
        <v>109</v>
      </c>
      <c r="F243" s="5" t="s">
        <v>164</v>
      </c>
      <c r="G243" s="5" t="s">
        <v>54</v>
      </c>
      <c r="H243" s="5" t="s">
        <v>35</v>
      </c>
      <c r="I243" s="6">
        <v>1.0</v>
      </c>
      <c r="J243" s="8">
        <v>25.42</v>
      </c>
      <c r="K243" s="5" t="str">
        <f t="shared" si="1"/>
        <v>Bengaluru -&gt; Chennai</v>
      </c>
    </row>
    <row r="244" ht="15.75" customHeight="1">
      <c r="A244" s="5" t="s">
        <v>786</v>
      </c>
      <c r="B244" s="5" t="s">
        <v>20</v>
      </c>
      <c r="C244" s="6" t="s">
        <v>568</v>
      </c>
      <c r="D244" s="5" t="s">
        <v>452</v>
      </c>
      <c r="E244" s="5" t="s">
        <v>109</v>
      </c>
      <c r="F244" s="5" t="s">
        <v>164</v>
      </c>
      <c r="G244" s="5" t="s">
        <v>33</v>
      </c>
      <c r="H244" s="5" t="s">
        <v>33</v>
      </c>
      <c r="I244" s="6">
        <v>1.0</v>
      </c>
      <c r="J244" s="8">
        <v>24.33</v>
      </c>
      <c r="K244" s="5" t="str">
        <f t="shared" si="1"/>
        <v>Bengaluru -&gt; Chennai</v>
      </c>
    </row>
    <row r="245" ht="15.75" customHeight="1">
      <c r="A245" s="5" t="s">
        <v>790</v>
      </c>
      <c r="B245" s="5" t="s">
        <v>58</v>
      </c>
      <c r="C245" s="6" t="s">
        <v>791</v>
      </c>
      <c r="D245" s="5" t="s">
        <v>452</v>
      </c>
      <c r="E245" s="5" t="s">
        <v>109</v>
      </c>
      <c r="F245" s="5" t="s">
        <v>164</v>
      </c>
      <c r="G245" s="5" t="s">
        <v>54</v>
      </c>
      <c r="H245" s="5" t="s">
        <v>33</v>
      </c>
      <c r="I245" s="6">
        <v>1.0</v>
      </c>
      <c r="J245" s="8">
        <v>12.67</v>
      </c>
      <c r="K245" s="5" t="str">
        <f t="shared" si="1"/>
        <v>Bengaluru -&gt; Chennai</v>
      </c>
    </row>
    <row r="246" ht="15.75" customHeight="1">
      <c r="A246" s="5" t="s">
        <v>796</v>
      </c>
      <c r="B246" s="5" t="s">
        <v>45</v>
      </c>
      <c r="C246" s="6" t="s">
        <v>798</v>
      </c>
      <c r="D246" s="5" t="s">
        <v>452</v>
      </c>
      <c r="E246" s="5" t="s">
        <v>109</v>
      </c>
      <c r="F246" s="5" t="s">
        <v>164</v>
      </c>
      <c r="G246" s="5" t="s">
        <v>54</v>
      </c>
      <c r="H246" s="5" t="s">
        <v>33</v>
      </c>
      <c r="I246" s="6" t="s">
        <v>180</v>
      </c>
      <c r="J246" s="8">
        <v>37.58</v>
      </c>
      <c r="K246" s="5" t="str">
        <f t="shared" si="1"/>
        <v>Bengaluru -&gt; Chennai</v>
      </c>
    </row>
    <row r="247" ht="15.75" customHeight="1">
      <c r="A247" s="5" t="s">
        <v>801</v>
      </c>
      <c r="B247" s="5" t="s">
        <v>45</v>
      </c>
      <c r="C247" s="6" t="s">
        <v>562</v>
      </c>
      <c r="D247" s="5" t="s">
        <v>452</v>
      </c>
      <c r="E247" s="5" t="s">
        <v>109</v>
      </c>
      <c r="F247" s="5" t="s">
        <v>164</v>
      </c>
      <c r="G247" s="5" t="s">
        <v>54</v>
      </c>
      <c r="H247" s="5" t="s">
        <v>35</v>
      </c>
      <c r="I247" s="6">
        <v>1.0</v>
      </c>
      <c r="J247" s="8">
        <v>28.33</v>
      </c>
      <c r="K247" s="5" t="str">
        <f t="shared" si="1"/>
        <v>Bengaluru -&gt; Chennai</v>
      </c>
    </row>
    <row r="248" ht="15.75" customHeight="1">
      <c r="A248" s="5" t="s">
        <v>806</v>
      </c>
      <c r="B248" s="5" t="s">
        <v>45</v>
      </c>
      <c r="C248" s="6" t="s">
        <v>562</v>
      </c>
      <c r="D248" s="5" t="s">
        <v>452</v>
      </c>
      <c r="E248" s="5" t="s">
        <v>109</v>
      </c>
      <c r="F248" s="5" t="s">
        <v>164</v>
      </c>
      <c r="G248" s="5" t="s">
        <v>54</v>
      </c>
      <c r="H248" s="5" t="s">
        <v>33</v>
      </c>
      <c r="I248" s="6">
        <v>1.0</v>
      </c>
      <c r="J248" s="8">
        <v>12.42</v>
      </c>
      <c r="K248" s="5" t="str">
        <f t="shared" si="1"/>
        <v>Bengaluru -&gt; Chennai</v>
      </c>
    </row>
    <row r="249" ht="15.75" customHeight="1">
      <c r="A249" s="5" t="s">
        <v>809</v>
      </c>
      <c r="B249" s="5" t="s">
        <v>45</v>
      </c>
      <c r="C249" s="6" t="s">
        <v>295</v>
      </c>
      <c r="D249" s="5" t="s">
        <v>452</v>
      </c>
      <c r="E249" s="5" t="s">
        <v>109</v>
      </c>
      <c r="F249" s="5" t="s">
        <v>164</v>
      </c>
      <c r="G249" s="5" t="s">
        <v>33</v>
      </c>
      <c r="H249" s="5" t="s">
        <v>54</v>
      </c>
      <c r="I249" s="6">
        <v>1.0</v>
      </c>
      <c r="J249" s="8">
        <v>6.0</v>
      </c>
      <c r="K249" s="5" t="str">
        <f t="shared" si="1"/>
        <v>Bengaluru -&gt; Chennai</v>
      </c>
    </row>
    <row r="250" ht="15.75" customHeight="1">
      <c r="A250" s="5" t="s">
        <v>814</v>
      </c>
      <c r="B250" s="5" t="s">
        <v>20</v>
      </c>
      <c r="C250" s="6" t="s">
        <v>767</v>
      </c>
      <c r="D250" s="5" t="s">
        <v>452</v>
      </c>
      <c r="E250" s="5" t="s">
        <v>109</v>
      </c>
      <c r="F250" s="5" t="s">
        <v>164</v>
      </c>
      <c r="G250" s="5" t="s">
        <v>54</v>
      </c>
      <c r="H250" s="5" t="s">
        <v>35</v>
      </c>
      <c r="I250" s="6">
        <v>1.0</v>
      </c>
      <c r="J250" s="8">
        <v>28.92</v>
      </c>
      <c r="K250" s="5" t="str">
        <f t="shared" si="1"/>
        <v>Bengaluru -&gt; Chennai</v>
      </c>
    </row>
    <row r="251" ht="15.75" customHeight="1">
      <c r="A251" s="5" t="s">
        <v>817</v>
      </c>
      <c r="B251" s="5" t="s">
        <v>20</v>
      </c>
      <c r="C251" s="6" t="s">
        <v>310</v>
      </c>
      <c r="D251" s="5" t="s">
        <v>452</v>
      </c>
      <c r="E251" s="5" t="s">
        <v>109</v>
      </c>
      <c r="F251" s="5" t="s">
        <v>164</v>
      </c>
      <c r="G251" s="5" t="s">
        <v>54</v>
      </c>
      <c r="H251" s="5" t="s">
        <v>33</v>
      </c>
      <c r="I251" s="6">
        <v>1.0</v>
      </c>
      <c r="J251" s="8">
        <v>15.92</v>
      </c>
      <c r="K251" s="5" t="str">
        <f t="shared" si="1"/>
        <v>Bengaluru -&gt; Chennai</v>
      </c>
    </row>
    <row r="252" ht="15.75" customHeight="1">
      <c r="A252" s="5" t="s">
        <v>829</v>
      </c>
      <c r="B252" s="5" t="s">
        <v>45</v>
      </c>
      <c r="C252" s="6" t="s">
        <v>325</v>
      </c>
      <c r="D252" s="5" t="s">
        <v>452</v>
      </c>
      <c r="E252" s="5" t="s">
        <v>109</v>
      </c>
      <c r="F252" s="5" t="s">
        <v>164</v>
      </c>
      <c r="G252" s="5" t="s">
        <v>33</v>
      </c>
      <c r="H252" s="5" t="s">
        <v>33</v>
      </c>
      <c r="I252" s="6" t="s">
        <v>180</v>
      </c>
      <c r="J252" s="8">
        <v>25.92</v>
      </c>
      <c r="K252" s="5" t="str">
        <f t="shared" si="1"/>
        <v>Bengaluru -&gt; Chennai</v>
      </c>
    </row>
    <row r="253" ht="15.75" customHeight="1">
      <c r="A253" s="5" t="s">
        <v>831</v>
      </c>
      <c r="B253" s="5" t="s">
        <v>43</v>
      </c>
      <c r="C253" s="6" t="s">
        <v>724</v>
      </c>
      <c r="D253" s="5" t="s">
        <v>452</v>
      </c>
      <c r="E253" s="5" t="s">
        <v>109</v>
      </c>
      <c r="F253" s="5" t="s">
        <v>164</v>
      </c>
      <c r="G253" s="5" t="s">
        <v>54</v>
      </c>
      <c r="H253" s="5" t="s">
        <v>54</v>
      </c>
      <c r="I253" s="6">
        <v>0.0</v>
      </c>
      <c r="J253" s="8">
        <v>1.17</v>
      </c>
      <c r="K253" s="5" t="str">
        <f t="shared" si="1"/>
        <v>Bengaluru -&gt; Chennai</v>
      </c>
    </row>
    <row r="254" ht="15.75" customHeight="1">
      <c r="A254" s="5" t="s">
        <v>834</v>
      </c>
      <c r="B254" s="5" t="s">
        <v>58</v>
      </c>
      <c r="C254" s="6" t="s">
        <v>351</v>
      </c>
      <c r="D254" s="5" t="s">
        <v>452</v>
      </c>
      <c r="E254" s="5" t="s">
        <v>109</v>
      </c>
      <c r="F254" s="5" t="s">
        <v>164</v>
      </c>
      <c r="G254" s="5" t="s">
        <v>35</v>
      </c>
      <c r="H254" s="5" t="s">
        <v>33</v>
      </c>
      <c r="I254" s="6">
        <v>1.0</v>
      </c>
      <c r="J254" s="8">
        <v>9.33</v>
      </c>
      <c r="K254" s="5" t="str">
        <f t="shared" si="1"/>
        <v>Bengaluru -&gt; Chennai</v>
      </c>
    </row>
    <row r="255" ht="15.75" customHeight="1">
      <c r="A255" s="5" t="s">
        <v>837</v>
      </c>
      <c r="B255" s="5" t="s">
        <v>20</v>
      </c>
      <c r="C255" s="6" t="s">
        <v>318</v>
      </c>
      <c r="D255" s="5" t="s">
        <v>452</v>
      </c>
      <c r="E255" s="5" t="s">
        <v>109</v>
      </c>
      <c r="F255" s="5" t="s">
        <v>164</v>
      </c>
      <c r="G255" s="5" t="s">
        <v>54</v>
      </c>
      <c r="H255" s="5" t="s">
        <v>54</v>
      </c>
      <c r="I255" s="6" t="s">
        <v>180</v>
      </c>
      <c r="J255" s="8">
        <v>24.0</v>
      </c>
      <c r="K255" s="5" t="str">
        <f t="shared" si="1"/>
        <v>Bengaluru -&gt; Chennai</v>
      </c>
    </row>
    <row r="256" ht="15.75" customHeight="1">
      <c r="A256" s="5" t="s">
        <v>840</v>
      </c>
      <c r="B256" s="5" t="s">
        <v>45</v>
      </c>
      <c r="C256" s="6" t="s">
        <v>595</v>
      </c>
      <c r="D256" s="5" t="s">
        <v>452</v>
      </c>
      <c r="E256" s="5" t="s">
        <v>109</v>
      </c>
      <c r="F256" s="5" t="s">
        <v>164</v>
      </c>
      <c r="G256" s="5" t="s">
        <v>33</v>
      </c>
      <c r="H256" s="5" t="s">
        <v>33</v>
      </c>
      <c r="I256" s="6">
        <v>1.0</v>
      </c>
      <c r="J256" s="8">
        <v>25.5</v>
      </c>
      <c r="K256" s="5" t="str">
        <f t="shared" si="1"/>
        <v>Bengaluru -&gt; Chennai</v>
      </c>
    </row>
    <row r="257" ht="15.75" customHeight="1">
      <c r="A257" s="5" t="s">
        <v>842</v>
      </c>
      <c r="B257" s="5" t="s">
        <v>45</v>
      </c>
      <c r="C257" s="6" t="s">
        <v>341</v>
      </c>
      <c r="D257" s="5" t="s">
        <v>452</v>
      </c>
      <c r="E257" s="5" t="s">
        <v>109</v>
      </c>
      <c r="F257" s="5" t="s">
        <v>164</v>
      </c>
      <c r="G257" s="5" t="s">
        <v>33</v>
      </c>
      <c r="H257" s="5" t="s">
        <v>54</v>
      </c>
      <c r="I257" s="6" t="s">
        <v>180</v>
      </c>
      <c r="J257" s="8">
        <v>9.5</v>
      </c>
      <c r="K257" s="5" t="str">
        <f t="shared" si="1"/>
        <v>Bengaluru -&gt; Chennai</v>
      </c>
    </row>
    <row r="258" ht="15.75" customHeight="1">
      <c r="A258" s="5" t="s">
        <v>844</v>
      </c>
      <c r="B258" s="5" t="s">
        <v>58</v>
      </c>
      <c r="C258" s="6" t="s">
        <v>623</v>
      </c>
      <c r="D258" s="5" t="s">
        <v>452</v>
      </c>
      <c r="E258" s="5" t="s">
        <v>109</v>
      </c>
      <c r="F258" s="5" t="s">
        <v>164</v>
      </c>
      <c r="G258" s="5" t="s">
        <v>54</v>
      </c>
      <c r="H258" s="5" t="s">
        <v>33</v>
      </c>
      <c r="I258" s="6">
        <v>1.0</v>
      </c>
      <c r="J258" s="8">
        <v>11.75</v>
      </c>
      <c r="K258" s="5" t="str">
        <f t="shared" si="1"/>
        <v>Bengaluru -&gt; Chennai</v>
      </c>
    </row>
    <row r="259" ht="15.75" customHeight="1">
      <c r="A259" s="5" t="s">
        <v>847</v>
      </c>
      <c r="B259" s="5" t="s">
        <v>20</v>
      </c>
      <c r="C259" s="6" t="s">
        <v>695</v>
      </c>
      <c r="D259" s="5" t="s">
        <v>452</v>
      </c>
      <c r="E259" s="5" t="s">
        <v>109</v>
      </c>
      <c r="F259" s="5" t="s">
        <v>164</v>
      </c>
      <c r="G259" s="5" t="s">
        <v>33</v>
      </c>
      <c r="H259" s="5" t="s">
        <v>33</v>
      </c>
      <c r="I259" s="6">
        <v>1.0</v>
      </c>
      <c r="J259" s="8">
        <v>22.42</v>
      </c>
      <c r="K259" s="5" t="str">
        <f t="shared" si="1"/>
        <v>Bengaluru -&gt; Chennai</v>
      </c>
    </row>
    <row r="260" ht="15.75" customHeight="1">
      <c r="A260" s="5" t="s">
        <v>854</v>
      </c>
      <c r="B260" s="5" t="s">
        <v>20</v>
      </c>
      <c r="C260" s="6" t="s">
        <v>306</v>
      </c>
      <c r="D260" s="5" t="s">
        <v>452</v>
      </c>
      <c r="E260" s="5" t="s">
        <v>109</v>
      </c>
      <c r="F260" s="5" t="s">
        <v>164</v>
      </c>
      <c r="G260" s="5" t="s">
        <v>33</v>
      </c>
      <c r="H260" s="5" t="s">
        <v>35</v>
      </c>
      <c r="I260" s="6">
        <v>1.0</v>
      </c>
      <c r="J260" s="8">
        <v>10.75</v>
      </c>
      <c r="K260" s="5" t="str">
        <f t="shared" si="1"/>
        <v>Bengaluru -&gt; Chennai</v>
      </c>
    </row>
    <row r="261" ht="15.75" customHeight="1">
      <c r="A261" s="5" t="s">
        <v>857</v>
      </c>
      <c r="B261" s="5" t="s">
        <v>45</v>
      </c>
      <c r="C261" s="6" t="s">
        <v>425</v>
      </c>
      <c r="D261" s="5" t="s">
        <v>452</v>
      </c>
      <c r="E261" s="5" t="s">
        <v>109</v>
      </c>
      <c r="F261" s="5" t="s">
        <v>164</v>
      </c>
      <c r="G261" s="5" t="s">
        <v>47</v>
      </c>
      <c r="H261" s="5" t="s">
        <v>33</v>
      </c>
      <c r="I261" s="6">
        <v>1.0</v>
      </c>
      <c r="J261" s="8">
        <v>19.58</v>
      </c>
      <c r="K261" s="5" t="str">
        <f t="shared" si="1"/>
        <v>Bengaluru -&gt; Chennai</v>
      </c>
    </row>
    <row r="262" ht="15.75" customHeight="1">
      <c r="A262" s="5" t="s">
        <v>861</v>
      </c>
      <c r="B262" s="5" t="s">
        <v>20</v>
      </c>
      <c r="C262" s="6" t="s">
        <v>760</v>
      </c>
      <c r="D262" s="5" t="s">
        <v>452</v>
      </c>
      <c r="E262" s="5" t="s">
        <v>109</v>
      </c>
      <c r="F262" s="5" t="s">
        <v>164</v>
      </c>
      <c r="G262" s="5" t="s">
        <v>33</v>
      </c>
      <c r="H262" s="5" t="s">
        <v>33</v>
      </c>
      <c r="I262" s="6">
        <v>1.0</v>
      </c>
      <c r="J262" s="8">
        <v>26.17</v>
      </c>
      <c r="K262" s="5" t="str">
        <f t="shared" si="1"/>
        <v>Bengaluru -&gt; Chennai</v>
      </c>
    </row>
    <row r="263" ht="15.75" customHeight="1">
      <c r="A263" s="5" t="s">
        <v>865</v>
      </c>
      <c r="B263" s="5" t="s">
        <v>45</v>
      </c>
      <c r="C263" s="6" t="s">
        <v>751</v>
      </c>
      <c r="D263" s="5" t="s">
        <v>452</v>
      </c>
      <c r="E263" s="5" t="s">
        <v>109</v>
      </c>
      <c r="F263" s="5" t="s">
        <v>164</v>
      </c>
      <c r="G263" s="5" t="s">
        <v>35</v>
      </c>
      <c r="H263" s="5" t="s">
        <v>35</v>
      </c>
      <c r="I263" s="6">
        <v>1.0</v>
      </c>
      <c r="J263" s="8">
        <v>26.58</v>
      </c>
      <c r="K263" s="5" t="str">
        <f t="shared" si="1"/>
        <v>Bengaluru -&gt; Chennai</v>
      </c>
    </row>
    <row r="264" ht="15.75" customHeight="1">
      <c r="A264" s="5" t="s">
        <v>867</v>
      </c>
      <c r="B264" s="5" t="s">
        <v>20</v>
      </c>
      <c r="C264" s="6" t="s">
        <v>318</v>
      </c>
      <c r="D264" s="5" t="s">
        <v>452</v>
      </c>
      <c r="E264" s="5" t="s">
        <v>109</v>
      </c>
      <c r="F264" s="5" t="s">
        <v>164</v>
      </c>
      <c r="G264" s="5" t="s">
        <v>54</v>
      </c>
      <c r="H264" s="5" t="s">
        <v>33</v>
      </c>
      <c r="I264" s="6" t="s">
        <v>180</v>
      </c>
      <c r="J264" s="8">
        <v>12.92</v>
      </c>
      <c r="K264" s="5" t="str">
        <f t="shared" si="1"/>
        <v>Bengaluru -&gt; Chennai</v>
      </c>
    </row>
    <row r="265" ht="15.75" customHeight="1">
      <c r="A265" s="5" t="s">
        <v>871</v>
      </c>
      <c r="B265" s="5" t="s">
        <v>45</v>
      </c>
      <c r="C265" s="6" t="s">
        <v>339</v>
      </c>
      <c r="D265" s="5" t="s">
        <v>452</v>
      </c>
      <c r="E265" s="5" t="s">
        <v>109</v>
      </c>
      <c r="F265" s="5" t="s">
        <v>164</v>
      </c>
      <c r="G265" s="5" t="s">
        <v>54</v>
      </c>
      <c r="H265" s="5" t="s">
        <v>54</v>
      </c>
      <c r="I265" s="6">
        <v>1.0</v>
      </c>
      <c r="J265" s="8">
        <v>21.08</v>
      </c>
      <c r="K265" s="5" t="str">
        <f t="shared" si="1"/>
        <v>Bengaluru -&gt; Chennai</v>
      </c>
    </row>
    <row r="266" ht="15.75" customHeight="1">
      <c r="A266" s="5" t="s">
        <v>876</v>
      </c>
      <c r="B266" s="5" t="s">
        <v>72</v>
      </c>
      <c r="C266" s="6" t="s">
        <v>879</v>
      </c>
      <c r="D266" s="5" t="s">
        <v>452</v>
      </c>
      <c r="E266" s="5" t="s">
        <v>109</v>
      </c>
      <c r="F266" s="5" t="s">
        <v>164</v>
      </c>
      <c r="G266" s="5" t="s">
        <v>33</v>
      </c>
      <c r="H266" s="5" t="s">
        <v>33</v>
      </c>
      <c r="I266" s="6">
        <v>0.0</v>
      </c>
      <c r="J266" s="8">
        <v>1.08</v>
      </c>
      <c r="K266" s="5" t="str">
        <f t="shared" si="1"/>
        <v>Bengaluru -&gt; Chennai</v>
      </c>
    </row>
    <row r="267" ht="15.75" customHeight="1">
      <c r="A267" s="5" t="s">
        <v>882</v>
      </c>
      <c r="B267" s="5" t="s">
        <v>45</v>
      </c>
      <c r="C267" s="6" t="s">
        <v>339</v>
      </c>
      <c r="D267" s="5" t="s">
        <v>452</v>
      </c>
      <c r="E267" s="5" t="s">
        <v>109</v>
      </c>
      <c r="F267" s="5" t="s">
        <v>164</v>
      </c>
      <c r="G267" s="5" t="s">
        <v>54</v>
      </c>
      <c r="H267" s="5" t="s">
        <v>54</v>
      </c>
      <c r="I267" s="6">
        <v>1.0</v>
      </c>
      <c r="J267" s="8">
        <v>47.75</v>
      </c>
      <c r="K267" s="5" t="str">
        <f t="shared" si="1"/>
        <v>Bengaluru -&gt; Chennai</v>
      </c>
    </row>
    <row r="268" ht="15.75" customHeight="1">
      <c r="A268" s="5" t="s">
        <v>887</v>
      </c>
      <c r="B268" s="5" t="s">
        <v>20</v>
      </c>
      <c r="C268" s="6" t="s">
        <v>363</v>
      </c>
      <c r="D268" s="5" t="s">
        <v>452</v>
      </c>
      <c r="E268" s="5" t="s">
        <v>109</v>
      </c>
      <c r="F268" s="5" t="s">
        <v>164</v>
      </c>
      <c r="G268" s="5" t="s">
        <v>35</v>
      </c>
      <c r="H268" s="5" t="s">
        <v>35</v>
      </c>
      <c r="I268" s="6">
        <v>1.0</v>
      </c>
      <c r="J268" s="8">
        <v>23.08</v>
      </c>
      <c r="K268" s="5" t="str">
        <f t="shared" si="1"/>
        <v>Bengaluru -&gt; Chennai</v>
      </c>
    </row>
    <row r="269" ht="15.75" customHeight="1">
      <c r="A269" s="5" t="s">
        <v>890</v>
      </c>
      <c r="B269" s="5" t="s">
        <v>58</v>
      </c>
      <c r="C269" s="6" t="s">
        <v>893</v>
      </c>
      <c r="D269" s="5" t="s">
        <v>452</v>
      </c>
      <c r="E269" s="5" t="s">
        <v>109</v>
      </c>
      <c r="F269" s="5" t="s">
        <v>164</v>
      </c>
      <c r="G269" s="5" t="s">
        <v>33</v>
      </c>
      <c r="H269" s="5" t="s">
        <v>47</v>
      </c>
      <c r="I269" s="6">
        <v>1.0</v>
      </c>
      <c r="J269" s="8">
        <v>7.92</v>
      </c>
      <c r="K269" s="5" t="str">
        <f t="shared" si="1"/>
        <v>Bengaluru -&gt; Chennai</v>
      </c>
    </row>
    <row r="270" ht="15.75" customHeight="1">
      <c r="A270" s="5" t="s">
        <v>896</v>
      </c>
      <c r="B270" s="5" t="s">
        <v>45</v>
      </c>
      <c r="C270" s="6" t="s">
        <v>425</v>
      </c>
      <c r="D270" s="5" t="s">
        <v>452</v>
      </c>
      <c r="E270" s="5" t="s">
        <v>109</v>
      </c>
      <c r="F270" s="5" t="s">
        <v>164</v>
      </c>
      <c r="G270" s="5" t="s">
        <v>47</v>
      </c>
      <c r="H270" s="5" t="s">
        <v>35</v>
      </c>
      <c r="I270" s="6">
        <v>1.0</v>
      </c>
      <c r="J270" s="8">
        <v>10.25</v>
      </c>
      <c r="K270" s="5" t="str">
        <f t="shared" si="1"/>
        <v>Bengaluru -&gt; Chennai</v>
      </c>
    </row>
    <row r="271" ht="15.75" customHeight="1">
      <c r="A271" s="5" t="s">
        <v>901</v>
      </c>
      <c r="B271" s="5" t="s">
        <v>45</v>
      </c>
      <c r="C271" s="6" t="s">
        <v>339</v>
      </c>
      <c r="D271" s="5" t="s">
        <v>452</v>
      </c>
      <c r="E271" s="5" t="s">
        <v>109</v>
      </c>
      <c r="F271" s="5" t="s">
        <v>164</v>
      </c>
      <c r="G271" s="5" t="s">
        <v>54</v>
      </c>
      <c r="H271" s="5" t="s">
        <v>54</v>
      </c>
      <c r="I271" s="6" t="s">
        <v>180</v>
      </c>
      <c r="J271" s="8">
        <v>21.08</v>
      </c>
      <c r="K271" s="5" t="str">
        <f t="shared" si="1"/>
        <v>Bengaluru -&gt; Chennai</v>
      </c>
    </row>
    <row r="272" ht="15.75" customHeight="1">
      <c r="A272" s="5" t="s">
        <v>904</v>
      </c>
      <c r="B272" s="5" t="s">
        <v>45</v>
      </c>
      <c r="C272" s="6" t="s">
        <v>435</v>
      </c>
      <c r="D272" s="5" t="s">
        <v>452</v>
      </c>
      <c r="E272" s="5" t="s">
        <v>109</v>
      </c>
      <c r="F272" s="5" t="s">
        <v>164</v>
      </c>
      <c r="G272" s="5" t="s">
        <v>54</v>
      </c>
      <c r="H272" s="5" t="s">
        <v>33</v>
      </c>
      <c r="I272" s="6">
        <v>1.0</v>
      </c>
      <c r="J272" s="8">
        <v>13.75</v>
      </c>
      <c r="K272" s="5" t="str">
        <f t="shared" si="1"/>
        <v>Bengaluru -&gt; Chennai</v>
      </c>
    </row>
    <row r="273" ht="15.75" customHeight="1">
      <c r="A273" s="5" t="s">
        <v>909</v>
      </c>
      <c r="B273" s="5" t="s">
        <v>45</v>
      </c>
      <c r="C273" s="6" t="s">
        <v>562</v>
      </c>
      <c r="D273" s="5" t="s">
        <v>452</v>
      </c>
      <c r="E273" s="5" t="s">
        <v>109</v>
      </c>
      <c r="F273" s="5" t="s">
        <v>164</v>
      </c>
      <c r="G273" s="5" t="s">
        <v>54</v>
      </c>
      <c r="H273" s="5" t="s">
        <v>35</v>
      </c>
      <c r="I273" s="6">
        <v>1.0</v>
      </c>
      <c r="J273" s="8">
        <v>26.5</v>
      </c>
      <c r="K273" s="5" t="str">
        <f t="shared" si="1"/>
        <v>Bengaluru -&gt; Chennai</v>
      </c>
    </row>
    <row r="274" ht="15.75" customHeight="1">
      <c r="A274" s="5" t="s">
        <v>912</v>
      </c>
      <c r="B274" s="5" t="s">
        <v>45</v>
      </c>
      <c r="C274" s="6" t="s">
        <v>339</v>
      </c>
      <c r="D274" s="5" t="s">
        <v>452</v>
      </c>
      <c r="E274" s="5" t="s">
        <v>109</v>
      </c>
      <c r="F274" s="5" t="s">
        <v>164</v>
      </c>
      <c r="G274" s="5" t="s">
        <v>54</v>
      </c>
      <c r="H274" s="5" t="s">
        <v>33</v>
      </c>
      <c r="I274" s="6">
        <v>1.0</v>
      </c>
      <c r="J274" s="8">
        <v>36.83</v>
      </c>
      <c r="K274" s="5" t="str">
        <f t="shared" si="1"/>
        <v>Bengaluru -&gt; Chennai</v>
      </c>
    </row>
    <row r="275" ht="15.75" customHeight="1">
      <c r="A275" s="5" t="s">
        <v>915</v>
      </c>
      <c r="B275" s="5" t="s">
        <v>72</v>
      </c>
      <c r="C275" s="6" t="s">
        <v>916</v>
      </c>
      <c r="D275" s="5" t="s">
        <v>452</v>
      </c>
      <c r="E275" s="5" t="s">
        <v>109</v>
      </c>
      <c r="F275" s="5" t="s">
        <v>164</v>
      </c>
      <c r="G275" s="5" t="s">
        <v>33</v>
      </c>
      <c r="H275" s="5" t="s">
        <v>33</v>
      </c>
      <c r="I275" s="6">
        <v>0.0</v>
      </c>
      <c r="J275" s="8">
        <v>1.08</v>
      </c>
      <c r="K275" s="5" t="str">
        <f t="shared" si="1"/>
        <v>Bengaluru -&gt; Chennai</v>
      </c>
    </row>
    <row r="276" ht="15.75" customHeight="1">
      <c r="A276" s="5" t="s">
        <v>919</v>
      </c>
      <c r="B276" s="5" t="s">
        <v>43</v>
      </c>
      <c r="C276" s="6" t="s">
        <v>922</v>
      </c>
      <c r="D276" s="5" t="s">
        <v>452</v>
      </c>
      <c r="E276" s="5" t="s">
        <v>109</v>
      </c>
      <c r="F276" s="5" t="s">
        <v>164</v>
      </c>
      <c r="G276" s="5" t="s">
        <v>54</v>
      </c>
      <c r="H276" s="5" t="s">
        <v>54</v>
      </c>
      <c r="I276" s="6">
        <v>0.0</v>
      </c>
      <c r="J276" s="8">
        <v>1.0</v>
      </c>
      <c r="K276" s="5" t="str">
        <f t="shared" si="1"/>
        <v>Bengaluru -&gt; Chennai</v>
      </c>
    </row>
    <row r="277" ht="15.75" customHeight="1">
      <c r="A277" s="5" t="s">
        <v>923</v>
      </c>
      <c r="B277" s="5" t="s">
        <v>45</v>
      </c>
      <c r="C277" s="6" t="s">
        <v>578</v>
      </c>
      <c r="D277" s="5" t="s">
        <v>452</v>
      </c>
      <c r="E277" s="5" t="s">
        <v>109</v>
      </c>
      <c r="F277" s="5" t="s">
        <v>164</v>
      </c>
      <c r="G277" s="5" t="s">
        <v>33</v>
      </c>
      <c r="H277" s="5" t="s">
        <v>33</v>
      </c>
      <c r="I277" s="6">
        <v>1.0</v>
      </c>
      <c r="J277" s="8">
        <v>22.5</v>
      </c>
      <c r="K277" s="5" t="str">
        <f t="shared" si="1"/>
        <v>Bengaluru -&gt; Chennai</v>
      </c>
    </row>
    <row r="278" ht="15.75" customHeight="1">
      <c r="A278" s="5" t="s">
        <v>926</v>
      </c>
      <c r="B278" s="5" t="s">
        <v>20</v>
      </c>
      <c r="C278" s="6" t="s">
        <v>927</v>
      </c>
      <c r="D278" s="5" t="s">
        <v>452</v>
      </c>
      <c r="E278" s="5" t="s">
        <v>109</v>
      </c>
      <c r="F278" s="5" t="s">
        <v>164</v>
      </c>
      <c r="G278" s="5" t="s">
        <v>35</v>
      </c>
      <c r="H278" s="5" t="s">
        <v>54</v>
      </c>
      <c r="I278" s="6">
        <v>1.0</v>
      </c>
      <c r="J278" s="8">
        <v>22.25</v>
      </c>
      <c r="K278" s="5" t="str">
        <f t="shared" si="1"/>
        <v>Bengaluru -&gt; Chennai</v>
      </c>
    </row>
    <row r="279" ht="15.75" customHeight="1">
      <c r="A279" s="5" t="s">
        <v>928</v>
      </c>
      <c r="B279" s="5" t="s">
        <v>45</v>
      </c>
      <c r="C279" s="6" t="s">
        <v>441</v>
      </c>
      <c r="D279" s="5" t="s">
        <v>452</v>
      </c>
      <c r="E279" s="5" t="s">
        <v>109</v>
      </c>
      <c r="F279" s="5" t="s">
        <v>164</v>
      </c>
      <c r="G279" s="5" t="s">
        <v>54</v>
      </c>
      <c r="H279" s="5" t="s">
        <v>54</v>
      </c>
      <c r="I279" s="6">
        <v>1.0</v>
      </c>
      <c r="J279" s="8">
        <v>25.17</v>
      </c>
      <c r="K279" s="5" t="str">
        <f t="shared" si="1"/>
        <v>Bengaluru -&gt; Chennai</v>
      </c>
    </row>
    <row r="280" ht="15.75" customHeight="1">
      <c r="A280" s="5" t="s">
        <v>931</v>
      </c>
      <c r="B280" s="5" t="s">
        <v>45</v>
      </c>
      <c r="C280" s="6" t="s">
        <v>932</v>
      </c>
      <c r="D280" s="5" t="s">
        <v>452</v>
      </c>
      <c r="E280" s="5" t="s">
        <v>109</v>
      </c>
      <c r="F280" s="5" t="s">
        <v>164</v>
      </c>
      <c r="G280" s="5" t="s">
        <v>47</v>
      </c>
      <c r="H280" s="5" t="s">
        <v>54</v>
      </c>
      <c r="I280" s="6">
        <v>1.0</v>
      </c>
      <c r="J280" s="8">
        <v>25.83</v>
      </c>
      <c r="K280" s="5" t="str">
        <f t="shared" si="1"/>
        <v>Bengaluru -&gt; Chennai</v>
      </c>
    </row>
    <row r="281" ht="15.75" customHeight="1">
      <c r="A281" s="5" t="s">
        <v>935</v>
      </c>
      <c r="B281" s="5" t="s">
        <v>45</v>
      </c>
      <c r="C281" s="6" t="s">
        <v>562</v>
      </c>
      <c r="D281" s="5" t="s">
        <v>452</v>
      </c>
      <c r="E281" s="5" t="s">
        <v>109</v>
      </c>
      <c r="F281" s="5" t="s">
        <v>164</v>
      </c>
      <c r="G281" s="5" t="s">
        <v>54</v>
      </c>
      <c r="H281" s="5" t="s">
        <v>33</v>
      </c>
      <c r="I281" s="6">
        <v>1.0</v>
      </c>
      <c r="J281" s="8">
        <v>16.08</v>
      </c>
      <c r="K281" s="5" t="str">
        <f t="shared" si="1"/>
        <v>Bengaluru -&gt; Chennai</v>
      </c>
    </row>
    <row r="282" ht="15.75" customHeight="1">
      <c r="A282" s="5" t="s">
        <v>938</v>
      </c>
      <c r="B282" s="5" t="s">
        <v>58</v>
      </c>
      <c r="C282" s="6" t="s">
        <v>939</v>
      </c>
      <c r="D282" s="5" t="s">
        <v>475</v>
      </c>
      <c r="E282" s="5" t="s">
        <v>132</v>
      </c>
      <c r="F282" s="5" t="s">
        <v>27</v>
      </c>
      <c r="G282" s="5" t="s">
        <v>54</v>
      </c>
      <c r="H282" s="5" t="s">
        <v>35</v>
      </c>
      <c r="I282" s="6">
        <v>1.0</v>
      </c>
      <c r="J282" s="8">
        <v>7.0</v>
      </c>
      <c r="K282" s="5" t="str">
        <f t="shared" si="1"/>
        <v>Kolkata -&gt; Delhi</v>
      </c>
    </row>
    <row r="283" ht="15.75" customHeight="1">
      <c r="A283" s="5" t="s">
        <v>942</v>
      </c>
      <c r="B283" s="5" t="s">
        <v>45</v>
      </c>
      <c r="C283" s="6" t="s">
        <v>943</v>
      </c>
      <c r="D283" s="5" t="s">
        <v>475</v>
      </c>
      <c r="E283" s="5" t="s">
        <v>132</v>
      </c>
      <c r="F283" s="5" t="s">
        <v>27</v>
      </c>
      <c r="G283" s="5" t="s">
        <v>33</v>
      </c>
      <c r="H283" s="5" t="s">
        <v>35</v>
      </c>
      <c r="I283" s="6">
        <v>1.0</v>
      </c>
      <c r="J283" s="8">
        <v>11.08</v>
      </c>
      <c r="K283" s="5" t="str">
        <f t="shared" si="1"/>
        <v>Kolkata -&gt; Delhi</v>
      </c>
    </row>
    <row r="284" ht="15.75" customHeight="1">
      <c r="A284" s="5" t="s">
        <v>946</v>
      </c>
      <c r="B284" s="5" t="s">
        <v>58</v>
      </c>
      <c r="C284" s="6" t="s">
        <v>947</v>
      </c>
      <c r="D284" s="5" t="s">
        <v>475</v>
      </c>
      <c r="E284" s="5" t="s">
        <v>132</v>
      </c>
      <c r="F284" s="5" t="s">
        <v>27</v>
      </c>
      <c r="G284" s="5" t="s">
        <v>33</v>
      </c>
      <c r="H284" s="5" t="s">
        <v>54</v>
      </c>
      <c r="I284" s="6">
        <v>1.0</v>
      </c>
      <c r="J284" s="8">
        <v>10.08</v>
      </c>
      <c r="K284" s="5" t="str">
        <f t="shared" si="1"/>
        <v>Kolkata -&gt; Delhi</v>
      </c>
    </row>
    <row r="285" ht="15.75" customHeight="1">
      <c r="A285" s="5" t="s">
        <v>951</v>
      </c>
      <c r="B285" s="5" t="s">
        <v>43</v>
      </c>
      <c r="C285" s="6" t="s">
        <v>953</v>
      </c>
      <c r="D285" s="5" t="s">
        <v>475</v>
      </c>
      <c r="E285" s="5" t="s">
        <v>132</v>
      </c>
      <c r="F285" s="5" t="s">
        <v>27</v>
      </c>
      <c r="G285" s="5" t="s">
        <v>35</v>
      </c>
      <c r="H285" s="5" t="s">
        <v>35</v>
      </c>
      <c r="I285" s="6">
        <v>0.0</v>
      </c>
      <c r="J285" s="8">
        <v>2.42</v>
      </c>
      <c r="K285" s="5" t="str">
        <f t="shared" si="1"/>
        <v>Kolkata -&gt; Delhi</v>
      </c>
    </row>
    <row r="286" ht="15.75" customHeight="1">
      <c r="A286" s="5" t="s">
        <v>956</v>
      </c>
      <c r="B286" s="5" t="s">
        <v>45</v>
      </c>
      <c r="C286" s="6" t="s">
        <v>957</v>
      </c>
      <c r="D286" s="5" t="s">
        <v>475</v>
      </c>
      <c r="E286" s="5" t="s">
        <v>132</v>
      </c>
      <c r="F286" s="5" t="s">
        <v>27</v>
      </c>
      <c r="G286" s="5" t="s">
        <v>54</v>
      </c>
      <c r="H286" s="5" t="s">
        <v>35</v>
      </c>
      <c r="I286" s="6">
        <v>1.0</v>
      </c>
      <c r="J286" s="8">
        <v>26.0</v>
      </c>
      <c r="K286" s="5" t="str">
        <f t="shared" si="1"/>
        <v>Kolkata -&gt; Delhi</v>
      </c>
    </row>
    <row r="287" ht="15.75" customHeight="1">
      <c r="A287" s="5" t="s">
        <v>960</v>
      </c>
      <c r="B287" s="5" t="s">
        <v>20</v>
      </c>
      <c r="C287" s="6" t="s">
        <v>961</v>
      </c>
      <c r="D287" s="5" t="s">
        <v>475</v>
      </c>
      <c r="E287" s="5" t="s">
        <v>132</v>
      </c>
      <c r="F287" s="5" t="s">
        <v>27</v>
      </c>
      <c r="G287" s="5" t="s">
        <v>54</v>
      </c>
      <c r="H287" s="5" t="s">
        <v>35</v>
      </c>
      <c r="I287" s="6">
        <v>1.0</v>
      </c>
      <c r="J287" s="8">
        <v>28.33</v>
      </c>
      <c r="K287" s="5" t="str">
        <f t="shared" si="1"/>
        <v>Kolkata -&gt; Delhi</v>
      </c>
    </row>
    <row r="288" ht="15.75" customHeight="1">
      <c r="A288" s="5" t="s">
        <v>964</v>
      </c>
      <c r="B288" s="5" t="s">
        <v>58</v>
      </c>
      <c r="C288" s="6" t="s">
        <v>965</v>
      </c>
      <c r="D288" s="5" t="s">
        <v>475</v>
      </c>
      <c r="E288" s="5" t="s">
        <v>132</v>
      </c>
      <c r="F288" s="5" t="s">
        <v>27</v>
      </c>
      <c r="G288" s="5" t="s">
        <v>47</v>
      </c>
      <c r="H288" s="5" t="s">
        <v>35</v>
      </c>
      <c r="I288" s="6">
        <v>1.0</v>
      </c>
      <c r="J288" s="8">
        <v>10.33</v>
      </c>
      <c r="K288" s="5" t="str">
        <f t="shared" si="1"/>
        <v>Kolkata -&gt; Delhi</v>
      </c>
    </row>
    <row r="289" ht="15.75" customHeight="1">
      <c r="A289" s="5" t="s">
        <v>968</v>
      </c>
      <c r="B289" s="5" t="s">
        <v>43</v>
      </c>
      <c r="C289" s="6" t="s">
        <v>969</v>
      </c>
      <c r="D289" s="5" t="s">
        <v>475</v>
      </c>
      <c r="E289" s="5" t="s">
        <v>132</v>
      </c>
      <c r="F289" s="5" t="s">
        <v>27</v>
      </c>
      <c r="G289" s="5" t="s">
        <v>47</v>
      </c>
      <c r="H289" s="5" t="s">
        <v>54</v>
      </c>
      <c r="I289" s="6">
        <v>1.0</v>
      </c>
      <c r="J289" s="8">
        <v>6.0</v>
      </c>
      <c r="K289" s="5" t="str">
        <f t="shared" si="1"/>
        <v>Kolkata -&gt; Delhi</v>
      </c>
    </row>
    <row r="290" ht="15.75" customHeight="1">
      <c r="A290" s="5" t="s">
        <v>971</v>
      </c>
      <c r="B290" s="5" t="s">
        <v>45</v>
      </c>
      <c r="C290" s="6" t="s">
        <v>973</v>
      </c>
      <c r="D290" s="5" t="s">
        <v>475</v>
      </c>
      <c r="E290" s="5" t="s">
        <v>132</v>
      </c>
      <c r="F290" s="5" t="s">
        <v>27</v>
      </c>
      <c r="G290" s="5" t="s">
        <v>47</v>
      </c>
      <c r="H290" s="5" t="s">
        <v>33</v>
      </c>
      <c r="I290" s="6">
        <v>1.0</v>
      </c>
      <c r="J290" s="8">
        <v>18.75</v>
      </c>
      <c r="K290" s="5" t="str">
        <f t="shared" si="1"/>
        <v>Kolkata -&gt; Delhi</v>
      </c>
    </row>
    <row r="291" ht="15.75" customHeight="1">
      <c r="A291" s="5" t="s">
        <v>974</v>
      </c>
      <c r="B291" s="5" t="s">
        <v>43</v>
      </c>
      <c r="C291" s="6" t="s">
        <v>975</v>
      </c>
      <c r="D291" s="5" t="s">
        <v>475</v>
      </c>
      <c r="E291" s="5" t="s">
        <v>132</v>
      </c>
      <c r="F291" s="5" t="s">
        <v>27</v>
      </c>
      <c r="G291" s="5" t="s">
        <v>47</v>
      </c>
      <c r="H291" s="5" t="s">
        <v>35</v>
      </c>
      <c r="I291" s="6">
        <v>1.0</v>
      </c>
      <c r="J291" s="8">
        <v>7.33</v>
      </c>
      <c r="K291" s="5" t="str">
        <f t="shared" si="1"/>
        <v>Kolkata -&gt; Delhi</v>
      </c>
    </row>
    <row r="292" ht="15.75" customHeight="1">
      <c r="A292" s="5" t="s">
        <v>978</v>
      </c>
      <c r="B292" s="5" t="s">
        <v>45</v>
      </c>
      <c r="C292" s="6" t="s">
        <v>979</v>
      </c>
      <c r="D292" s="5" t="s">
        <v>475</v>
      </c>
      <c r="E292" s="5" t="s">
        <v>132</v>
      </c>
      <c r="F292" s="5" t="s">
        <v>27</v>
      </c>
      <c r="G292" s="5" t="s">
        <v>33</v>
      </c>
      <c r="H292" s="5" t="s">
        <v>35</v>
      </c>
      <c r="I292" s="6">
        <v>1.0</v>
      </c>
      <c r="J292" s="8">
        <v>12.17</v>
      </c>
      <c r="K292" s="5" t="str">
        <f t="shared" si="1"/>
        <v>Kolkata -&gt; Delhi</v>
      </c>
    </row>
    <row r="293" ht="15.75" customHeight="1">
      <c r="A293" s="5" t="s">
        <v>982</v>
      </c>
      <c r="B293" s="5" t="s">
        <v>43</v>
      </c>
      <c r="C293" s="6" t="s">
        <v>983</v>
      </c>
      <c r="D293" s="5" t="s">
        <v>475</v>
      </c>
      <c r="E293" s="5" t="s">
        <v>132</v>
      </c>
      <c r="F293" s="5" t="s">
        <v>27</v>
      </c>
      <c r="G293" s="5" t="s">
        <v>47</v>
      </c>
      <c r="H293" s="5" t="s">
        <v>35</v>
      </c>
      <c r="I293" s="6">
        <v>1.0</v>
      </c>
      <c r="J293" s="8">
        <v>10.25</v>
      </c>
      <c r="K293" s="5" t="str">
        <f t="shared" si="1"/>
        <v>Kolkata -&gt; Delhi</v>
      </c>
    </row>
    <row r="294" ht="15.75" customHeight="1">
      <c r="A294" s="5" t="s">
        <v>986</v>
      </c>
      <c r="B294" s="5" t="s">
        <v>45</v>
      </c>
      <c r="C294" s="6" t="s">
        <v>979</v>
      </c>
      <c r="D294" s="5" t="s">
        <v>475</v>
      </c>
      <c r="E294" s="5" t="s">
        <v>132</v>
      </c>
      <c r="F294" s="5" t="s">
        <v>27</v>
      </c>
      <c r="G294" s="5" t="s">
        <v>33</v>
      </c>
      <c r="H294" s="5" t="s">
        <v>35</v>
      </c>
      <c r="I294" s="6">
        <v>1.0</v>
      </c>
      <c r="J294" s="8">
        <v>12.33</v>
      </c>
      <c r="K294" s="5" t="str">
        <f t="shared" si="1"/>
        <v>Kolkata -&gt; Delhi</v>
      </c>
    </row>
    <row r="295" ht="15.75" customHeight="1">
      <c r="A295" s="5" t="s">
        <v>992</v>
      </c>
      <c r="B295" s="5" t="s">
        <v>45</v>
      </c>
      <c r="C295" s="6" t="s">
        <v>994</v>
      </c>
      <c r="D295" s="5" t="s">
        <v>475</v>
      </c>
      <c r="E295" s="5" t="s">
        <v>132</v>
      </c>
      <c r="F295" s="5" t="s">
        <v>27</v>
      </c>
      <c r="G295" s="5" t="s">
        <v>33</v>
      </c>
      <c r="H295" s="5" t="s">
        <v>35</v>
      </c>
      <c r="I295" s="6">
        <v>1.0</v>
      </c>
      <c r="J295" s="8">
        <v>16.17</v>
      </c>
      <c r="K295" s="5" t="str">
        <f t="shared" si="1"/>
        <v>Kolkata -&gt; Delhi</v>
      </c>
    </row>
    <row r="296" ht="15.75" customHeight="1">
      <c r="A296" s="5" t="s">
        <v>1001</v>
      </c>
      <c r="B296" s="5" t="s">
        <v>43</v>
      </c>
      <c r="C296" s="6" t="s">
        <v>1002</v>
      </c>
      <c r="D296" s="5" t="s">
        <v>475</v>
      </c>
      <c r="E296" s="5" t="s">
        <v>132</v>
      </c>
      <c r="F296" s="5" t="s">
        <v>27</v>
      </c>
      <c r="G296" s="5" t="s">
        <v>33</v>
      </c>
      <c r="H296" s="5" t="s">
        <v>47</v>
      </c>
      <c r="I296" s="6">
        <v>1.0</v>
      </c>
      <c r="J296" s="8">
        <v>8.25</v>
      </c>
      <c r="K296" s="5" t="str">
        <f t="shared" si="1"/>
        <v>Kolkata -&gt; Delhi</v>
      </c>
    </row>
    <row r="297" ht="15.75" customHeight="1">
      <c r="A297" s="5" t="s">
        <v>1003</v>
      </c>
      <c r="B297" s="5" t="s">
        <v>20</v>
      </c>
      <c r="C297" s="6" t="s">
        <v>1006</v>
      </c>
      <c r="D297" s="5" t="s">
        <v>475</v>
      </c>
      <c r="E297" s="5" t="s">
        <v>132</v>
      </c>
      <c r="F297" s="5" t="s">
        <v>27</v>
      </c>
      <c r="G297" s="5" t="s">
        <v>33</v>
      </c>
      <c r="H297" s="5" t="s">
        <v>35</v>
      </c>
      <c r="I297" s="6">
        <v>1.0</v>
      </c>
      <c r="J297" s="8">
        <v>10.25</v>
      </c>
      <c r="K297" s="5" t="str">
        <f t="shared" si="1"/>
        <v>Kolkata -&gt; Delhi</v>
      </c>
    </row>
    <row r="298" ht="15.75" customHeight="1">
      <c r="A298" s="5" t="s">
        <v>1010</v>
      </c>
      <c r="B298" s="5" t="s">
        <v>45</v>
      </c>
      <c r="C298" s="6" t="s">
        <v>1014</v>
      </c>
      <c r="D298" s="5" t="s">
        <v>475</v>
      </c>
      <c r="E298" s="5" t="s">
        <v>132</v>
      </c>
      <c r="F298" s="5" t="s">
        <v>27</v>
      </c>
      <c r="G298" s="5" t="s">
        <v>47</v>
      </c>
      <c r="H298" s="5" t="s">
        <v>54</v>
      </c>
      <c r="I298" s="6">
        <v>1.0</v>
      </c>
      <c r="J298" s="8">
        <v>28.0</v>
      </c>
      <c r="K298" s="5" t="str">
        <f t="shared" si="1"/>
        <v>Kolkata -&gt; Delhi</v>
      </c>
    </row>
    <row r="299" ht="15.75" customHeight="1">
      <c r="A299" s="5" t="s">
        <v>1027</v>
      </c>
      <c r="B299" s="5" t="s">
        <v>45</v>
      </c>
      <c r="C299" s="6" t="s">
        <v>1029</v>
      </c>
      <c r="D299" s="5" t="s">
        <v>475</v>
      </c>
      <c r="E299" s="5" t="s">
        <v>132</v>
      </c>
      <c r="F299" s="5" t="s">
        <v>27</v>
      </c>
      <c r="G299" s="5" t="s">
        <v>47</v>
      </c>
      <c r="H299" s="5" t="s">
        <v>33</v>
      </c>
      <c r="I299" s="6">
        <v>1.0</v>
      </c>
      <c r="J299" s="8">
        <v>21.75</v>
      </c>
      <c r="K299" s="5" t="str">
        <f t="shared" si="1"/>
        <v>Kolkata -&gt; Delhi</v>
      </c>
    </row>
    <row r="300" ht="15.75" customHeight="1">
      <c r="A300" s="5" t="s">
        <v>1040</v>
      </c>
      <c r="B300" s="5" t="s">
        <v>45</v>
      </c>
      <c r="C300" s="6" t="s">
        <v>1042</v>
      </c>
      <c r="D300" s="5" t="s">
        <v>475</v>
      </c>
      <c r="E300" s="5" t="s">
        <v>132</v>
      </c>
      <c r="F300" s="5" t="s">
        <v>27</v>
      </c>
      <c r="G300" s="5" t="s">
        <v>47</v>
      </c>
      <c r="H300" s="5" t="s">
        <v>54</v>
      </c>
      <c r="I300" s="6">
        <v>1.0</v>
      </c>
      <c r="J300" s="8">
        <v>29.67</v>
      </c>
      <c r="K300" s="5" t="str">
        <f t="shared" si="1"/>
        <v>Kolkata -&gt; Delhi</v>
      </c>
    </row>
    <row r="301" ht="15.75" customHeight="1">
      <c r="A301" s="5" t="s">
        <v>1049</v>
      </c>
      <c r="B301" s="5" t="s">
        <v>20</v>
      </c>
      <c r="C301" s="6" t="s">
        <v>1006</v>
      </c>
      <c r="D301" s="5" t="s">
        <v>475</v>
      </c>
      <c r="E301" s="5" t="s">
        <v>132</v>
      </c>
      <c r="F301" s="5" t="s">
        <v>27</v>
      </c>
      <c r="G301" s="5" t="s">
        <v>33</v>
      </c>
      <c r="H301" s="5" t="s">
        <v>35</v>
      </c>
      <c r="I301" s="6">
        <v>1.0</v>
      </c>
      <c r="J301" s="8">
        <v>34.08</v>
      </c>
      <c r="K301" s="5" t="str">
        <f t="shared" si="1"/>
        <v>Kolkata -&gt; Delhi</v>
      </c>
    </row>
    <row r="302" ht="15.75" customHeight="1">
      <c r="A302" s="5" t="s">
        <v>1063</v>
      </c>
      <c r="B302" s="5" t="s">
        <v>45</v>
      </c>
      <c r="C302" s="6" t="s">
        <v>973</v>
      </c>
      <c r="D302" s="5" t="s">
        <v>475</v>
      </c>
      <c r="E302" s="5" t="s">
        <v>132</v>
      </c>
      <c r="F302" s="5" t="s">
        <v>27</v>
      </c>
      <c r="G302" s="5" t="s">
        <v>47</v>
      </c>
      <c r="H302" s="5" t="s">
        <v>54</v>
      </c>
      <c r="I302" s="6">
        <v>1.0</v>
      </c>
      <c r="J302" s="8">
        <v>25.92</v>
      </c>
      <c r="K302" s="5" t="str">
        <f t="shared" si="1"/>
        <v>Kolkata -&gt; Delhi</v>
      </c>
    </row>
    <row r="303" ht="15.75" customHeight="1">
      <c r="A303" s="5" t="s">
        <v>1066</v>
      </c>
      <c r="B303" s="5" t="s">
        <v>43</v>
      </c>
      <c r="C303" s="6" t="s">
        <v>1068</v>
      </c>
      <c r="D303" s="5" t="s">
        <v>475</v>
      </c>
      <c r="E303" s="5" t="s">
        <v>132</v>
      </c>
      <c r="F303" s="5" t="s">
        <v>27</v>
      </c>
      <c r="G303" s="5" t="s">
        <v>33</v>
      </c>
      <c r="H303" s="5" t="s">
        <v>47</v>
      </c>
      <c r="I303" s="6">
        <v>0.0</v>
      </c>
      <c r="J303" s="8">
        <v>2.42</v>
      </c>
      <c r="K303" s="5" t="str">
        <f t="shared" si="1"/>
        <v>Kolkata -&gt; Delhi</v>
      </c>
    </row>
    <row r="304" ht="15.75" customHeight="1">
      <c r="A304" s="5" t="s">
        <v>1070</v>
      </c>
      <c r="B304" s="5" t="s">
        <v>43</v>
      </c>
      <c r="C304" s="6" t="s">
        <v>1071</v>
      </c>
      <c r="D304" s="5" t="s">
        <v>475</v>
      </c>
      <c r="E304" s="5" t="s">
        <v>132</v>
      </c>
      <c r="F304" s="5" t="s">
        <v>27</v>
      </c>
      <c r="G304" s="5" t="s">
        <v>33</v>
      </c>
      <c r="H304" s="5" t="s">
        <v>47</v>
      </c>
      <c r="I304" s="6">
        <v>1.0</v>
      </c>
      <c r="J304" s="8">
        <v>6.33</v>
      </c>
      <c r="K304" s="5" t="str">
        <f t="shared" si="1"/>
        <v>Kolkata -&gt; Delhi</v>
      </c>
    </row>
    <row r="305" ht="15.75" customHeight="1">
      <c r="A305" s="5" t="s">
        <v>1074</v>
      </c>
      <c r="B305" s="5" t="s">
        <v>43</v>
      </c>
      <c r="C305" s="6" t="s">
        <v>1075</v>
      </c>
      <c r="D305" s="5" t="s">
        <v>475</v>
      </c>
      <c r="E305" s="5" t="s">
        <v>132</v>
      </c>
      <c r="F305" s="5" t="s">
        <v>27</v>
      </c>
      <c r="G305" s="5" t="s">
        <v>54</v>
      </c>
      <c r="H305" s="5" t="s">
        <v>35</v>
      </c>
      <c r="I305" s="6">
        <v>0.0</v>
      </c>
      <c r="J305" s="8">
        <v>2.42</v>
      </c>
      <c r="K305" s="5" t="str">
        <f t="shared" si="1"/>
        <v>Kolkata -&gt; Delhi</v>
      </c>
    </row>
    <row r="306" ht="15.75" customHeight="1">
      <c r="A306" s="5" t="s">
        <v>1078</v>
      </c>
      <c r="B306" s="5" t="s">
        <v>43</v>
      </c>
      <c r="C306" s="6" t="s">
        <v>1079</v>
      </c>
      <c r="D306" s="5" t="s">
        <v>475</v>
      </c>
      <c r="E306" s="5" t="s">
        <v>132</v>
      </c>
      <c r="F306" s="5" t="s">
        <v>27</v>
      </c>
      <c r="G306" s="5" t="s">
        <v>33</v>
      </c>
      <c r="H306" s="5" t="s">
        <v>33</v>
      </c>
      <c r="I306" s="6">
        <v>1.0</v>
      </c>
      <c r="J306" s="8">
        <v>6.08</v>
      </c>
      <c r="K306" s="5" t="str">
        <f t="shared" si="1"/>
        <v>Kolkata -&gt; Delhi</v>
      </c>
    </row>
    <row r="307" ht="15.75" customHeight="1">
      <c r="A307" s="5" t="s">
        <v>1082</v>
      </c>
      <c r="B307" s="5" t="s">
        <v>45</v>
      </c>
      <c r="C307" s="6" t="s">
        <v>1029</v>
      </c>
      <c r="D307" s="5" t="s">
        <v>475</v>
      </c>
      <c r="E307" s="5" t="s">
        <v>132</v>
      </c>
      <c r="F307" s="5" t="s">
        <v>27</v>
      </c>
      <c r="G307" s="5" t="s">
        <v>47</v>
      </c>
      <c r="H307" s="5" t="s">
        <v>33</v>
      </c>
      <c r="I307" s="6">
        <v>1.0</v>
      </c>
      <c r="J307" s="8">
        <v>22.17</v>
      </c>
      <c r="K307" s="5" t="str">
        <f t="shared" si="1"/>
        <v>Kolkata -&gt; Delhi</v>
      </c>
    </row>
    <row r="308" ht="15.75" customHeight="1">
      <c r="A308" s="5" t="s">
        <v>1085</v>
      </c>
      <c r="B308" s="5" t="s">
        <v>45</v>
      </c>
      <c r="C308" s="6" t="s">
        <v>1086</v>
      </c>
      <c r="D308" s="5" t="s">
        <v>475</v>
      </c>
      <c r="E308" s="5" t="s">
        <v>132</v>
      </c>
      <c r="F308" s="5" t="s">
        <v>27</v>
      </c>
      <c r="G308" s="5" t="s">
        <v>33</v>
      </c>
      <c r="H308" s="5" t="s">
        <v>35</v>
      </c>
      <c r="I308" s="6">
        <v>1.0</v>
      </c>
      <c r="J308" s="8">
        <v>16.17</v>
      </c>
      <c r="K308" s="5" t="str">
        <f t="shared" si="1"/>
        <v>Kolkata -&gt; Delhi</v>
      </c>
    </row>
    <row r="309" ht="15.75" customHeight="1">
      <c r="A309" s="5" t="s">
        <v>1088</v>
      </c>
      <c r="B309" s="5" t="s">
        <v>43</v>
      </c>
      <c r="C309" s="6" t="s">
        <v>1090</v>
      </c>
      <c r="D309" s="5" t="s">
        <v>475</v>
      </c>
      <c r="E309" s="5" t="s">
        <v>132</v>
      </c>
      <c r="F309" s="5" t="s">
        <v>27</v>
      </c>
      <c r="G309" s="5" t="s">
        <v>33</v>
      </c>
      <c r="H309" s="5" t="s">
        <v>35</v>
      </c>
      <c r="I309" s="6">
        <v>1.0</v>
      </c>
      <c r="J309" s="8">
        <v>9.25</v>
      </c>
      <c r="K309" s="5" t="str">
        <f t="shared" si="1"/>
        <v>Kolkata -&gt; Delhi</v>
      </c>
    </row>
    <row r="310" ht="15.75" customHeight="1">
      <c r="A310" s="5" t="s">
        <v>1091</v>
      </c>
      <c r="B310" s="5" t="s">
        <v>45</v>
      </c>
      <c r="C310" s="6" t="s">
        <v>1029</v>
      </c>
      <c r="D310" s="5" t="s">
        <v>475</v>
      </c>
      <c r="E310" s="5" t="s">
        <v>132</v>
      </c>
      <c r="F310" s="5" t="s">
        <v>27</v>
      </c>
      <c r="G310" s="5" t="s">
        <v>47</v>
      </c>
      <c r="H310" s="5" t="s">
        <v>35</v>
      </c>
      <c r="I310" s="6">
        <v>1.0</v>
      </c>
      <c r="J310" s="8">
        <v>10.5</v>
      </c>
      <c r="K310" s="5" t="str">
        <f t="shared" si="1"/>
        <v>Kolkata -&gt; Delhi</v>
      </c>
    </row>
    <row r="311" ht="15.75" customHeight="1">
      <c r="A311" s="5" t="s">
        <v>1094</v>
      </c>
      <c r="B311" s="5" t="s">
        <v>20</v>
      </c>
      <c r="C311" s="6" t="s">
        <v>961</v>
      </c>
      <c r="D311" s="5" t="s">
        <v>475</v>
      </c>
      <c r="E311" s="5" t="s">
        <v>132</v>
      </c>
      <c r="F311" s="5" t="s">
        <v>27</v>
      </c>
      <c r="G311" s="5" t="s">
        <v>54</v>
      </c>
      <c r="H311" s="5" t="s">
        <v>47</v>
      </c>
      <c r="I311" s="6">
        <v>1.0</v>
      </c>
      <c r="J311" s="8">
        <v>22.08</v>
      </c>
      <c r="K311" s="5" t="str">
        <f t="shared" si="1"/>
        <v>Kolkata -&gt; Delhi</v>
      </c>
    </row>
    <row r="312" ht="15.75" customHeight="1">
      <c r="A312" s="5" t="s">
        <v>1097</v>
      </c>
      <c r="B312" s="5" t="s">
        <v>45</v>
      </c>
      <c r="C312" s="6" t="s">
        <v>287</v>
      </c>
      <c r="D312" s="5" t="s">
        <v>475</v>
      </c>
      <c r="E312" s="5" t="s">
        <v>132</v>
      </c>
      <c r="F312" s="5" t="s">
        <v>27</v>
      </c>
      <c r="G312" s="5" t="s">
        <v>54</v>
      </c>
      <c r="H312" s="5" t="s">
        <v>54</v>
      </c>
      <c r="I312" s="6">
        <v>1.0</v>
      </c>
      <c r="J312" s="8">
        <v>21.83</v>
      </c>
      <c r="K312" s="5" t="str">
        <f t="shared" si="1"/>
        <v>Kolkata -&gt; Delhi</v>
      </c>
    </row>
    <row r="313" ht="15.75" customHeight="1">
      <c r="A313" s="5" t="s">
        <v>1100</v>
      </c>
      <c r="B313" s="5" t="s">
        <v>43</v>
      </c>
      <c r="C313" s="6" t="s">
        <v>1101</v>
      </c>
      <c r="D313" s="5" t="s">
        <v>475</v>
      </c>
      <c r="E313" s="5" t="s">
        <v>132</v>
      </c>
      <c r="F313" s="5" t="s">
        <v>27</v>
      </c>
      <c r="G313" s="5" t="s">
        <v>47</v>
      </c>
      <c r="H313" s="5" t="s">
        <v>35</v>
      </c>
      <c r="I313" s="6">
        <v>1.0</v>
      </c>
      <c r="J313" s="8">
        <v>6.33</v>
      </c>
      <c r="K313" s="5" t="str">
        <f t="shared" si="1"/>
        <v>Kolkata -&gt; Delhi</v>
      </c>
    </row>
    <row r="314" ht="15.75" customHeight="1">
      <c r="A314" s="5" t="s">
        <v>1104</v>
      </c>
      <c r="B314" s="5" t="s">
        <v>45</v>
      </c>
      <c r="C314" s="6" t="s">
        <v>1105</v>
      </c>
      <c r="D314" s="5" t="s">
        <v>475</v>
      </c>
      <c r="E314" s="5" t="s">
        <v>132</v>
      </c>
      <c r="F314" s="5" t="s">
        <v>27</v>
      </c>
      <c r="G314" s="5" t="s">
        <v>47</v>
      </c>
      <c r="H314" s="5" t="s">
        <v>54</v>
      </c>
      <c r="I314" s="6">
        <v>1.0</v>
      </c>
      <c r="J314" s="8">
        <v>29.17</v>
      </c>
      <c r="K314" s="5" t="str">
        <f t="shared" si="1"/>
        <v>Kolkata -&gt; Delhi</v>
      </c>
    </row>
    <row r="315" ht="15.75" customHeight="1">
      <c r="A315" s="5" t="s">
        <v>1108</v>
      </c>
      <c r="B315" s="5" t="s">
        <v>43</v>
      </c>
      <c r="C315" s="6" t="s">
        <v>969</v>
      </c>
      <c r="D315" s="5" t="s">
        <v>475</v>
      </c>
      <c r="E315" s="5" t="s">
        <v>132</v>
      </c>
      <c r="F315" s="5" t="s">
        <v>27</v>
      </c>
      <c r="G315" s="5" t="s">
        <v>47</v>
      </c>
      <c r="H315" s="5" t="s">
        <v>35</v>
      </c>
      <c r="I315" s="6">
        <v>1.0</v>
      </c>
      <c r="J315" s="8">
        <v>9.83</v>
      </c>
      <c r="K315" s="5" t="str">
        <f t="shared" si="1"/>
        <v>Kolkata -&gt; Delhi</v>
      </c>
    </row>
    <row r="316" ht="15.75" customHeight="1">
      <c r="A316" s="5" t="s">
        <v>1111</v>
      </c>
      <c r="B316" s="5" t="s">
        <v>72</v>
      </c>
      <c r="C316" s="6" t="s">
        <v>1112</v>
      </c>
      <c r="D316" s="5" t="s">
        <v>475</v>
      </c>
      <c r="E316" s="5" t="s">
        <v>132</v>
      </c>
      <c r="F316" s="5" t="s">
        <v>27</v>
      </c>
      <c r="G316" s="5" t="s">
        <v>33</v>
      </c>
      <c r="H316" s="5" t="s">
        <v>54</v>
      </c>
      <c r="I316" s="6">
        <v>1.0</v>
      </c>
      <c r="J316" s="8">
        <v>10.5</v>
      </c>
      <c r="K316" s="5" t="str">
        <f t="shared" si="1"/>
        <v>Kolkata -&gt; Delhi</v>
      </c>
    </row>
    <row r="317" ht="15.75" customHeight="1">
      <c r="A317" s="5" t="s">
        <v>1116</v>
      </c>
      <c r="B317" s="5" t="s">
        <v>45</v>
      </c>
      <c r="C317" s="6" t="s">
        <v>1105</v>
      </c>
      <c r="D317" s="5" t="s">
        <v>475</v>
      </c>
      <c r="E317" s="5" t="s">
        <v>132</v>
      </c>
      <c r="F317" s="5" t="s">
        <v>27</v>
      </c>
      <c r="G317" s="5" t="s">
        <v>54</v>
      </c>
      <c r="H317" s="5" t="s">
        <v>54</v>
      </c>
      <c r="I317" s="6">
        <v>1.0</v>
      </c>
      <c r="J317" s="8">
        <v>24.92</v>
      </c>
      <c r="K317" s="5" t="str">
        <f t="shared" si="1"/>
        <v>Kolkata -&gt; Delhi</v>
      </c>
    </row>
    <row r="318" ht="15.75" customHeight="1">
      <c r="A318" s="5" t="s">
        <v>1118</v>
      </c>
      <c r="B318" s="5" t="s">
        <v>72</v>
      </c>
      <c r="C318" s="6" t="s">
        <v>1120</v>
      </c>
      <c r="D318" s="5" t="s">
        <v>475</v>
      </c>
      <c r="E318" s="5" t="s">
        <v>132</v>
      </c>
      <c r="F318" s="5" t="s">
        <v>27</v>
      </c>
      <c r="G318" s="5" t="s">
        <v>54</v>
      </c>
      <c r="H318" s="5" t="s">
        <v>54</v>
      </c>
      <c r="I318" s="6">
        <v>1.0</v>
      </c>
      <c r="J318" s="8">
        <v>25.25</v>
      </c>
      <c r="K318" s="5" t="str">
        <f t="shared" si="1"/>
        <v>Kolkata -&gt; Delhi</v>
      </c>
    </row>
    <row r="319" ht="15.75" customHeight="1">
      <c r="A319" s="5" t="s">
        <v>1121</v>
      </c>
      <c r="B319" s="5" t="s">
        <v>45</v>
      </c>
      <c r="C319" s="6" t="s">
        <v>1124</v>
      </c>
      <c r="D319" s="5" t="s">
        <v>475</v>
      </c>
      <c r="E319" s="5" t="s">
        <v>132</v>
      </c>
      <c r="F319" s="5" t="s">
        <v>27</v>
      </c>
      <c r="G319" s="5" t="s">
        <v>33</v>
      </c>
      <c r="H319" s="5" t="s">
        <v>33</v>
      </c>
      <c r="I319" s="6">
        <v>0.0</v>
      </c>
      <c r="J319" s="8">
        <v>2.25</v>
      </c>
      <c r="K319" s="5" t="str">
        <f t="shared" si="1"/>
        <v>Kolkata -&gt; Delhi</v>
      </c>
    </row>
    <row r="320" ht="15.75" customHeight="1">
      <c r="A320" s="5" t="s">
        <v>1125</v>
      </c>
      <c r="B320" s="5" t="s">
        <v>45</v>
      </c>
      <c r="C320" s="6" t="s">
        <v>1029</v>
      </c>
      <c r="D320" s="5" t="s">
        <v>475</v>
      </c>
      <c r="E320" s="5" t="s">
        <v>132</v>
      </c>
      <c r="F320" s="5" t="s">
        <v>27</v>
      </c>
      <c r="G320" s="5" t="s">
        <v>47</v>
      </c>
      <c r="H320" s="5" t="s">
        <v>35</v>
      </c>
      <c r="I320" s="6">
        <v>1.0</v>
      </c>
      <c r="J320" s="8">
        <v>7.92</v>
      </c>
      <c r="K320" s="5" t="str">
        <f t="shared" si="1"/>
        <v>Kolkata -&gt; Delhi</v>
      </c>
    </row>
    <row r="321" ht="15.75" customHeight="1">
      <c r="A321" s="5" t="s">
        <v>1130</v>
      </c>
      <c r="B321" s="5" t="s">
        <v>45</v>
      </c>
      <c r="C321" s="6" t="s">
        <v>287</v>
      </c>
      <c r="D321" s="5" t="s">
        <v>475</v>
      </c>
      <c r="E321" s="5" t="s">
        <v>132</v>
      </c>
      <c r="F321" s="5" t="s">
        <v>27</v>
      </c>
      <c r="G321" s="5" t="s">
        <v>54</v>
      </c>
      <c r="H321" s="5" t="s">
        <v>47</v>
      </c>
      <c r="I321" s="6">
        <v>1.0</v>
      </c>
      <c r="J321" s="8">
        <v>18.75</v>
      </c>
      <c r="K321" s="5" t="str">
        <f t="shared" si="1"/>
        <v>Kolkata -&gt; Delhi</v>
      </c>
    </row>
    <row r="322" ht="15.75" customHeight="1">
      <c r="A322" s="5" t="s">
        <v>1135</v>
      </c>
      <c r="B322" s="5" t="s">
        <v>20</v>
      </c>
      <c r="C322" s="6" t="s">
        <v>1136</v>
      </c>
      <c r="D322" s="5" t="s">
        <v>504</v>
      </c>
      <c r="E322" s="5" t="s">
        <v>132</v>
      </c>
      <c r="F322" s="5" t="s">
        <v>31</v>
      </c>
      <c r="G322" s="5" t="s">
        <v>33</v>
      </c>
      <c r="H322" s="5" t="s">
        <v>33</v>
      </c>
      <c r="I322" s="6">
        <v>1.0</v>
      </c>
      <c r="J322" s="8">
        <v>27.83</v>
      </c>
      <c r="K322" s="5" t="str">
        <f t="shared" si="1"/>
        <v>Kolkata -&gt; Mumbai</v>
      </c>
    </row>
    <row r="323" ht="15.75" customHeight="1">
      <c r="A323" s="5" t="s">
        <v>1141</v>
      </c>
      <c r="B323" s="5" t="s">
        <v>45</v>
      </c>
      <c r="C323" s="6" t="s">
        <v>1124</v>
      </c>
      <c r="D323" s="5" t="s">
        <v>504</v>
      </c>
      <c r="E323" s="5" t="s">
        <v>132</v>
      </c>
      <c r="F323" s="5" t="s">
        <v>31</v>
      </c>
      <c r="G323" s="5" t="s">
        <v>33</v>
      </c>
      <c r="H323" s="5" t="s">
        <v>35</v>
      </c>
      <c r="I323" s="6">
        <v>1.0</v>
      </c>
      <c r="J323" s="8">
        <v>15.17</v>
      </c>
      <c r="K323" s="5" t="str">
        <f t="shared" si="1"/>
        <v>Kolkata -&gt; Mumbai</v>
      </c>
    </row>
    <row r="324" ht="15.75" customHeight="1">
      <c r="A324" s="5" t="s">
        <v>1148</v>
      </c>
      <c r="B324" s="5" t="s">
        <v>20</v>
      </c>
      <c r="C324" s="6" t="s">
        <v>1136</v>
      </c>
      <c r="D324" s="5" t="s">
        <v>504</v>
      </c>
      <c r="E324" s="5" t="s">
        <v>132</v>
      </c>
      <c r="F324" s="5" t="s">
        <v>31</v>
      </c>
      <c r="G324" s="5" t="s">
        <v>33</v>
      </c>
      <c r="H324" s="5" t="s">
        <v>54</v>
      </c>
      <c r="I324" s="6" t="s">
        <v>180</v>
      </c>
      <c r="J324" s="8">
        <v>9.33</v>
      </c>
      <c r="K324" s="5" t="str">
        <f t="shared" si="1"/>
        <v>Kolkata -&gt; Mumbai</v>
      </c>
    </row>
    <row r="325" ht="15.75" customHeight="1">
      <c r="A325" s="5" t="s">
        <v>1154</v>
      </c>
      <c r="B325" s="5" t="s">
        <v>58</v>
      </c>
      <c r="C325" s="6" t="s">
        <v>1155</v>
      </c>
      <c r="D325" s="5" t="s">
        <v>504</v>
      </c>
      <c r="E325" s="5" t="s">
        <v>132</v>
      </c>
      <c r="F325" s="5" t="s">
        <v>31</v>
      </c>
      <c r="G325" s="5" t="s">
        <v>33</v>
      </c>
      <c r="H325" s="5" t="s">
        <v>35</v>
      </c>
      <c r="I325" s="6">
        <v>1.0</v>
      </c>
      <c r="J325" s="8">
        <v>13.92</v>
      </c>
      <c r="K325" s="5" t="str">
        <f t="shared" si="1"/>
        <v>Kolkata -&gt; Mumbai</v>
      </c>
    </row>
    <row r="326" ht="15.75" customHeight="1">
      <c r="A326" s="5" t="s">
        <v>1156</v>
      </c>
      <c r="B326" s="5" t="s">
        <v>72</v>
      </c>
      <c r="C326" s="6" t="s">
        <v>1157</v>
      </c>
      <c r="D326" s="5" t="s">
        <v>504</v>
      </c>
      <c r="E326" s="5" t="s">
        <v>132</v>
      </c>
      <c r="F326" s="5" t="s">
        <v>31</v>
      </c>
      <c r="G326" s="5" t="s">
        <v>47</v>
      </c>
      <c r="H326" s="5" t="s">
        <v>47</v>
      </c>
      <c r="I326" s="6" t="s">
        <v>66</v>
      </c>
      <c r="J326" s="8">
        <v>23.5</v>
      </c>
      <c r="K326" s="5" t="str">
        <f t="shared" si="1"/>
        <v>Kolkata -&gt; Mumbai</v>
      </c>
    </row>
    <row r="327" ht="15.75" customHeight="1">
      <c r="A327" s="5" t="s">
        <v>1160</v>
      </c>
      <c r="B327" s="5" t="s">
        <v>43</v>
      </c>
      <c r="C327" s="6" t="s">
        <v>1161</v>
      </c>
      <c r="D327" s="5" t="s">
        <v>504</v>
      </c>
      <c r="E327" s="5" t="s">
        <v>132</v>
      </c>
      <c r="F327" s="5" t="s">
        <v>31</v>
      </c>
      <c r="G327" s="5" t="s">
        <v>47</v>
      </c>
      <c r="H327" s="5" t="s">
        <v>35</v>
      </c>
      <c r="I327" s="6">
        <v>1.0</v>
      </c>
      <c r="J327" s="8">
        <v>6.58</v>
      </c>
      <c r="K327" s="5" t="str">
        <f t="shared" si="1"/>
        <v>Kolkata -&gt; Mumbai</v>
      </c>
    </row>
    <row r="328" ht="15.75" customHeight="1">
      <c r="A328" s="5" t="s">
        <v>1164</v>
      </c>
      <c r="B328" s="5" t="s">
        <v>45</v>
      </c>
      <c r="C328" s="6" t="s">
        <v>1124</v>
      </c>
      <c r="D328" s="5" t="s">
        <v>504</v>
      </c>
      <c r="E328" s="5" t="s">
        <v>132</v>
      </c>
      <c r="F328" s="5" t="s">
        <v>31</v>
      </c>
      <c r="G328" s="5" t="s">
        <v>33</v>
      </c>
      <c r="H328" s="5" t="s">
        <v>35</v>
      </c>
      <c r="I328" s="6">
        <v>1.0</v>
      </c>
      <c r="J328" s="8">
        <v>14.33</v>
      </c>
      <c r="K328" s="5" t="str">
        <f t="shared" si="1"/>
        <v>Kolkata -&gt; Mumbai</v>
      </c>
    </row>
    <row r="329" ht="15.75" customHeight="1">
      <c r="A329" s="5" t="s">
        <v>1165</v>
      </c>
      <c r="B329" s="5" t="s">
        <v>45</v>
      </c>
      <c r="C329" s="6" t="s">
        <v>1166</v>
      </c>
      <c r="D329" s="5" t="s">
        <v>504</v>
      </c>
      <c r="E329" s="5" t="s">
        <v>132</v>
      </c>
      <c r="F329" s="5" t="s">
        <v>31</v>
      </c>
      <c r="G329" s="5" t="s">
        <v>47</v>
      </c>
      <c r="H329" s="5" t="s">
        <v>33</v>
      </c>
      <c r="I329" s="6">
        <v>1.0</v>
      </c>
      <c r="J329" s="8">
        <v>19.75</v>
      </c>
      <c r="K329" s="5" t="str">
        <f t="shared" si="1"/>
        <v>Kolkata -&gt; Mumbai</v>
      </c>
    </row>
    <row r="330" ht="15.75" customHeight="1">
      <c r="A330" s="5" t="s">
        <v>1169</v>
      </c>
      <c r="B330" s="5" t="s">
        <v>45</v>
      </c>
      <c r="C330" s="6" t="s">
        <v>1170</v>
      </c>
      <c r="D330" s="5" t="s">
        <v>504</v>
      </c>
      <c r="E330" s="5" t="s">
        <v>132</v>
      </c>
      <c r="F330" s="5" t="s">
        <v>31</v>
      </c>
      <c r="G330" s="5" t="s">
        <v>35</v>
      </c>
      <c r="H330" s="5" t="s">
        <v>35</v>
      </c>
      <c r="I330" s="6">
        <v>1.0</v>
      </c>
      <c r="J330" s="8">
        <v>24.75</v>
      </c>
      <c r="K330" s="5" t="str">
        <f t="shared" si="1"/>
        <v>Kolkata -&gt; Mumbai</v>
      </c>
    </row>
    <row r="331" ht="15.75" customHeight="1">
      <c r="A331" s="5" t="s">
        <v>1173</v>
      </c>
      <c r="B331" s="5" t="s">
        <v>45</v>
      </c>
      <c r="C331" s="6" t="s">
        <v>1174</v>
      </c>
      <c r="D331" s="5" t="s">
        <v>504</v>
      </c>
      <c r="E331" s="5" t="s">
        <v>132</v>
      </c>
      <c r="F331" s="5" t="s">
        <v>31</v>
      </c>
      <c r="G331" s="5" t="s">
        <v>47</v>
      </c>
      <c r="H331" s="5" t="s">
        <v>33</v>
      </c>
      <c r="I331" s="6">
        <v>1.0</v>
      </c>
      <c r="J331" s="8">
        <v>19.58</v>
      </c>
      <c r="K331" s="5" t="str">
        <f t="shared" si="1"/>
        <v>Kolkata -&gt; Mumbai</v>
      </c>
    </row>
    <row r="332" ht="15.75" customHeight="1">
      <c r="A332" s="5" t="s">
        <v>1177</v>
      </c>
      <c r="B332" s="5" t="s">
        <v>20</v>
      </c>
      <c r="C332" s="6" t="s">
        <v>1178</v>
      </c>
      <c r="D332" s="5" t="s">
        <v>504</v>
      </c>
      <c r="E332" s="5" t="s">
        <v>132</v>
      </c>
      <c r="F332" s="5" t="s">
        <v>31</v>
      </c>
      <c r="G332" s="5" t="s">
        <v>33</v>
      </c>
      <c r="H332" s="5" t="s">
        <v>35</v>
      </c>
      <c r="I332" s="6">
        <v>1.0</v>
      </c>
      <c r="J332" s="8">
        <v>11.75</v>
      </c>
      <c r="K332" s="5" t="str">
        <f t="shared" si="1"/>
        <v>Kolkata -&gt; Mumbai</v>
      </c>
    </row>
    <row r="333" ht="15.75" customHeight="1">
      <c r="A333" s="5" t="s">
        <v>1179</v>
      </c>
      <c r="B333" s="5" t="s">
        <v>45</v>
      </c>
      <c r="C333" s="6" t="s">
        <v>943</v>
      </c>
      <c r="D333" s="5" t="s">
        <v>504</v>
      </c>
      <c r="E333" s="5" t="s">
        <v>132</v>
      </c>
      <c r="F333" s="5" t="s">
        <v>31</v>
      </c>
      <c r="G333" s="5" t="s">
        <v>33</v>
      </c>
      <c r="H333" s="5" t="s">
        <v>47</v>
      </c>
      <c r="I333" s="6">
        <v>0.0</v>
      </c>
      <c r="J333" s="8">
        <v>2.75</v>
      </c>
      <c r="K333" s="5" t="str">
        <f t="shared" si="1"/>
        <v>Kolkata -&gt; Mumbai</v>
      </c>
    </row>
    <row r="334" ht="15.75" customHeight="1">
      <c r="A334" s="5" t="s">
        <v>1182</v>
      </c>
      <c r="B334" s="5" t="s">
        <v>45</v>
      </c>
      <c r="C334" s="6" t="s">
        <v>1170</v>
      </c>
      <c r="D334" s="5" t="s">
        <v>504</v>
      </c>
      <c r="E334" s="5" t="s">
        <v>132</v>
      </c>
      <c r="F334" s="5" t="s">
        <v>31</v>
      </c>
      <c r="G334" s="5" t="s">
        <v>35</v>
      </c>
      <c r="H334" s="5" t="s">
        <v>35</v>
      </c>
      <c r="I334" s="6">
        <v>1.0</v>
      </c>
      <c r="J334" s="8">
        <v>25.08</v>
      </c>
      <c r="K334" s="5" t="str">
        <f t="shared" si="1"/>
        <v>Kolkata -&gt; Mumbai</v>
      </c>
    </row>
    <row r="335" ht="15.75" customHeight="1">
      <c r="A335" s="5" t="s">
        <v>1185</v>
      </c>
      <c r="B335" s="5" t="s">
        <v>45</v>
      </c>
      <c r="C335" s="6" t="s">
        <v>1170</v>
      </c>
      <c r="D335" s="5" t="s">
        <v>504</v>
      </c>
      <c r="E335" s="5" t="s">
        <v>132</v>
      </c>
      <c r="F335" s="5" t="s">
        <v>31</v>
      </c>
      <c r="G335" s="5" t="s">
        <v>35</v>
      </c>
      <c r="H335" s="5" t="s">
        <v>54</v>
      </c>
      <c r="I335" s="6">
        <v>1.0</v>
      </c>
      <c r="J335" s="8">
        <v>19.92</v>
      </c>
      <c r="K335" s="5" t="str">
        <f t="shared" si="1"/>
        <v>Kolkata -&gt; Mumbai</v>
      </c>
    </row>
    <row r="336" ht="15.75" customHeight="1">
      <c r="A336" s="5" t="s">
        <v>1187</v>
      </c>
      <c r="B336" s="5" t="s">
        <v>45</v>
      </c>
      <c r="C336" s="6" t="s">
        <v>1170</v>
      </c>
      <c r="D336" s="5" t="s">
        <v>504</v>
      </c>
      <c r="E336" s="5" t="s">
        <v>132</v>
      </c>
      <c r="F336" s="5" t="s">
        <v>31</v>
      </c>
      <c r="G336" s="5" t="s">
        <v>35</v>
      </c>
      <c r="H336" s="5" t="s">
        <v>54</v>
      </c>
      <c r="I336" s="6" t="s">
        <v>180</v>
      </c>
      <c r="J336" s="8">
        <v>21.5</v>
      </c>
      <c r="K336" s="5" t="str">
        <f t="shared" si="1"/>
        <v>Kolkata -&gt; Mumbai</v>
      </c>
    </row>
    <row r="337" ht="15.75" customHeight="1">
      <c r="A337" s="5" t="s">
        <v>1189</v>
      </c>
      <c r="B337" s="5" t="s">
        <v>43</v>
      </c>
      <c r="C337" s="6" t="s">
        <v>1191</v>
      </c>
      <c r="D337" s="5" t="s">
        <v>504</v>
      </c>
      <c r="E337" s="5" t="s">
        <v>132</v>
      </c>
      <c r="F337" s="5" t="s">
        <v>31</v>
      </c>
      <c r="G337" s="5" t="s">
        <v>47</v>
      </c>
      <c r="H337" s="5" t="s">
        <v>54</v>
      </c>
      <c r="I337" s="6">
        <v>0.0</v>
      </c>
      <c r="J337" s="8">
        <v>2.75</v>
      </c>
      <c r="K337" s="5" t="str">
        <f t="shared" si="1"/>
        <v>Kolkata -&gt; Mumbai</v>
      </c>
    </row>
    <row r="338" ht="15.75" customHeight="1">
      <c r="A338" s="5" t="s">
        <v>1193</v>
      </c>
      <c r="B338" s="5" t="s">
        <v>20</v>
      </c>
      <c r="C338" s="6" t="s">
        <v>1178</v>
      </c>
      <c r="D338" s="5" t="s">
        <v>504</v>
      </c>
      <c r="E338" s="5" t="s">
        <v>132</v>
      </c>
      <c r="F338" s="5" t="s">
        <v>31</v>
      </c>
      <c r="G338" s="5" t="s">
        <v>33</v>
      </c>
      <c r="H338" s="5" t="s">
        <v>35</v>
      </c>
      <c r="I338" s="6" t="s">
        <v>180</v>
      </c>
      <c r="J338" s="8">
        <v>11.33</v>
      </c>
      <c r="K338" s="5" t="str">
        <f t="shared" si="1"/>
        <v>Kolkata -&gt; Mumbai</v>
      </c>
    </row>
    <row r="339" ht="15.75" customHeight="1">
      <c r="A339" s="5" t="s">
        <v>1196</v>
      </c>
      <c r="B339" s="5" t="s">
        <v>43</v>
      </c>
      <c r="C339" s="6" t="s">
        <v>1197</v>
      </c>
      <c r="D339" s="5" t="s">
        <v>504</v>
      </c>
      <c r="E339" s="5" t="s">
        <v>132</v>
      </c>
      <c r="F339" s="5" t="s">
        <v>31</v>
      </c>
      <c r="G339" s="5" t="s">
        <v>33</v>
      </c>
      <c r="H339" s="5" t="s">
        <v>47</v>
      </c>
      <c r="I339" s="6">
        <v>0.0</v>
      </c>
      <c r="J339" s="8">
        <v>3.17</v>
      </c>
      <c r="K339" s="5" t="str">
        <f t="shared" si="1"/>
        <v>Kolkata -&gt; Mumbai</v>
      </c>
    </row>
    <row r="340" ht="15.75" customHeight="1">
      <c r="A340" s="5" t="s">
        <v>1200</v>
      </c>
      <c r="B340" s="5" t="s">
        <v>20</v>
      </c>
      <c r="C340" s="6" t="s">
        <v>1178</v>
      </c>
      <c r="D340" s="5" t="s">
        <v>504</v>
      </c>
      <c r="E340" s="5" t="s">
        <v>132</v>
      </c>
      <c r="F340" s="5" t="s">
        <v>31</v>
      </c>
      <c r="G340" s="5" t="s">
        <v>33</v>
      </c>
      <c r="H340" s="5" t="s">
        <v>35</v>
      </c>
      <c r="I340" s="6" t="s">
        <v>180</v>
      </c>
      <c r="J340" s="8">
        <v>10.0</v>
      </c>
      <c r="K340" s="5" t="str">
        <f t="shared" si="1"/>
        <v>Kolkata -&gt; Mumbai</v>
      </c>
    </row>
    <row r="341" ht="15.75" customHeight="1">
      <c r="A341" s="5" t="s">
        <v>1203</v>
      </c>
      <c r="B341" s="5" t="s">
        <v>72</v>
      </c>
      <c r="C341" s="6" t="s">
        <v>1120</v>
      </c>
      <c r="D341" s="5" t="s">
        <v>504</v>
      </c>
      <c r="E341" s="5" t="s">
        <v>132</v>
      </c>
      <c r="F341" s="5" t="s">
        <v>31</v>
      </c>
      <c r="G341" s="5" t="s">
        <v>54</v>
      </c>
      <c r="H341" s="5" t="s">
        <v>54</v>
      </c>
      <c r="I341" s="6">
        <v>1.0</v>
      </c>
      <c r="J341" s="8">
        <v>21.92</v>
      </c>
      <c r="K341" s="5" t="str">
        <f t="shared" si="1"/>
        <v>Kolkata -&gt; Mumbai</v>
      </c>
    </row>
    <row r="342" ht="15.75" customHeight="1">
      <c r="A342" s="5" t="s">
        <v>1205</v>
      </c>
      <c r="B342" s="5" t="s">
        <v>58</v>
      </c>
      <c r="C342" s="6" t="s">
        <v>1207</v>
      </c>
      <c r="D342" s="5" t="s">
        <v>504</v>
      </c>
      <c r="E342" s="5" t="s">
        <v>132</v>
      </c>
      <c r="F342" s="5" t="s">
        <v>31</v>
      </c>
      <c r="G342" s="5" t="s">
        <v>33</v>
      </c>
      <c r="H342" s="5" t="s">
        <v>47</v>
      </c>
      <c r="I342" s="6">
        <v>1.0</v>
      </c>
      <c r="J342" s="8">
        <v>7.42</v>
      </c>
      <c r="K342" s="5" t="str">
        <f t="shared" si="1"/>
        <v>Kolkata -&gt; Mumbai</v>
      </c>
    </row>
    <row r="343" ht="15.75" customHeight="1">
      <c r="A343" s="5" t="s">
        <v>1210</v>
      </c>
      <c r="B343" s="5" t="s">
        <v>45</v>
      </c>
      <c r="C343" s="6" t="s">
        <v>1029</v>
      </c>
      <c r="D343" s="5" t="s">
        <v>504</v>
      </c>
      <c r="E343" s="5" t="s">
        <v>132</v>
      </c>
      <c r="F343" s="5" t="s">
        <v>31</v>
      </c>
      <c r="G343" s="5" t="s">
        <v>47</v>
      </c>
      <c r="H343" s="5" t="s">
        <v>54</v>
      </c>
      <c r="I343" s="6">
        <v>1.0</v>
      </c>
      <c r="J343" s="8">
        <v>4.83</v>
      </c>
      <c r="K343" s="5" t="str">
        <f t="shared" si="1"/>
        <v>Kolkata -&gt; Mumbai</v>
      </c>
    </row>
    <row r="344" ht="15.75" customHeight="1">
      <c r="A344" s="5" t="s">
        <v>1213</v>
      </c>
      <c r="B344" s="5" t="s">
        <v>20</v>
      </c>
      <c r="C344" s="6" t="s">
        <v>1214</v>
      </c>
      <c r="D344" s="5" t="s">
        <v>504</v>
      </c>
      <c r="E344" s="5" t="s">
        <v>132</v>
      </c>
      <c r="F344" s="5" t="s">
        <v>31</v>
      </c>
      <c r="G344" s="5" t="s">
        <v>35</v>
      </c>
      <c r="H344" s="5" t="s">
        <v>35</v>
      </c>
      <c r="I344" s="6">
        <v>1.0</v>
      </c>
      <c r="J344" s="8">
        <v>25.17</v>
      </c>
      <c r="K344" s="5" t="str">
        <f t="shared" si="1"/>
        <v>Kolkata -&gt; Mumbai</v>
      </c>
    </row>
    <row r="345" ht="15.75" customHeight="1">
      <c r="A345" s="5" t="s">
        <v>1215</v>
      </c>
      <c r="B345" s="5" t="s">
        <v>45</v>
      </c>
      <c r="C345" s="6" t="s">
        <v>1216</v>
      </c>
      <c r="D345" s="5" t="s">
        <v>504</v>
      </c>
      <c r="E345" s="5" t="s">
        <v>132</v>
      </c>
      <c r="F345" s="5" t="s">
        <v>31</v>
      </c>
      <c r="G345" s="5" t="s">
        <v>35</v>
      </c>
      <c r="H345" s="5" t="s">
        <v>35</v>
      </c>
      <c r="I345" s="6">
        <v>1.0</v>
      </c>
      <c r="J345" s="8">
        <v>21.83</v>
      </c>
      <c r="K345" s="5" t="str">
        <f t="shared" si="1"/>
        <v>Kolkata -&gt; Mumbai</v>
      </c>
    </row>
    <row r="346" ht="15.75" customHeight="1">
      <c r="A346" s="5" t="s">
        <v>1219</v>
      </c>
      <c r="B346" s="5" t="s">
        <v>20</v>
      </c>
      <c r="C346" s="6" t="s">
        <v>1220</v>
      </c>
      <c r="D346" s="5" t="s">
        <v>504</v>
      </c>
      <c r="E346" s="5" t="s">
        <v>132</v>
      </c>
      <c r="F346" s="5" t="s">
        <v>31</v>
      </c>
      <c r="G346" s="5" t="s">
        <v>54</v>
      </c>
      <c r="H346" s="5" t="s">
        <v>47</v>
      </c>
      <c r="I346" s="6">
        <v>1.0</v>
      </c>
      <c r="J346" s="8">
        <v>17.83</v>
      </c>
      <c r="K346" s="5" t="str">
        <f t="shared" si="1"/>
        <v>Kolkata -&gt; Mumbai</v>
      </c>
    </row>
    <row r="347" ht="15.75" customHeight="1">
      <c r="A347" s="5" t="s">
        <v>1221</v>
      </c>
      <c r="B347" s="5" t="s">
        <v>29</v>
      </c>
      <c r="C347" s="6" t="s">
        <v>1224</v>
      </c>
      <c r="D347" s="5" t="s">
        <v>504</v>
      </c>
      <c r="E347" s="5" t="s">
        <v>132</v>
      </c>
      <c r="F347" s="5" t="s">
        <v>31</v>
      </c>
      <c r="G347" s="5" t="s">
        <v>54</v>
      </c>
      <c r="H347" s="5" t="s">
        <v>33</v>
      </c>
      <c r="I347" s="6">
        <v>1.0</v>
      </c>
      <c r="J347" s="8">
        <v>10.58</v>
      </c>
      <c r="K347" s="5" t="str">
        <f t="shared" si="1"/>
        <v>Kolkata -&gt; Mumbai</v>
      </c>
    </row>
    <row r="348" ht="15.75" customHeight="1">
      <c r="A348" s="5" t="s">
        <v>1225</v>
      </c>
      <c r="B348" s="5" t="s">
        <v>45</v>
      </c>
      <c r="C348" s="6" t="s">
        <v>1226</v>
      </c>
      <c r="D348" s="5" t="s">
        <v>504</v>
      </c>
      <c r="E348" s="5" t="s">
        <v>132</v>
      </c>
      <c r="F348" s="5" t="s">
        <v>31</v>
      </c>
      <c r="G348" s="5" t="s">
        <v>33</v>
      </c>
      <c r="H348" s="5" t="s">
        <v>54</v>
      </c>
      <c r="I348" s="6" t="s">
        <v>180</v>
      </c>
      <c r="J348" s="8">
        <v>30.0</v>
      </c>
      <c r="K348" s="5" t="str">
        <f t="shared" si="1"/>
        <v>Kolkata -&gt; Mumbai</v>
      </c>
    </row>
    <row r="349" ht="15.75" customHeight="1">
      <c r="A349" s="5" t="s">
        <v>1229</v>
      </c>
      <c r="B349" s="5" t="s">
        <v>20</v>
      </c>
      <c r="C349" s="6" t="s">
        <v>1136</v>
      </c>
      <c r="D349" s="5" t="s">
        <v>504</v>
      </c>
      <c r="E349" s="5" t="s">
        <v>132</v>
      </c>
      <c r="F349" s="5" t="s">
        <v>31</v>
      </c>
      <c r="G349" s="5" t="s">
        <v>33</v>
      </c>
      <c r="H349" s="5" t="s">
        <v>33</v>
      </c>
      <c r="I349" s="6">
        <v>1.0</v>
      </c>
      <c r="J349" s="8">
        <v>28.33</v>
      </c>
      <c r="K349" s="5" t="str">
        <f t="shared" si="1"/>
        <v>Kolkata -&gt; Mumbai</v>
      </c>
    </row>
    <row r="350" ht="15.75" customHeight="1">
      <c r="A350" s="5" t="s">
        <v>1232</v>
      </c>
      <c r="B350" s="5" t="s">
        <v>45</v>
      </c>
      <c r="C350" s="6" t="s">
        <v>1166</v>
      </c>
      <c r="D350" s="5" t="s">
        <v>504</v>
      </c>
      <c r="E350" s="5" t="s">
        <v>132</v>
      </c>
      <c r="F350" s="5" t="s">
        <v>31</v>
      </c>
      <c r="G350" s="5" t="s">
        <v>47</v>
      </c>
      <c r="H350" s="5" t="s">
        <v>47</v>
      </c>
      <c r="I350" s="6">
        <v>1.0</v>
      </c>
      <c r="J350" s="8">
        <v>24.33</v>
      </c>
      <c r="K350" s="5" t="str">
        <f t="shared" si="1"/>
        <v>Kolkata -&gt; Mumbai</v>
      </c>
    </row>
    <row r="351" ht="15.75" customHeight="1">
      <c r="A351" s="5" t="s">
        <v>1234</v>
      </c>
      <c r="B351" s="5" t="s">
        <v>43</v>
      </c>
      <c r="C351" s="6" t="s">
        <v>1236</v>
      </c>
      <c r="D351" s="5" t="s">
        <v>504</v>
      </c>
      <c r="E351" s="5" t="s">
        <v>132</v>
      </c>
      <c r="F351" s="5" t="s">
        <v>31</v>
      </c>
      <c r="G351" s="5" t="s">
        <v>33</v>
      </c>
      <c r="H351" s="5" t="s">
        <v>35</v>
      </c>
      <c r="I351" s="6">
        <v>1.0</v>
      </c>
      <c r="J351" s="8">
        <v>11.33</v>
      </c>
      <c r="K351" s="5" t="str">
        <f t="shared" si="1"/>
        <v>Kolkata -&gt; Mumbai</v>
      </c>
    </row>
    <row r="352" ht="15.75" customHeight="1">
      <c r="A352" s="5" t="s">
        <v>1237</v>
      </c>
      <c r="B352" s="5" t="s">
        <v>45</v>
      </c>
      <c r="C352" s="6" t="s">
        <v>1226</v>
      </c>
      <c r="D352" s="5" t="s">
        <v>504</v>
      </c>
      <c r="E352" s="5" t="s">
        <v>132</v>
      </c>
      <c r="F352" s="5" t="s">
        <v>31</v>
      </c>
      <c r="G352" s="5" t="s">
        <v>33</v>
      </c>
      <c r="H352" s="5" t="s">
        <v>33</v>
      </c>
      <c r="I352" s="6">
        <v>1.0</v>
      </c>
      <c r="J352" s="8">
        <v>24.83</v>
      </c>
      <c r="K352" s="5" t="str">
        <f t="shared" si="1"/>
        <v>Kolkata -&gt; Mumbai</v>
      </c>
    </row>
    <row r="353" ht="15.75" customHeight="1">
      <c r="A353" s="5" t="s">
        <v>1240</v>
      </c>
      <c r="B353" s="5" t="s">
        <v>45</v>
      </c>
      <c r="C353" s="6" t="s">
        <v>1166</v>
      </c>
      <c r="D353" s="5" t="s">
        <v>504</v>
      </c>
      <c r="E353" s="5" t="s">
        <v>132</v>
      </c>
      <c r="F353" s="5" t="s">
        <v>31</v>
      </c>
      <c r="G353" s="5" t="s">
        <v>47</v>
      </c>
      <c r="H353" s="5" t="s">
        <v>54</v>
      </c>
      <c r="I353" s="6">
        <v>1.0</v>
      </c>
      <c r="J353" s="8">
        <v>26.5</v>
      </c>
      <c r="K353" s="5" t="str">
        <f t="shared" si="1"/>
        <v>Kolkata -&gt; Mumbai</v>
      </c>
    </row>
    <row r="354" ht="15.75" customHeight="1">
      <c r="A354" s="5" t="s">
        <v>1243</v>
      </c>
      <c r="B354" s="5" t="s">
        <v>72</v>
      </c>
      <c r="C354" s="6" t="s">
        <v>1244</v>
      </c>
      <c r="D354" s="5" t="s">
        <v>504</v>
      </c>
      <c r="E354" s="5" t="s">
        <v>132</v>
      </c>
      <c r="F354" s="5" t="s">
        <v>31</v>
      </c>
      <c r="G354" s="5" t="s">
        <v>35</v>
      </c>
      <c r="H354" s="5" t="s">
        <v>35</v>
      </c>
      <c r="I354" s="6">
        <v>1.0</v>
      </c>
      <c r="J354" s="8">
        <v>24.42</v>
      </c>
      <c r="K354" s="5" t="str">
        <f t="shared" si="1"/>
        <v>Kolkata -&gt; Mumbai</v>
      </c>
    </row>
    <row r="355" ht="15.75" customHeight="1">
      <c r="A355" s="5" t="s">
        <v>1247</v>
      </c>
      <c r="B355" s="5" t="s">
        <v>58</v>
      </c>
      <c r="C355" s="6" t="s">
        <v>1248</v>
      </c>
      <c r="D355" s="5" t="s">
        <v>504</v>
      </c>
      <c r="E355" s="5" t="s">
        <v>132</v>
      </c>
      <c r="F355" s="5" t="s">
        <v>31</v>
      </c>
      <c r="G355" s="5" t="s">
        <v>47</v>
      </c>
      <c r="H355" s="5" t="s">
        <v>33</v>
      </c>
      <c r="I355" s="6">
        <v>1.0</v>
      </c>
      <c r="J355" s="8">
        <v>14.58</v>
      </c>
      <c r="K355" s="5" t="str">
        <f t="shared" si="1"/>
        <v>Kolkata -&gt; Mumbai</v>
      </c>
    </row>
    <row r="356" ht="15.75" customHeight="1">
      <c r="A356" s="5" t="s">
        <v>1249</v>
      </c>
      <c r="B356" s="5" t="s">
        <v>45</v>
      </c>
      <c r="C356" s="6" t="s">
        <v>1170</v>
      </c>
      <c r="D356" s="5" t="s">
        <v>504</v>
      </c>
      <c r="E356" s="5" t="s">
        <v>132</v>
      </c>
      <c r="F356" s="5" t="s">
        <v>31</v>
      </c>
      <c r="G356" s="5" t="s">
        <v>35</v>
      </c>
      <c r="H356" s="5" t="s">
        <v>33</v>
      </c>
      <c r="I356" s="6">
        <v>1.0</v>
      </c>
      <c r="J356" s="8">
        <v>12.58</v>
      </c>
      <c r="K356" s="5" t="str">
        <f t="shared" si="1"/>
        <v>Kolkata -&gt; Mumbai</v>
      </c>
    </row>
    <row r="357" ht="15.75" customHeight="1">
      <c r="A357" s="5" t="s">
        <v>1252</v>
      </c>
      <c r="B357" s="5" t="s">
        <v>45</v>
      </c>
      <c r="C357" s="6" t="s">
        <v>1166</v>
      </c>
      <c r="D357" s="5" t="s">
        <v>504</v>
      </c>
      <c r="E357" s="5" t="s">
        <v>132</v>
      </c>
      <c r="F357" s="5" t="s">
        <v>31</v>
      </c>
      <c r="G357" s="5" t="s">
        <v>47</v>
      </c>
      <c r="H357" s="5" t="s">
        <v>35</v>
      </c>
      <c r="I357" s="6" t="s">
        <v>180</v>
      </c>
      <c r="J357" s="8">
        <v>31.92</v>
      </c>
      <c r="K357" s="5" t="str">
        <f t="shared" si="1"/>
        <v>Kolkata -&gt; Mumbai</v>
      </c>
    </row>
    <row r="358" ht="15.75" customHeight="1">
      <c r="A358" s="5" t="s">
        <v>1255</v>
      </c>
      <c r="B358" s="5" t="s">
        <v>45</v>
      </c>
      <c r="C358" s="6" t="s">
        <v>943</v>
      </c>
      <c r="D358" s="5" t="s">
        <v>504</v>
      </c>
      <c r="E358" s="5" t="s">
        <v>132</v>
      </c>
      <c r="F358" s="5" t="s">
        <v>31</v>
      </c>
      <c r="G358" s="5" t="s">
        <v>33</v>
      </c>
      <c r="H358" s="5" t="s">
        <v>47</v>
      </c>
      <c r="I358" s="6">
        <v>0.0</v>
      </c>
      <c r="J358" s="8">
        <v>3.0</v>
      </c>
      <c r="K358" s="5" t="str">
        <f t="shared" si="1"/>
        <v>Kolkata -&gt; Mumbai</v>
      </c>
    </row>
    <row r="359" ht="15.75" customHeight="1">
      <c r="A359" s="5" t="s">
        <v>1258</v>
      </c>
      <c r="B359" s="5" t="s">
        <v>20</v>
      </c>
      <c r="C359" s="6" t="s">
        <v>1220</v>
      </c>
      <c r="D359" s="5" t="s">
        <v>504</v>
      </c>
      <c r="E359" s="5" t="s">
        <v>132</v>
      </c>
      <c r="F359" s="5" t="s">
        <v>31</v>
      </c>
      <c r="G359" s="5" t="s">
        <v>54</v>
      </c>
      <c r="H359" s="5" t="s">
        <v>54</v>
      </c>
      <c r="I359" s="6">
        <v>1.0</v>
      </c>
      <c r="J359" s="8">
        <v>21.75</v>
      </c>
      <c r="K359" s="5" t="str">
        <f t="shared" si="1"/>
        <v>Kolkata -&gt; Mumbai</v>
      </c>
    </row>
    <row r="360" ht="15.75" customHeight="1">
      <c r="A360" s="5" t="s">
        <v>1259</v>
      </c>
      <c r="B360" s="5" t="s">
        <v>72</v>
      </c>
      <c r="C360" s="6" t="s">
        <v>1260</v>
      </c>
      <c r="D360" s="5" t="s">
        <v>504</v>
      </c>
      <c r="E360" s="5" t="s">
        <v>132</v>
      </c>
      <c r="F360" s="5" t="s">
        <v>31</v>
      </c>
      <c r="G360" s="5" t="s">
        <v>35</v>
      </c>
      <c r="H360" s="5" t="s">
        <v>35</v>
      </c>
      <c r="I360" s="6">
        <v>0.0</v>
      </c>
      <c r="J360" s="8">
        <v>2.83</v>
      </c>
      <c r="K360" s="5" t="str">
        <f t="shared" si="1"/>
        <v>Kolkata -&gt; Mumbai</v>
      </c>
    </row>
    <row r="361" ht="15.75" customHeight="1">
      <c r="A361" s="5" t="s">
        <v>1263</v>
      </c>
      <c r="B361" s="5" t="s">
        <v>45</v>
      </c>
      <c r="C361" s="6" t="s">
        <v>1170</v>
      </c>
      <c r="D361" s="5" t="s">
        <v>504</v>
      </c>
      <c r="E361" s="5" t="s">
        <v>132</v>
      </c>
      <c r="F361" s="5" t="s">
        <v>31</v>
      </c>
      <c r="G361" s="5" t="s">
        <v>35</v>
      </c>
      <c r="H361" s="5" t="s">
        <v>33</v>
      </c>
      <c r="I361" s="6">
        <v>1.0</v>
      </c>
      <c r="J361" s="8">
        <v>13.67</v>
      </c>
      <c r="K361" s="5" t="str">
        <f t="shared" si="1"/>
        <v>Kolkata -&gt; Mumbai</v>
      </c>
    </row>
    <row r="362" ht="15.75" customHeight="1">
      <c r="A362" s="5" t="s">
        <v>1266</v>
      </c>
      <c r="B362" s="5" t="s">
        <v>20</v>
      </c>
      <c r="C362" s="6" t="s">
        <v>1214</v>
      </c>
      <c r="D362" s="5" t="s">
        <v>516</v>
      </c>
      <c r="E362" s="5" t="s">
        <v>132</v>
      </c>
      <c r="F362" s="5" t="s">
        <v>109</v>
      </c>
      <c r="G362" s="5" t="s">
        <v>35</v>
      </c>
      <c r="H362" s="5" t="s">
        <v>35</v>
      </c>
      <c r="I362" s="6" t="s">
        <v>180</v>
      </c>
      <c r="J362" s="8">
        <v>24.0</v>
      </c>
      <c r="K362" s="5" t="str">
        <f t="shared" si="1"/>
        <v>Kolkata -&gt; Bengaluru</v>
      </c>
    </row>
    <row r="363" ht="15.75" customHeight="1">
      <c r="A363" s="5" t="s">
        <v>1268</v>
      </c>
      <c r="B363" s="5" t="s">
        <v>20</v>
      </c>
      <c r="C363" s="6" t="s">
        <v>1136</v>
      </c>
      <c r="D363" s="5" t="s">
        <v>516</v>
      </c>
      <c r="E363" s="5" t="s">
        <v>132</v>
      </c>
      <c r="F363" s="5" t="s">
        <v>109</v>
      </c>
      <c r="G363" s="5" t="s">
        <v>33</v>
      </c>
      <c r="H363" s="5" t="s">
        <v>54</v>
      </c>
      <c r="I363" s="6" t="s">
        <v>180</v>
      </c>
      <c r="J363" s="8">
        <v>9.83</v>
      </c>
      <c r="K363" s="5" t="str">
        <f t="shared" si="1"/>
        <v>Kolkata -&gt; Bengaluru</v>
      </c>
    </row>
    <row r="364" ht="15.75" customHeight="1">
      <c r="A364" s="5" t="s">
        <v>1270</v>
      </c>
      <c r="B364" s="5" t="s">
        <v>43</v>
      </c>
      <c r="C364" s="6" t="s">
        <v>1272</v>
      </c>
      <c r="D364" s="5" t="s">
        <v>516</v>
      </c>
      <c r="E364" s="5" t="s">
        <v>132</v>
      </c>
      <c r="F364" s="5" t="s">
        <v>109</v>
      </c>
      <c r="G364" s="5" t="s">
        <v>33</v>
      </c>
      <c r="H364" s="5" t="s">
        <v>35</v>
      </c>
      <c r="I364" s="6" t="s">
        <v>180</v>
      </c>
      <c r="J364" s="8">
        <v>14.17</v>
      </c>
      <c r="K364" s="5" t="str">
        <f t="shared" si="1"/>
        <v>Kolkata -&gt; Bengaluru</v>
      </c>
    </row>
    <row r="365" ht="15.75" customHeight="1">
      <c r="A365" s="5" t="s">
        <v>1274</v>
      </c>
      <c r="B365" s="5" t="s">
        <v>43</v>
      </c>
      <c r="C365" s="6" t="s">
        <v>1275</v>
      </c>
      <c r="D365" s="5" t="s">
        <v>516</v>
      </c>
      <c r="E365" s="5" t="s">
        <v>132</v>
      </c>
      <c r="F365" s="5" t="s">
        <v>109</v>
      </c>
      <c r="G365" s="5" t="s">
        <v>35</v>
      </c>
      <c r="H365" s="5" t="s">
        <v>35</v>
      </c>
      <c r="I365" s="6">
        <v>1.0</v>
      </c>
      <c r="J365" s="8">
        <v>4.83</v>
      </c>
      <c r="K365" s="5" t="str">
        <f t="shared" si="1"/>
        <v>Kolkata -&gt; Bengaluru</v>
      </c>
    </row>
    <row r="366" ht="15.75" customHeight="1">
      <c r="A366" s="5" t="s">
        <v>1278</v>
      </c>
      <c r="B366" s="5" t="s">
        <v>43</v>
      </c>
      <c r="C366" s="6" t="s">
        <v>1279</v>
      </c>
      <c r="D366" s="5" t="s">
        <v>516</v>
      </c>
      <c r="E366" s="5" t="s">
        <v>132</v>
      </c>
      <c r="F366" s="5" t="s">
        <v>109</v>
      </c>
      <c r="G366" s="5" t="s">
        <v>47</v>
      </c>
      <c r="H366" s="5" t="s">
        <v>35</v>
      </c>
      <c r="I366" s="6">
        <v>1.0</v>
      </c>
      <c r="J366" s="8">
        <v>8.42</v>
      </c>
      <c r="K366" s="5" t="str">
        <f t="shared" si="1"/>
        <v>Kolkata -&gt; Bengaluru</v>
      </c>
    </row>
    <row r="367" ht="15.75" customHeight="1">
      <c r="A367" s="5" t="s">
        <v>1282</v>
      </c>
      <c r="B367" s="5" t="s">
        <v>20</v>
      </c>
      <c r="C367" s="6" t="s">
        <v>1283</v>
      </c>
      <c r="D367" s="5" t="s">
        <v>516</v>
      </c>
      <c r="E367" s="5" t="s">
        <v>132</v>
      </c>
      <c r="F367" s="5" t="s">
        <v>109</v>
      </c>
      <c r="G367" s="5" t="s">
        <v>47</v>
      </c>
      <c r="H367" s="5" t="s">
        <v>35</v>
      </c>
      <c r="I367" s="6">
        <v>1.0</v>
      </c>
      <c r="J367" s="8">
        <v>29.08</v>
      </c>
      <c r="K367" s="5" t="str">
        <f t="shared" si="1"/>
        <v>Kolkata -&gt; Bengaluru</v>
      </c>
    </row>
    <row r="368" ht="15.75" customHeight="1">
      <c r="A368" s="5" t="s">
        <v>1284</v>
      </c>
      <c r="B368" s="5" t="s">
        <v>20</v>
      </c>
      <c r="C368" s="6" t="s">
        <v>1178</v>
      </c>
      <c r="D368" s="5" t="s">
        <v>516</v>
      </c>
      <c r="E368" s="5" t="s">
        <v>132</v>
      </c>
      <c r="F368" s="5" t="s">
        <v>109</v>
      </c>
      <c r="G368" s="5" t="s">
        <v>33</v>
      </c>
      <c r="H368" s="5" t="s">
        <v>54</v>
      </c>
      <c r="I368" s="6">
        <v>1.0</v>
      </c>
      <c r="J368" s="8">
        <v>9.0</v>
      </c>
      <c r="K368" s="5" t="str">
        <f t="shared" si="1"/>
        <v>Kolkata -&gt; Bengaluru</v>
      </c>
    </row>
    <row r="369" ht="15.75" customHeight="1">
      <c r="A369" s="5" t="s">
        <v>1287</v>
      </c>
      <c r="B369" s="5" t="s">
        <v>43</v>
      </c>
      <c r="C369" s="6">
        <v>6.0E-135</v>
      </c>
      <c r="D369" s="5" t="s">
        <v>516</v>
      </c>
      <c r="E369" s="5" t="s">
        <v>132</v>
      </c>
      <c r="F369" s="5" t="s">
        <v>109</v>
      </c>
      <c r="G369" s="5" t="s">
        <v>33</v>
      </c>
      <c r="H369" s="5" t="s">
        <v>54</v>
      </c>
      <c r="I369" s="6" t="s">
        <v>180</v>
      </c>
      <c r="J369" s="8">
        <v>7.33</v>
      </c>
      <c r="K369" s="5" t="str">
        <f t="shared" si="1"/>
        <v>Kolkata -&gt; Bengaluru</v>
      </c>
    </row>
    <row r="370" ht="15.75" customHeight="1">
      <c r="A370" s="5" t="s">
        <v>1290</v>
      </c>
      <c r="B370" s="5" t="s">
        <v>43</v>
      </c>
      <c r="C370" s="6" t="s">
        <v>1161</v>
      </c>
      <c r="D370" s="5" t="s">
        <v>516</v>
      </c>
      <c r="E370" s="5" t="s">
        <v>132</v>
      </c>
      <c r="F370" s="5" t="s">
        <v>109</v>
      </c>
      <c r="G370" s="5" t="s">
        <v>47</v>
      </c>
      <c r="H370" s="5" t="s">
        <v>35</v>
      </c>
      <c r="I370" s="6">
        <v>1.0</v>
      </c>
      <c r="J370" s="8">
        <v>7.58</v>
      </c>
      <c r="K370" s="5" t="str">
        <f t="shared" si="1"/>
        <v>Kolkata -&gt; Bengaluru</v>
      </c>
    </row>
    <row r="371" ht="15.75" customHeight="1">
      <c r="A371" s="5" t="s">
        <v>1291</v>
      </c>
      <c r="B371" s="5" t="s">
        <v>43</v>
      </c>
      <c r="C371" s="6" t="s">
        <v>1292</v>
      </c>
      <c r="D371" s="5" t="s">
        <v>516</v>
      </c>
      <c r="E371" s="5" t="s">
        <v>132</v>
      </c>
      <c r="F371" s="5" t="s">
        <v>109</v>
      </c>
      <c r="G371" s="5" t="s">
        <v>33</v>
      </c>
      <c r="H371" s="5" t="s">
        <v>33</v>
      </c>
      <c r="I371" s="6">
        <v>1.0</v>
      </c>
      <c r="J371" s="8">
        <v>4.92</v>
      </c>
      <c r="K371" s="5" t="str">
        <f t="shared" si="1"/>
        <v>Kolkata -&gt; Bengaluru</v>
      </c>
    </row>
    <row r="372" ht="15.75" customHeight="1">
      <c r="A372" s="5" t="s">
        <v>1295</v>
      </c>
      <c r="B372" s="5" t="s">
        <v>29</v>
      </c>
      <c r="C372" s="6" t="s">
        <v>1296</v>
      </c>
      <c r="D372" s="5" t="s">
        <v>516</v>
      </c>
      <c r="E372" s="5" t="s">
        <v>132</v>
      </c>
      <c r="F372" s="5" t="s">
        <v>109</v>
      </c>
      <c r="G372" s="5" t="s">
        <v>33</v>
      </c>
      <c r="H372" s="5" t="s">
        <v>47</v>
      </c>
      <c r="I372" s="6" t="s">
        <v>180</v>
      </c>
      <c r="J372" s="8">
        <v>10.83</v>
      </c>
      <c r="K372" s="5" t="str">
        <f t="shared" si="1"/>
        <v>Kolkata -&gt; Bengaluru</v>
      </c>
    </row>
    <row r="373" ht="15.75" customHeight="1">
      <c r="A373" s="5" t="s">
        <v>1299</v>
      </c>
      <c r="B373" s="5" t="s">
        <v>20</v>
      </c>
      <c r="C373" s="6" t="s">
        <v>1300</v>
      </c>
      <c r="D373" s="5" t="s">
        <v>516</v>
      </c>
      <c r="E373" s="5" t="s">
        <v>132</v>
      </c>
      <c r="F373" s="5" t="s">
        <v>109</v>
      </c>
      <c r="G373" s="5" t="s">
        <v>35</v>
      </c>
      <c r="H373" s="5" t="s">
        <v>35</v>
      </c>
      <c r="I373" s="6">
        <v>1.0</v>
      </c>
      <c r="J373" s="8">
        <v>26.25</v>
      </c>
      <c r="K373" s="5" t="str">
        <f t="shared" si="1"/>
        <v>Kolkata -&gt; Bengaluru</v>
      </c>
    </row>
    <row r="374" ht="15.75" customHeight="1">
      <c r="A374" s="5" t="s">
        <v>1302</v>
      </c>
      <c r="B374" s="5" t="s">
        <v>43</v>
      </c>
      <c r="C374" s="6" t="s">
        <v>1304</v>
      </c>
      <c r="D374" s="5" t="s">
        <v>516</v>
      </c>
      <c r="E374" s="5" t="s">
        <v>132</v>
      </c>
      <c r="F374" s="5" t="s">
        <v>109</v>
      </c>
      <c r="G374" s="5" t="s">
        <v>33</v>
      </c>
      <c r="H374" s="5" t="s">
        <v>54</v>
      </c>
      <c r="I374" s="6">
        <v>1.0</v>
      </c>
      <c r="J374" s="8">
        <v>8.83</v>
      </c>
      <c r="K374" s="5" t="str">
        <f t="shared" si="1"/>
        <v>Kolkata -&gt; Bengaluru</v>
      </c>
    </row>
    <row r="375" ht="15.75" customHeight="1">
      <c r="A375" s="5" t="s">
        <v>1305</v>
      </c>
      <c r="B375" s="5" t="s">
        <v>43</v>
      </c>
      <c r="C375" s="6">
        <v>6.0E-135</v>
      </c>
      <c r="D375" s="5" t="s">
        <v>516</v>
      </c>
      <c r="E375" s="5" t="s">
        <v>132</v>
      </c>
      <c r="F375" s="5" t="s">
        <v>109</v>
      </c>
      <c r="G375" s="5" t="s">
        <v>33</v>
      </c>
      <c r="H375" s="5" t="s">
        <v>35</v>
      </c>
      <c r="I375" s="6">
        <v>1.0</v>
      </c>
      <c r="J375" s="8">
        <v>10.25</v>
      </c>
      <c r="K375" s="5" t="str">
        <f t="shared" si="1"/>
        <v>Kolkata -&gt; Bengaluru</v>
      </c>
    </row>
    <row r="376" ht="15.75" customHeight="1">
      <c r="A376" s="5" t="s">
        <v>1308</v>
      </c>
      <c r="B376" s="5" t="s">
        <v>45</v>
      </c>
      <c r="C376" s="6" t="s">
        <v>943</v>
      </c>
      <c r="D376" s="5" t="s">
        <v>516</v>
      </c>
      <c r="E376" s="5" t="s">
        <v>132</v>
      </c>
      <c r="F376" s="5" t="s">
        <v>109</v>
      </c>
      <c r="G376" s="5" t="s">
        <v>33</v>
      </c>
      <c r="H376" s="5" t="s">
        <v>33</v>
      </c>
      <c r="I376" s="6">
        <v>1.0</v>
      </c>
      <c r="J376" s="8">
        <v>25.75</v>
      </c>
      <c r="K376" s="5" t="str">
        <f t="shared" si="1"/>
        <v>Kolkata -&gt; Bengaluru</v>
      </c>
    </row>
    <row r="377" ht="15.75" customHeight="1">
      <c r="A377" s="5" t="s">
        <v>1311</v>
      </c>
      <c r="B377" s="5" t="s">
        <v>58</v>
      </c>
      <c r="C377" s="6" t="s">
        <v>947</v>
      </c>
      <c r="D377" s="5" t="s">
        <v>516</v>
      </c>
      <c r="E377" s="5" t="s">
        <v>132</v>
      </c>
      <c r="F377" s="5" t="s">
        <v>109</v>
      </c>
      <c r="G377" s="5" t="s">
        <v>33</v>
      </c>
      <c r="H377" s="5" t="s">
        <v>54</v>
      </c>
      <c r="I377" s="6">
        <v>1.0</v>
      </c>
      <c r="J377" s="8">
        <v>10.17</v>
      </c>
      <c r="K377" s="5" t="str">
        <f t="shared" si="1"/>
        <v>Kolkata -&gt; Bengaluru</v>
      </c>
    </row>
    <row r="378" ht="15.75" customHeight="1">
      <c r="A378" s="5" t="s">
        <v>1314</v>
      </c>
      <c r="B378" s="5" t="s">
        <v>20</v>
      </c>
      <c r="C378" s="6" t="s">
        <v>1220</v>
      </c>
      <c r="D378" s="5" t="s">
        <v>516</v>
      </c>
      <c r="E378" s="5" t="s">
        <v>132</v>
      </c>
      <c r="F378" s="5" t="s">
        <v>109</v>
      </c>
      <c r="G378" s="5" t="s">
        <v>54</v>
      </c>
      <c r="H378" s="5" t="s">
        <v>35</v>
      </c>
      <c r="I378" s="6">
        <v>1.0</v>
      </c>
      <c r="J378" s="8">
        <v>27.92</v>
      </c>
      <c r="K378" s="5" t="str">
        <f t="shared" si="1"/>
        <v>Kolkata -&gt; Bengaluru</v>
      </c>
    </row>
    <row r="379" ht="15.75" customHeight="1">
      <c r="A379" s="5" t="s">
        <v>1315</v>
      </c>
      <c r="B379" s="5" t="s">
        <v>45</v>
      </c>
      <c r="C379" s="6" t="s">
        <v>943</v>
      </c>
      <c r="D379" s="5" t="s">
        <v>516</v>
      </c>
      <c r="E379" s="5" t="s">
        <v>132</v>
      </c>
      <c r="F379" s="5" t="s">
        <v>109</v>
      </c>
      <c r="G379" s="5" t="s">
        <v>33</v>
      </c>
      <c r="H379" s="5" t="s">
        <v>35</v>
      </c>
      <c r="I379" s="6" t="s">
        <v>180</v>
      </c>
      <c r="J379" s="8">
        <v>12.25</v>
      </c>
      <c r="K379" s="5" t="str">
        <f t="shared" si="1"/>
        <v>Kolkata -&gt; Bengaluru</v>
      </c>
    </row>
    <row r="380" ht="15.75" customHeight="1">
      <c r="A380" s="5" t="s">
        <v>1318</v>
      </c>
      <c r="B380" s="5" t="s">
        <v>20</v>
      </c>
      <c r="C380" s="6" t="s">
        <v>1136</v>
      </c>
      <c r="D380" s="5" t="s">
        <v>516</v>
      </c>
      <c r="E380" s="5" t="s">
        <v>132</v>
      </c>
      <c r="F380" s="5" t="s">
        <v>109</v>
      </c>
      <c r="G380" s="5" t="s">
        <v>33</v>
      </c>
      <c r="H380" s="5" t="s">
        <v>35</v>
      </c>
      <c r="I380" s="6" t="s">
        <v>180</v>
      </c>
      <c r="J380" s="8">
        <v>15.5</v>
      </c>
      <c r="K380" s="5" t="str">
        <f t="shared" si="1"/>
        <v>Kolkata -&gt; Bengaluru</v>
      </c>
    </row>
    <row r="381" ht="15.75" customHeight="1">
      <c r="A381" s="5" t="s">
        <v>1321</v>
      </c>
      <c r="B381" s="5" t="s">
        <v>29</v>
      </c>
      <c r="C381" s="6" t="s">
        <v>1322</v>
      </c>
      <c r="D381" s="5" t="s">
        <v>516</v>
      </c>
      <c r="E381" s="5" t="s">
        <v>132</v>
      </c>
      <c r="F381" s="5" t="s">
        <v>109</v>
      </c>
      <c r="G381" s="5" t="s">
        <v>33</v>
      </c>
      <c r="H381" s="5" t="s">
        <v>54</v>
      </c>
      <c r="I381" s="6">
        <v>1.0</v>
      </c>
      <c r="J381" s="8">
        <v>11.08</v>
      </c>
      <c r="K381" s="5" t="str">
        <f t="shared" si="1"/>
        <v>Kolkata -&gt; Bengaluru</v>
      </c>
    </row>
    <row r="382" ht="15.75" customHeight="1">
      <c r="A382" s="5" t="s">
        <v>1325</v>
      </c>
      <c r="B382" s="5" t="s">
        <v>43</v>
      </c>
      <c r="C382" s="6" t="s">
        <v>1326</v>
      </c>
      <c r="D382" s="5" t="s">
        <v>516</v>
      </c>
      <c r="E382" s="5" t="s">
        <v>132</v>
      </c>
      <c r="F382" s="5" t="s">
        <v>109</v>
      </c>
      <c r="G382" s="5" t="s">
        <v>47</v>
      </c>
      <c r="H382" s="5" t="s">
        <v>54</v>
      </c>
      <c r="I382" s="6">
        <v>0.0</v>
      </c>
      <c r="J382" s="8">
        <v>2.75</v>
      </c>
      <c r="K382" s="5" t="str">
        <f t="shared" si="1"/>
        <v>Kolkata -&gt; Bengaluru</v>
      </c>
    </row>
    <row r="383" ht="15.75" customHeight="1">
      <c r="A383" s="5" t="s">
        <v>1327</v>
      </c>
      <c r="B383" s="5" t="s">
        <v>29</v>
      </c>
      <c r="C383" s="6" t="s">
        <v>1329</v>
      </c>
      <c r="D383" s="5" t="s">
        <v>516</v>
      </c>
      <c r="E383" s="5" t="s">
        <v>132</v>
      </c>
      <c r="F383" s="5" t="s">
        <v>109</v>
      </c>
      <c r="G383" s="5" t="s">
        <v>54</v>
      </c>
      <c r="H383" s="5" t="s">
        <v>35</v>
      </c>
      <c r="I383" s="6">
        <v>1.0</v>
      </c>
      <c r="J383" s="8">
        <v>4.17</v>
      </c>
      <c r="K383" s="5" t="str">
        <f t="shared" si="1"/>
        <v>Kolkata -&gt; Bengaluru</v>
      </c>
    </row>
    <row r="384" ht="15.75" customHeight="1">
      <c r="A384" s="5" t="s">
        <v>1331</v>
      </c>
      <c r="B384" s="5" t="s">
        <v>20</v>
      </c>
      <c r="C384" s="6" t="s">
        <v>1006</v>
      </c>
      <c r="D384" s="5" t="s">
        <v>516</v>
      </c>
      <c r="E384" s="5" t="s">
        <v>132</v>
      </c>
      <c r="F384" s="5" t="s">
        <v>109</v>
      </c>
      <c r="G384" s="5" t="s">
        <v>33</v>
      </c>
      <c r="H384" s="5" t="s">
        <v>33</v>
      </c>
      <c r="I384" s="6">
        <v>1.0</v>
      </c>
      <c r="J384" s="8">
        <v>24.42</v>
      </c>
      <c r="K384" s="5" t="str">
        <f t="shared" si="1"/>
        <v>Kolkata -&gt; Bengaluru</v>
      </c>
    </row>
    <row r="385" ht="15.75" customHeight="1">
      <c r="A385" s="5" t="s">
        <v>1336</v>
      </c>
      <c r="B385" s="5" t="s">
        <v>20</v>
      </c>
      <c r="C385" s="6" t="s">
        <v>1136</v>
      </c>
      <c r="D385" s="5" t="s">
        <v>516</v>
      </c>
      <c r="E385" s="5" t="s">
        <v>132</v>
      </c>
      <c r="F385" s="5" t="s">
        <v>109</v>
      </c>
      <c r="G385" s="5" t="s">
        <v>33</v>
      </c>
      <c r="H385" s="5" t="s">
        <v>33</v>
      </c>
      <c r="I385" s="6">
        <v>1.0</v>
      </c>
      <c r="J385" s="8">
        <v>27.67</v>
      </c>
      <c r="K385" s="5" t="str">
        <f t="shared" si="1"/>
        <v>Kolkata -&gt; Bengaluru</v>
      </c>
    </row>
    <row r="386" ht="15.75" customHeight="1">
      <c r="A386" s="5" t="s">
        <v>1339</v>
      </c>
      <c r="B386" s="5" t="s">
        <v>43</v>
      </c>
      <c r="C386" s="6" t="s">
        <v>1340</v>
      </c>
      <c r="D386" s="5" t="s">
        <v>516</v>
      </c>
      <c r="E386" s="5" t="s">
        <v>132</v>
      </c>
      <c r="F386" s="5" t="s">
        <v>109</v>
      </c>
      <c r="G386" s="5" t="s">
        <v>33</v>
      </c>
      <c r="H386" s="5" t="s">
        <v>35</v>
      </c>
      <c r="I386" s="6" t="s">
        <v>180</v>
      </c>
      <c r="J386" s="8">
        <v>13.5</v>
      </c>
      <c r="K386" s="5" t="str">
        <f t="shared" si="1"/>
        <v>Kolkata -&gt; Bengaluru</v>
      </c>
    </row>
    <row r="387" ht="15.75" customHeight="1">
      <c r="A387" s="5" t="s">
        <v>1343</v>
      </c>
      <c r="B387" s="5" t="s">
        <v>20</v>
      </c>
      <c r="C387" s="6" t="s">
        <v>1136</v>
      </c>
      <c r="D387" s="5" t="s">
        <v>516</v>
      </c>
      <c r="E387" s="5" t="s">
        <v>132</v>
      </c>
      <c r="F387" s="5" t="s">
        <v>109</v>
      </c>
      <c r="G387" s="5" t="s">
        <v>33</v>
      </c>
      <c r="H387" s="5" t="s">
        <v>35</v>
      </c>
      <c r="I387" s="6" t="s">
        <v>180</v>
      </c>
      <c r="J387" s="8">
        <v>16.17</v>
      </c>
      <c r="K387" s="5" t="str">
        <f t="shared" si="1"/>
        <v>Kolkata -&gt; Bengaluru</v>
      </c>
    </row>
    <row r="388" ht="15.75" customHeight="1">
      <c r="A388" s="5" t="s">
        <v>1346</v>
      </c>
      <c r="B388" s="5" t="s">
        <v>45</v>
      </c>
      <c r="C388" s="6" t="s">
        <v>1166</v>
      </c>
      <c r="D388" s="5" t="s">
        <v>516</v>
      </c>
      <c r="E388" s="5" t="s">
        <v>132</v>
      </c>
      <c r="F388" s="5" t="s">
        <v>109</v>
      </c>
      <c r="G388" s="5" t="s">
        <v>47</v>
      </c>
      <c r="H388" s="5" t="s">
        <v>35</v>
      </c>
      <c r="I388" s="6">
        <v>1.0</v>
      </c>
      <c r="J388" s="8">
        <v>9.0</v>
      </c>
      <c r="K388" s="5" t="str">
        <f t="shared" si="1"/>
        <v>Kolkata -&gt; Bengaluru</v>
      </c>
    </row>
    <row r="389" ht="15.75" customHeight="1">
      <c r="A389" s="5" t="s">
        <v>1349</v>
      </c>
      <c r="B389" s="5" t="s">
        <v>20</v>
      </c>
      <c r="C389" s="6" t="s">
        <v>1220</v>
      </c>
      <c r="D389" s="5" t="s">
        <v>516</v>
      </c>
      <c r="E389" s="5" t="s">
        <v>132</v>
      </c>
      <c r="F389" s="5" t="s">
        <v>109</v>
      </c>
      <c r="G389" s="5" t="s">
        <v>54</v>
      </c>
      <c r="H389" s="5" t="s">
        <v>33</v>
      </c>
      <c r="I389" s="6">
        <v>1.0</v>
      </c>
      <c r="J389" s="8">
        <v>17.08</v>
      </c>
      <c r="K389" s="5" t="str">
        <f t="shared" si="1"/>
        <v>Kolkata -&gt; Bengaluru</v>
      </c>
    </row>
    <row r="390" ht="15.75" customHeight="1">
      <c r="A390" s="5" t="s">
        <v>1350</v>
      </c>
      <c r="B390" s="5" t="s">
        <v>45</v>
      </c>
      <c r="C390" s="6" t="s">
        <v>1174</v>
      </c>
      <c r="D390" s="5" t="s">
        <v>516</v>
      </c>
      <c r="E390" s="5" t="s">
        <v>132</v>
      </c>
      <c r="F390" s="5" t="s">
        <v>109</v>
      </c>
      <c r="G390" s="5" t="s">
        <v>47</v>
      </c>
      <c r="H390" s="5" t="s">
        <v>33</v>
      </c>
      <c r="I390" s="6" t="s">
        <v>180</v>
      </c>
      <c r="J390" s="8">
        <v>19.42</v>
      </c>
      <c r="K390" s="5" t="str">
        <f t="shared" si="1"/>
        <v>Kolkata -&gt; Bengaluru</v>
      </c>
    </row>
    <row r="391" ht="15.75" customHeight="1">
      <c r="A391" s="5" t="s">
        <v>1353</v>
      </c>
      <c r="B391" s="5" t="s">
        <v>45</v>
      </c>
      <c r="C391" s="6" t="s">
        <v>1170</v>
      </c>
      <c r="D391" s="5" t="s">
        <v>516</v>
      </c>
      <c r="E391" s="5" t="s">
        <v>132</v>
      </c>
      <c r="F391" s="5" t="s">
        <v>109</v>
      </c>
      <c r="G391" s="5" t="s">
        <v>35</v>
      </c>
      <c r="H391" s="5" t="s">
        <v>35</v>
      </c>
      <c r="I391" s="6">
        <v>1.0</v>
      </c>
      <c r="J391" s="8">
        <v>28.0</v>
      </c>
      <c r="K391" s="5" t="str">
        <f t="shared" si="1"/>
        <v>Kolkata -&gt; Bengaluru</v>
      </c>
    </row>
    <row r="392" ht="15.75" customHeight="1">
      <c r="A392" s="5" t="s">
        <v>1355</v>
      </c>
      <c r="B392" s="5" t="s">
        <v>45</v>
      </c>
      <c r="C392" s="6" t="s">
        <v>1174</v>
      </c>
      <c r="D392" s="5" t="s">
        <v>516</v>
      </c>
      <c r="E392" s="5" t="s">
        <v>132</v>
      </c>
      <c r="F392" s="5" t="s">
        <v>109</v>
      </c>
      <c r="G392" s="5" t="s">
        <v>47</v>
      </c>
      <c r="H392" s="5" t="s">
        <v>35</v>
      </c>
      <c r="I392" s="6">
        <v>1.0</v>
      </c>
      <c r="J392" s="8">
        <v>34.67</v>
      </c>
      <c r="K392" s="5" t="str">
        <f t="shared" si="1"/>
        <v>Kolkata -&gt; Bengaluru</v>
      </c>
    </row>
    <row r="393" ht="15.75" customHeight="1">
      <c r="A393" s="5" t="s">
        <v>1357</v>
      </c>
      <c r="B393" s="5" t="s">
        <v>29</v>
      </c>
      <c r="C393" s="6" t="s">
        <v>1358</v>
      </c>
      <c r="D393" s="5" t="s">
        <v>516</v>
      </c>
      <c r="E393" s="5" t="s">
        <v>132</v>
      </c>
      <c r="F393" s="5" t="s">
        <v>109</v>
      </c>
      <c r="G393" s="5" t="s">
        <v>33</v>
      </c>
      <c r="H393" s="5" t="s">
        <v>47</v>
      </c>
      <c r="I393" s="6">
        <v>1.0</v>
      </c>
      <c r="J393" s="8">
        <v>7.92</v>
      </c>
      <c r="K393" s="5" t="str">
        <f t="shared" si="1"/>
        <v>Kolkata -&gt; Bengaluru</v>
      </c>
    </row>
    <row r="394" ht="15.75" customHeight="1">
      <c r="A394" s="5" t="s">
        <v>1361</v>
      </c>
      <c r="B394" s="5" t="s">
        <v>45</v>
      </c>
      <c r="C394" s="6" t="s">
        <v>1166</v>
      </c>
      <c r="D394" s="5" t="s">
        <v>516</v>
      </c>
      <c r="E394" s="5" t="s">
        <v>132</v>
      </c>
      <c r="F394" s="5" t="s">
        <v>109</v>
      </c>
      <c r="G394" s="5" t="s">
        <v>47</v>
      </c>
      <c r="H394" s="5" t="s">
        <v>33</v>
      </c>
      <c r="I394" s="6">
        <v>1.0</v>
      </c>
      <c r="J394" s="8">
        <v>17.42</v>
      </c>
      <c r="K394" s="5" t="str">
        <f t="shared" si="1"/>
        <v>Kolkata -&gt; Bengaluru</v>
      </c>
    </row>
    <row r="395" ht="15.75" customHeight="1">
      <c r="A395" s="5" t="s">
        <v>1364</v>
      </c>
      <c r="B395" s="5" t="s">
        <v>43</v>
      </c>
      <c r="C395" s="6" t="s">
        <v>1365</v>
      </c>
      <c r="D395" s="5" t="s">
        <v>516</v>
      </c>
      <c r="E395" s="5" t="s">
        <v>132</v>
      </c>
      <c r="F395" s="5" t="s">
        <v>109</v>
      </c>
      <c r="G395" s="5" t="s">
        <v>35</v>
      </c>
      <c r="H395" s="5" t="s">
        <v>33</v>
      </c>
      <c r="I395" s="6">
        <v>1.0</v>
      </c>
      <c r="J395" s="8">
        <v>11.17</v>
      </c>
      <c r="K395" s="5" t="str">
        <f t="shared" si="1"/>
        <v>Kolkata -&gt; Bengaluru</v>
      </c>
    </row>
    <row r="396" ht="15.75" customHeight="1">
      <c r="A396" s="5" t="s">
        <v>1369</v>
      </c>
      <c r="B396" s="5" t="s">
        <v>72</v>
      </c>
      <c r="C396" s="6" t="s">
        <v>1371</v>
      </c>
      <c r="D396" s="5" t="s">
        <v>516</v>
      </c>
      <c r="E396" s="5" t="s">
        <v>132</v>
      </c>
      <c r="F396" s="5" t="s">
        <v>109</v>
      </c>
      <c r="G396" s="5" t="s">
        <v>54</v>
      </c>
      <c r="H396" s="5" t="s">
        <v>35</v>
      </c>
      <c r="I396" s="6">
        <v>0.0</v>
      </c>
      <c r="J396" s="8">
        <v>2.67</v>
      </c>
      <c r="K396" s="5" t="str">
        <f t="shared" si="1"/>
        <v>Kolkata -&gt; Bengaluru</v>
      </c>
    </row>
    <row r="397" ht="15.75" customHeight="1">
      <c r="A397" s="5" t="s">
        <v>1372</v>
      </c>
      <c r="B397" s="5" t="s">
        <v>58</v>
      </c>
      <c r="C397" s="6" t="s">
        <v>1373</v>
      </c>
      <c r="D397" s="5" t="s">
        <v>516</v>
      </c>
      <c r="E397" s="5" t="s">
        <v>132</v>
      </c>
      <c r="F397" s="5" t="s">
        <v>109</v>
      </c>
      <c r="G397" s="5" t="s">
        <v>54</v>
      </c>
      <c r="H397" s="5" t="s">
        <v>35</v>
      </c>
      <c r="I397" s="6">
        <v>1.0</v>
      </c>
      <c r="J397" s="8">
        <v>8.17</v>
      </c>
      <c r="K397" s="5" t="str">
        <f t="shared" si="1"/>
        <v>Kolkata -&gt; Bengaluru</v>
      </c>
    </row>
    <row r="398" ht="15.75" customHeight="1">
      <c r="A398" s="5" t="s">
        <v>1376</v>
      </c>
      <c r="B398" s="5" t="s">
        <v>20</v>
      </c>
      <c r="C398" s="6" t="s">
        <v>1178</v>
      </c>
      <c r="D398" s="5" t="s">
        <v>516</v>
      </c>
      <c r="E398" s="5" t="s">
        <v>132</v>
      </c>
      <c r="F398" s="5" t="s">
        <v>109</v>
      </c>
      <c r="G398" s="5" t="s">
        <v>33</v>
      </c>
      <c r="H398" s="5" t="s">
        <v>54</v>
      </c>
      <c r="I398" s="6" t="s">
        <v>180</v>
      </c>
      <c r="J398" s="8">
        <v>6.83</v>
      </c>
      <c r="K398" s="5" t="str">
        <f t="shared" si="1"/>
        <v>Kolkata -&gt; Bengaluru</v>
      </c>
    </row>
    <row r="399" ht="15.75" customHeight="1">
      <c r="A399" s="5" t="s">
        <v>1379</v>
      </c>
      <c r="B399" s="5" t="s">
        <v>43</v>
      </c>
      <c r="C399" s="6">
        <v>6.0E-135</v>
      </c>
      <c r="D399" s="5" t="s">
        <v>516</v>
      </c>
      <c r="E399" s="5" t="s">
        <v>132</v>
      </c>
      <c r="F399" s="5" t="s">
        <v>109</v>
      </c>
      <c r="G399" s="5" t="s">
        <v>33</v>
      </c>
      <c r="H399" s="5" t="s">
        <v>35</v>
      </c>
      <c r="I399" s="6" t="s">
        <v>180</v>
      </c>
      <c r="J399" s="8">
        <v>9.33</v>
      </c>
      <c r="K399" s="5" t="str">
        <f t="shared" si="1"/>
        <v>Kolkata -&gt; Bengaluru</v>
      </c>
    </row>
    <row r="400" ht="15.75" customHeight="1">
      <c r="A400" s="5" t="s">
        <v>1382</v>
      </c>
      <c r="B400" s="5" t="s">
        <v>29</v>
      </c>
      <c r="C400" s="6" t="s">
        <v>1383</v>
      </c>
      <c r="D400" s="5" t="s">
        <v>516</v>
      </c>
      <c r="E400" s="5" t="s">
        <v>132</v>
      </c>
      <c r="F400" s="5" t="s">
        <v>109</v>
      </c>
      <c r="G400" s="5" t="s">
        <v>33</v>
      </c>
      <c r="H400" s="5" t="s">
        <v>35</v>
      </c>
      <c r="I400" s="6" t="s">
        <v>180</v>
      </c>
      <c r="J400" s="8">
        <v>13.08</v>
      </c>
      <c r="K400" s="5" t="str">
        <f t="shared" si="1"/>
        <v>Kolkata -&gt; Bengaluru</v>
      </c>
    </row>
    <row r="401" ht="15.75" customHeight="1">
      <c r="A401" s="5" t="s">
        <v>1386</v>
      </c>
      <c r="B401" s="5" t="s">
        <v>29</v>
      </c>
      <c r="C401" s="6" t="s">
        <v>1383</v>
      </c>
      <c r="D401" s="5" t="s">
        <v>516</v>
      </c>
      <c r="E401" s="5" t="s">
        <v>132</v>
      </c>
      <c r="F401" s="5" t="s">
        <v>109</v>
      </c>
      <c r="G401" s="5" t="s">
        <v>54</v>
      </c>
      <c r="H401" s="5" t="s">
        <v>35</v>
      </c>
      <c r="I401" s="6">
        <v>1.0</v>
      </c>
      <c r="J401" s="8">
        <v>7.0</v>
      </c>
      <c r="K401" s="5" t="str">
        <f t="shared" si="1"/>
        <v>Kolkata -&gt; Bengaluru</v>
      </c>
    </row>
    <row r="402" ht="15.75" customHeight="1">
      <c r="A402" s="5" t="s">
        <v>1389</v>
      </c>
      <c r="B402" s="5" t="s">
        <v>45</v>
      </c>
      <c r="C402" s="6" t="s">
        <v>1124</v>
      </c>
      <c r="D402" s="5" t="s">
        <v>533</v>
      </c>
      <c r="E402" s="5" t="s">
        <v>132</v>
      </c>
      <c r="F402" s="5" t="s">
        <v>154</v>
      </c>
      <c r="G402" s="5" t="s">
        <v>33</v>
      </c>
      <c r="H402" s="5" t="s">
        <v>33</v>
      </c>
      <c r="I402" s="6">
        <v>1.0</v>
      </c>
      <c r="J402" s="8">
        <v>26.08</v>
      </c>
      <c r="K402" s="5" t="str">
        <f t="shared" si="1"/>
        <v>Kolkata -&gt; Hyderabad</v>
      </c>
    </row>
    <row r="403" ht="15.75" customHeight="1">
      <c r="A403" s="5" t="s">
        <v>1392</v>
      </c>
      <c r="B403" s="5" t="s">
        <v>45</v>
      </c>
      <c r="C403" s="6" t="s">
        <v>1170</v>
      </c>
      <c r="D403" s="5" t="s">
        <v>533</v>
      </c>
      <c r="E403" s="5" t="s">
        <v>132</v>
      </c>
      <c r="F403" s="5" t="s">
        <v>154</v>
      </c>
      <c r="G403" s="5" t="s">
        <v>35</v>
      </c>
      <c r="H403" s="5" t="s">
        <v>54</v>
      </c>
      <c r="I403" s="6">
        <v>1.0</v>
      </c>
      <c r="J403" s="8">
        <v>22.83</v>
      </c>
      <c r="K403" s="5" t="str">
        <f t="shared" si="1"/>
        <v>Kolkata -&gt; Hyderabad</v>
      </c>
    </row>
    <row r="404" ht="15.75" customHeight="1">
      <c r="A404" s="5" t="s">
        <v>1393</v>
      </c>
      <c r="B404" s="5" t="s">
        <v>45</v>
      </c>
      <c r="C404" s="6" t="s">
        <v>1166</v>
      </c>
      <c r="D404" s="5" t="s">
        <v>533</v>
      </c>
      <c r="E404" s="5" t="s">
        <v>132</v>
      </c>
      <c r="F404" s="5" t="s">
        <v>154</v>
      </c>
      <c r="G404" s="5" t="s">
        <v>47</v>
      </c>
      <c r="H404" s="5" t="s">
        <v>33</v>
      </c>
      <c r="I404" s="6">
        <v>1.0</v>
      </c>
      <c r="J404" s="8">
        <v>19.0</v>
      </c>
      <c r="K404" s="5" t="str">
        <f t="shared" si="1"/>
        <v>Kolkata -&gt; Hyderabad</v>
      </c>
    </row>
    <row r="405" ht="15.75" customHeight="1">
      <c r="A405" s="5" t="s">
        <v>1396</v>
      </c>
      <c r="B405" s="5" t="s">
        <v>43</v>
      </c>
      <c r="C405" s="6" t="s">
        <v>1071</v>
      </c>
      <c r="D405" s="5" t="s">
        <v>533</v>
      </c>
      <c r="E405" s="5" t="s">
        <v>132</v>
      </c>
      <c r="F405" s="5" t="s">
        <v>154</v>
      </c>
      <c r="G405" s="5" t="s">
        <v>33</v>
      </c>
      <c r="H405" s="5" t="s">
        <v>33</v>
      </c>
      <c r="I405" s="6">
        <v>1.0</v>
      </c>
      <c r="J405" s="8">
        <v>4.33</v>
      </c>
      <c r="K405" s="5" t="str">
        <f t="shared" si="1"/>
        <v>Kolkata -&gt; Hyderabad</v>
      </c>
    </row>
    <row r="406" ht="15.75" customHeight="1">
      <c r="A406" s="5" t="s">
        <v>1398</v>
      </c>
      <c r="B406" s="5" t="s">
        <v>45</v>
      </c>
      <c r="C406" s="6" t="s">
        <v>1124</v>
      </c>
      <c r="D406" s="5" t="s">
        <v>533</v>
      </c>
      <c r="E406" s="5" t="s">
        <v>132</v>
      </c>
      <c r="F406" s="5" t="s">
        <v>154</v>
      </c>
      <c r="G406" s="5" t="s">
        <v>33</v>
      </c>
      <c r="H406" s="5" t="s">
        <v>33</v>
      </c>
      <c r="I406" s="6">
        <v>1.0</v>
      </c>
      <c r="J406" s="8">
        <v>27.5</v>
      </c>
      <c r="K406" s="5" t="str">
        <f t="shared" si="1"/>
        <v>Kolkata -&gt; Hyderabad</v>
      </c>
    </row>
    <row r="407" ht="15.75" customHeight="1">
      <c r="A407" s="5" t="s">
        <v>1400</v>
      </c>
      <c r="B407" s="5" t="s">
        <v>58</v>
      </c>
      <c r="C407" s="6" t="s">
        <v>1402</v>
      </c>
      <c r="D407" s="5" t="s">
        <v>533</v>
      </c>
      <c r="E407" s="5" t="s">
        <v>132</v>
      </c>
      <c r="F407" s="5" t="s">
        <v>154</v>
      </c>
      <c r="G407" s="5" t="s">
        <v>54</v>
      </c>
      <c r="H407" s="5" t="s">
        <v>35</v>
      </c>
      <c r="I407" s="6">
        <v>0.0</v>
      </c>
      <c r="J407" s="8">
        <v>2.17</v>
      </c>
      <c r="K407" s="5" t="str">
        <f t="shared" si="1"/>
        <v>Kolkata -&gt; Hyderabad</v>
      </c>
    </row>
    <row r="408" ht="15.75" customHeight="1">
      <c r="A408" s="5" t="s">
        <v>1405</v>
      </c>
      <c r="B408" s="5" t="s">
        <v>45</v>
      </c>
      <c r="C408" s="6" t="s">
        <v>943</v>
      </c>
      <c r="D408" s="5" t="s">
        <v>533</v>
      </c>
      <c r="E408" s="5" t="s">
        <v>132</v>
      </c>
      <c r="F408" s="5" t="s">
        <v>154</v>
      </c>
      <c r="G408" s="5" t="s">
        <v>33</v>
      </c>
      <c r="H408" s="5" t="s">
        <v>33</v>
      </c>
      <c r="I408" s="6">
        <v>1.0</v>
      </c>
      <c r="J408" s="8">
        <v>24.83</v>
      </c>
      <c r="K408" s="5" t="str">
        <f t="shared" si="1"/>
        <v>Kolkata -&gt; Hyderabad</v>
      </c>
    </row>
    <row r="409" ht="15.75" customHeight="1">
      <c r="A409" s="5" t="s">
        <v>1407</v>
      </c>
      <c r="B409" s="5" t="s">
        <v>45</v>
      </c>
      <c r="C409" s="6" t="s">
        <v>1166</v>
      </c>
      <c r="D409" s="5" t="s">
        <v>533</v>
      </c>
      <c r="E409" s="5" t="s">
        <v>132</v>
      </c>
      <c r="F409" s="5" t="s">
        <v>154</v>
      </c>
      <c r="G409" s="5" t="s">
        <v>47</v>
      </c>
      <c r="H409" s="5" t="s">
        <v>35</v>
      </c>
      <c r="I409" s="6" t="s">
        <v>180</v>
      </c>
      <c r="J409" s="8">
        <v>8.08</v>
      </c>
      <c r="K409" s="5" t="str">
        <f t="shared" si="1"/>
        <v>Kolkata -&gt; Hyderabad</v>
      </c>
    </row>
    <row r="410" ht="15.75" customHeight="1">
      <c r="A410" s="5" t="s">
        <v>1410</v>
      </c>
      <c r="B410" s="5" t="s">
        <v>43</v>
      </c>
      <c r="C410" s="6" t="s">
        <v>1411</v>
      </c>
      <c r="D410" s="5" t="s">
        <v>533</v>
      </c>
      <c r="E410" s="5" t="s">
        <v>132</v>
      </c>
      <c r="F410" s="5" t="s">
        <v>154</v>
      </c>
      <c r="G410" s="5" t="s">
        <v>54</v>
      </c>
      <c r="H410" s="5" t="s">
        <v>35</v>
      </c>
      <c r="I410" s="6">
        <v>1.0</v>
      </c>
      <c r="J410" s="8">
        <v>5.75</v>
      </c>
      <c r="K410" s="5" t="str">
        <f t="shared" si="1"/>
        <v>Kolkata -&gt; Hyderabad</v>
      </c>
    </row>
    <row r="411" ht="15.75" customHeight="1">
      <c r="A411" s="5" t="s">
        <v>1414</v>
      </c>
      <c r="B411" s="5" t="s">
        <v>29</v>
      </c>
      <c r="C411" s="6" t="s">
        <v>1415</v>
      </c>
      <c r="D411" s="5" t="s">
        <v>533</v>
      </c>
      <c r="E411" s="5" t="s">
        <v>132</v>
      </c>
      <c r="F411" s="5" t="s">
        <v>154</v>
      </c>
      <c r="G411" s="5" t="s">
        <v>33</v>
      </c>
      <c r="H411" s="5" t="s">
        <v>47</v>
      </c>
      <c r="I411" s="6">
        <v>1.0</v>
      </c>
      <c r="J411" s="8">
        <v>5.92</v>
      </c>
      <c r="K411" s="5" t="str">
        <f t="shared" si="1"/>
        <v>Kolkata -&gt; Hyderabad</v>
      </c>
    </row>
    <row r="412" ht="15.75" customHeight="1">
      <c r="A412" s="5" t="s">
        <v>1418</v>
      </c>
      <c r="B412" s="5" t="s">
        <v>58</v>
      </c>
      <c r="C412" s="6" t="s">
        <v>1419</v>
      </c>
      <c r="D412" s="5" t="s">
        <v>533</v>
      </c>
      <c r="E412" s="5" t="s">
        <v>132</v>
      </c>
      <c r="F412" s="5" t="s">
        <v>154</v>
      </c>
      <c r="G412" s="5" t="s">
        <v>47</v>
      </c>
      <c r="H412" s="5" t="s">
        <v>47</v>
      </c>
      <c r="I412" s="6">
        <v>0.0</v>
      </c>
      <c r="J412" s="8">
        <v>2.33</v>
      </c>
      <c r="K412" s="5" t="str">
        <f t="shared" si="1"/>
        <v>Kolkata -&gt; Hyderabad</v>
      </c>
    </row>
    <row r="413" ht="15.75" customHeight="1">
      <c r="A413" s="5" t="s">
        <v>1422</v>
      </c>
      <c r="B413" s="5" t="s">
        <v>45</v>
      </c>
      <c r="C413" s="6" t="s">
        <v>1226</v>
      </c>
      <c r="D413" s="5" t="s">
        <v>533</v>
      </c>
      <c r="E413" s="5" t="s">
        <v>132</v>
      </c>
      <c r="F413" s="5" t="s">
        <v>154</v>
      </c>
      <c r="G413" s="5" t="s">
        <v>33</v>
      </c>
      <c r="H413" s="5" t="s">
        <v>35</v>
      </c>
      <c r="I413" s="6">
        <v>1.0</v>
      </c>
      <c r="J413" s="8">
        <v>13.17</v>
      </c>
      <c r="K413" s="5" t="str">
        <f t="shared" si="1"/>
        <v>Kolkata -&gt; Hyderabad</v>
      </c>
    </row>
    <row r="414" ht="15.75" customHeight="1">
      <c r="A414" s="5" t="s">
        <v>1423</v>
      </c>
      <c r="B414" s="5" t="s">
        <v>20</v>
      </c>
      <c r="C414" s="6" t="s">
        <v>1006</v>
      </c>
      <c r="D414" s="5" t="s">
        <v>533</v>
      </c>
      <c r="E414" s="5" t="s">
        <v>132</v>
      </c>
      <c r="F414" s="5" t="s">
        <v>154</v>
      </c>
      <c r="G414" s="5" t="s">
        <v>33</v>
      </c>
      <c r="H414" s="5" t="s">
        <v>33</v>
      </c>
      <c r="I414" s="6">
        <v>1.0</v>
      </c>
      <c r="J414" s="8">
        <v>21.42</v>
      </c>
      <c r="K414" s="5" t="str">
        <f t="shared" si="1"/>
        <v>Kolkata -&gt; Hyderabad</v>
      </c>
    </row>
    <row r="415" ht="15.75" customHeight="1">
      <c r="A415" s="5" t="s">
        <v>1426</v>
      </c>
      <c r="B415" s="5" t="s">
        <v>45</v>
      </c>
      <c r="C415" s="6" t="s">
        <v>943</v>
      </c>
      <c r="D415" s="5" t="s">
        <v>533</v>
      </c>
      <c r="E415" s="5" t="s">
        <v>132</v>
      </c>
      <c r="F415" s="5" t="s">
        <v>154</v>
      </c>
      <c r="G415" s="5" t="s">
        <v>33</v>
      </c>
      <c r="H415" s="5" t="s">
        <v>35</v>
      </c>
      <c r="I415" s="6">
        <v>1.0</v>
      </c>
      <c r="J415" s="8">
        <v>11.92</v>
      </c>
      <c r="K415" s="5" t="str">
        <f t="shared" si="1"/>
        <v>Kolkata -&gt; Hyderabad</v>
      </c>
    </row>
    <row r="416" ht="15.75" customHeight="1">
      <c r="A416" s="5" t="s">
        <v>1429</v>
      </c>
      <c r="B416" s="5" t="s">
        <v>45</v>
      </c>
      <c r="C416" s="6" t="s">
        <v>1170</v>
      </c>
      <c r="D416" s="5" t="s">
        <v>533</v>
      </c>
      <c r="E416" s="5" t="s">
        <v>132</v>
      </c>
      <c r="F416" s="5" t="s">
        <v>154</v>
      </c>
      <c r="G416" s="5" t="s">
        <v>35</v>
      </c>
      <c r="H416" s="5" t="s">
        <v>35</v>
      </c>
      <c r="I416" s="6">
        <v>1.0</v>
      </c>
      <c r="J416" s="8">
        <v>25.08</v>
      </c>
      <c r="K416" s="5" t="str">
        <f t="shared" si="1"/>
        <v>Kolkata -&gt; Hyderabad</v>
      </c>
    </row>
    <row r="417" ht="15.75" customHeight="1">
      <c r="A417" s="5" t="s">
        <v>1432</v>
      </c>
      <c r="B417" s="5" t="s">
        <v>45</v>
      </c>
      <c r="C417" s="6" t="s">
        <v>1170</v>
      </c>
      <c r="D417" s="5" t="s">
        <v>533</v>
      </c>
      <c r="E417" s="5" t="s">
        <v>132</v>
      </c>
      <c r="F417" s="5" t="s">
        <v>154</v>
      </c>
      <c r="G417" s="5" t="s">
        <v>35</v>
      </c>
      <c r="H417" s="5" t="s">
        <v>33</v>
      </c>
      <c r="I417" s="6">
        <v>1.0</v>
      </c>
      <c r="J417" s="8">
        <v>12.5</v>
      </c>
      <c r="K417" s="5" t="str">
        <f t="shared" si="1"/>
        <v>Kolkata -&gt; Hyderabad</v>
      </c>
    </row>
    <row r="418" ht="15.75" customHeight="1">
      <c r="A418" s="5" t="s">
        <v>1435</v>
      </c>
      <c r="B418" s="5" t="s">
        <v>58</v>
      </c>
      <c r="C418" s="6" t="s">
        <v>1402</v>
      </c>
      <c r="D418" s="5" t="s">
        <v>533</v>
      </c>
      <c r="E418" s="5" t="s">
        <v>132</v>
      </c>
      <c r="F418" s="5" t="s">
        <v>154</v>
      </c>
      <c r="G418" s="5" t="s">
        <v>35</v>
      </c>
      <c r="H418" s="5" t="s">
        <v>35</v>
      </c>
      <c r="I418" s="6">
        <v>0.0</v>
      </c>
      <c r="J418" s="8">
        <v>2.17</v>
      </c>
      <c r="K418" s="5" t="str">
        <f t="shared" si="1"/>
        <v>Kolkata -&gt; Hyderabad</v>
      </c>
    </row>
    <row r="419" ht="15.75" customHeight="1">
      <c r="A419" s="5" t="s">
        <v>1437</v>
      </c>
      <c r="B419" s="5" t="s">
        <v>43</v>
      </c>
      <c r="C419" s="6">
        <v>6.0E-245</v>
      </c>
      <c r="D419" s="5" t="s">
        <v>533</v>
      </c>
      <c r="E419" s="5" t="s">
        <v>132</v>
      </c>
      <c r="F419" s="5" t="s">
        <v>154</v>
      </c>
      <c r="G419" s="5" t="s">
        <v>33</v>
      </c>
      <c r="H419" s="5" t="s">
        <v>33</v>
      </c>
      <c r="I419" s="6">
        <v>1.0</v>
      </c>
      <c r="J419" s="8">
        <v>6.67</v>
      </c>
      <c r="K419" s="5" t="str">
        <f t="shared" si="1"/>
        <v>Kolkata -&gt; Hyderabad</v>
      </c>
    </row>
    <row r="420" ht="15.75" customHeight="1">
      <c r="A420" s="5" t="s">
        <v>1439</v>
      </c>
      <c r="B420" s="5" t="s">
        <v>20</v>
      </c>
      <c r="C420" s="6" t="s">
        <v>1214</v>
      </c>
      <c r="D420" s="5" t="s">
        <v>533</v>
      </c>
      <c r="E420" s="5" t="s">
        <v>132</v>
      </c>
      <c r="F420" s="5" t="s">
        <v>154</v>
      </c>
      <c r="G420" s="5" t="s">
        <v>35</v>
      </c>
      <c r="H420" s="5" t="s">
        <v>35</v>
      </c>
      <c r="I420" s="6">
        <v>1.0</v>
      </c>
      <c r="J420" s="8">
        <v>26.58</v>
      </c>
      <c r="K420" s="5" t="str">
        <f t="shared" si="1"/>
        <v>Kolkata -&gt; Hyderabad</v>
      </c>
    </row>
    <row r="421" ht="15.75" customHeight="1">
      <c r="A421" s="5" t="s">
        <v>1442</v>
      </c>
      <c r="B421" s="5" t="s">
        <v>20</v>
      </c>
      <c r="C421" s="6" t="s">
        <v>1006</v>
      </c>
      <c r="D421" s="5" t="s">
        <v>533</v>
      </c>
      <c r="E421" s="5" t="s">
        <v>132</v>
      </c>
      <c r="F421" s="5" t="s">
        <v>154</v>
      </c>
      <c r="G421" s="5" t="s">
        <v>33</v>
      </c>
      <c r="H421" s="5" t="s">
        <v>35</v>
      </c>
      <c r="I421" s="6">
        <v>1.0</v>
      </c>
      <c r="J421" s="8">
        <v>12.5</v>
      </c>
      <c r="K421" s="5" t="str">
        <f t="shared" si="1"/>
        <v>Kolkata -&gt; Hyderabad</v>
      </c>
    </row>
    <row r="422" ht="15.75" customHeight="1">
      <c r="A422" s="5" t="s">
        <v>1445</v>
      </c>
      <c r="B422" s="5" t="s">
        <v>20</v>
      </c>
      <c r="C422" s="6" t="s">
        <v>1006</v>
      </c>
      <c r="D422" s="5" t="s">
        <v>533</v>
      </c>
      <c r="E422" s="5" t="s">
        <v>132</v>
      </c>
      <c r="F422" s="5" t="s">
        <v>154</v>
      </c>
      <c r="G422" s="5" t="s">
        <v>33</v>
      </c>
      <c r="H422" s="5" t="s">
        <v>47</v>
      </c>
      <c r="I422" s="6">
        <v>1.0</v>
      </c>
      <c r="J422" s="8">
        <v>25.83</v>
      </c>
      <c r="K422" s="5" t="str">
        <f t="shared" si="1"/>
        <v>Kolkata -&gt; Hyderabad</v>
      </c>
    </row>
    <row r="423" ht="15.75" customHeight="1">
      <c r="A423" s="5" t="s">
        <v>1448</v>
      </c>
      <c r="B423" s="5" t="s">
        <v>45</v>
      </c>
      <c r="C423" s="6" t="s">
        <v>287</v>
      </c>
      <c r="D423" s="5" t="s">
        <v>533</v>
      </c>
      <c r="E423" s="5" t="s">
        <v>132</v>
      </c>
      <c r="F423" s="5" t="s">
        <v>154</v>
      </c>
      <c r="G423" s="5" t="s">
        <v>54</v>
      </c>
      <c r="H423" s="5" t="s">
        <v>33</v>
      </c>
      <c r="I423" s="6">
        <v>1.0</v>
      </c>
      <c r="J423" s="8">
        <v>14.58</v>
      </c>
      <c r="K423" s="5" t="str">
        <f t="shared" si="1"/>
        <v>Kolkata -&gt; Hyderabad</v>
      </c>
    </row>
    <row r="424" ht="15.75" customHeight="1">
      <c r="A424" s="5" t="s">
        <v>1450</v>
      </c>
      <c r="B424" s="5" t="s">
        <v>45</v>
      </c>
      <c r="C424" s="6" t="s">
        <v>1166</v>
      </c>
      <c r="D424" s="5" t="s">
        <v>533</v>
      </c>
      <c r="E424" s="5" t="s">
        <v>132</v>
      </c>
      <c r="F424" s="5" t="s">
        <v>154</v>
      </c>
      <c r="G424" s="5" t="s">
        <v>47</v>
      </c>
      <c r="H424" s="5" t="s">
        <v>54</v>
      </c>
      <c r="I424" s="6">
        <v>1.0</v>
      </c>
      <c r="J424" s="8">
        <v>27.83</v>
      </c>
      <c r="K424" s="5" t="str">
        <f t="shared" si="1"/>
        <v>Kolkata -&gt; Hyderabad</v>
      </c>
    </row>
    <row r="425" ht="15.75" customHeight="1">
      <c r="A425" s="5" t="s">
        <v>1452</v>
      </c>
      <c r="B425" s="5" t="s">
        <v>58</v>
      </c>
      <c r="C425" s="6" t="s">
        <v>1155</v>
      </c>
      <c r="D425" s="5" t="s">
        <v>533</v>
      </c>
      <c r="E425" s="5" t="s">
        <v>132</v>
      </c>
      <c r="F425" s="5" t="s">
        <v>154</v>
      </c>
      <c r="G425" s="5" t="s">
        <v>33</v>
      </c>
      <c r="H425" s="5" t="s">
        <v>35</v>
      </c>
      <c r="I425" s="6">
        <v>1.0</v>
      </c>
      <c r="J425" s="8">
        <v>14.92</v>
      </c>
      <c r="K425" s="5" t="str">
        <f t="shared" si="1"/>
        <v>Kolkata -&gt; Hyderabad</v>
      </c>
    </row>
    <row r="426" ht="15.75" customHeight="1">
      <c r="A426" s="5" t="s">
        <v>1455</v>
      </c>
      <c r="B426" s="5" t="s">
        <v>45</v>
      </c>
      <c r="C426" s="6" t="s">
        <v>1029</v>
      </c>
      <c r="D426" s="5" t="s">
        <v>533</v>
      </c>
      <c r="E426" s="5" t="s">
        <v>132</v>
      </c>
      <c r="F426" s="5" t="s">
        <v>154</v>
      </c>
      <c r="G426" s="5" t="s">
        <v>47</v>
      </c>
      <c r="H426" s="5" t="s">
        <v>33</v>
      </c>
      <c r="I426" s="6">
        <v>1.0</v>
      </c>
      <c r="J426" s="8">
        <v>21.5</v>
      </c>
      <c r="K426" s="5" t="str">
        <f t="shared" si="1"/>
        <v>Kolkata -&gt; Hyderabad</v>
      </c>
    </row>
    <row r="427" ht="15.75" customHeight="1">
      <c r="A427" s="5" t="s">
        <v>1456</v>
      </c>
      <c r="B427" s="5" t="s">
        <v>45</v>
      </c>
      <c r="C427" s="6" t="s">
        <v>1174</v>
      </c>
      <c r="D427" s="5" t="s">
        <v>533</v>
      </c>
      <c r="E427" s="5" t="s">
        <v>132</v>
      </c>
      <c r="F427" s="5" t="s">
        <v>154</v>
      </c>
      <c r="G427" s="5" t="s">
        <v>47</v>
      </c>
      <c r="H427" s="5" t="s">
        <v>54</v>
      </c>
      <c r="I427" s="6">
        <v>1.0</v>
      </c>
      <c r="J427" s="8">
        <v>29.83</v>
      </c>
      <c r="K427" s="5" t="str">
        <f t="shared" si="1"/>
        <v>Kolkata -&gt; Hyderabad</v>
      </c>
    </row>
    <row r="428" ht="15.75" customHeight="1">
      <c r="A428" s="5" t="s">
        <v>1459</v>
      </c>
      <c r="B428" s="5" t="s">
        <v>29</v>
      </c>
      <c r="C428" s="6" t="s">
        <v>1322</v>
      </c>
      <c r="D428" s="5" t="s">
        <v>533</v>
      </c>
      <c r="E428" s="5" t="s">
        <v>132</v>
      </c>
      <c r="F428" s="5" t="s">
        <v>154</v>
      </c>
      <c r="G428" s="5" t="s">
        <v>33</v>
      </c>
      <c r="H428" s="5" t="s">
        <v>35</v>
      </c>
      <c r="I428" s="6" t="s">
        <v>180</v>
      </c>
      <c r="J428" s="8">
        <v>12.42</v>
      </c>
      <c r="K428" s="5" t="str">
        <f t="shared" si="1"/>
        <v>Kolkata -&gt; Hyderabad</v>
      </c>
    </row>
    <row r="429" ht="15.75" customHeight="1">
      <c r="A429" s="5" t="s">
        <v>1462</v>
      </c>
      <c r="B429" s="5" t="s">
        <v>45</v>
      </c>
      <c r="C429" s="6" t="s">
        <v>1463</v>
      </c>
      <c r="D429" s="5" t="s">
        <v>533</v>
      </c>
      <c r="E429" s="5" t="s">
        <v>132</v>
      </c>
      <c r="F429" s="5" t="s">
        <v>154</v>
      </c>
      <c r="G429" s="5" t="s">
        <v>33</v>
      </c>
      <c r="H429" s="5" t="s">
        <v>35</v>
      </c>
      <c r="I429" s="6" t="s">
        <v>180</v>
      </c>
      <c r="J429" s="8">
        <v>16.42</v>
      </c>
      <c r="K429" s="5" t="str">
        <f t="shared" si="1"/>
        <v>Kolkata -&gt; Hyderabad</v>
      </c>
    </row>
    <row r="430" ht="15.75" customHeight="1">
      <c r="A430" s="5" t="s">
        <v>1466</v>
      </c>
      <c r="B430" s="5" t="s">
        <v>45</v>
      </c>
      <c r="C430" s="6" t="s">
        <v>1463</v>
      </c>
      <c r="D430" s="5" t="s">
        <v>533</v>
      </c>
      <c r="E430" s="5" t="s">
        <v>132</v>
      </c>
      <c r="F430" s="5" t="s">
        <v>154</v>
      </c>
      <c r="G430" s="5" t="s">
        <v>33</v>
      </c>
      <c r="H430" s="5" t="s">
        <v>35</v>
      </c>
      <c r="I430" s="6" t="s">
        <v>180</v>
      </c>
      <c r="J430" s="8">
        <v>13.42</v>
      </c>
      <c r="K430" s="5" t="str">
        <f t="shared" si="1"/>
        <v>Kolkata -&gt; Hyderabad</v>
      </c>
    </row>
    <row r="431" ht="15.75" customHeight="1">
      <c r="A431" s="5" t="s">
        <v>1467</v>
      </c>
      <c r="B431" s="5" t="s">
        <v>45</v>
      </c>
      <c r="C431" s="6" t="s">
        <v>994</v>
      </c>
      <c r="D431" s="5" t="s">
        <v>533</v>
      </c>
      <c r="E431" s="5" t="s">
        <v>132</v>
      </c>
      <c r="F431" s="5" t="s">
        <v>154</v>
      </c>
      <c r="G431" s="5" t="s">
        <v>33</v>
      </c>
      <c r="H431" s="5" t="s">
        <v>35</v>
      </c>
      <c r="I431" s="6" t="s">
        <v>180</v>
      </c>
      <c r="J431" s="8">
        <v>39.83</v>
      </c>
      <c r="K431" s="5" t="str">
        <f t="shared" si="1"/>
        <v>Kolkata -&gt; Hyderabad</v>
      </c>
    </row>
    <row r="432" ht="15.75" customHeight="1">
      <c r="A432" s="5" t="s">
        <v>1470</v>
      </c>
      <c r="B432" s="5" t="s">
        <v>45</v>
      </c>
      <c r="C432" s="6" t="s">
        <v>1471</v>
      </c>
      <c r="D432" s="5" t="s">
        <v>533</v>
      </c>
      <c r="E432" s="5" t="s">
        <v>132</v>
      </c>
      <c r="F432" s="5" t="s">
        <v>154</v>
      </c>
      <c r="G432" s="5" t="s">
        <v>54</v>
      </c>
      <c r="H432" s="5" t="s">
        <v>33</v>
      </c>
      <c r="I432" s="6" t="s">
        <v>180</v>
      </c>
      <c r="J432" s="8">
        <v>17.25</v>
      </c>
      <c r="K432" s="5" t="str">
        <f t="shared" si="1"/>
        <v>Kolkata -&gt; Hyderabad</v>
      </c>
    </row>
    <row r="433" ht="15.75" customHeight="1">
      <c r="A433" s="5" t="s">
        <v>1474</v>
      </c>
      <c r="B433" s="5" t="s">
        <v>45</v>
      </c>
      <c r="C433" s="6" t="s">
        <v>1105</v>
      </c>
      <c r="D433" s="5" t="s">
        <v>533</v>
      </c>
      <c r="E433" s="5" t="s">
        <v>132</v>
      </c>
      <c r="F433" s="5" t="s">
        <v>154</v>
      </c>
      <c r="G433" s="5" t="s">
        <v>35</v>
      </c>
      <c r="H433" s="5" t="s">
        <v>33</v>
      </c>
      <c r="I433" s="6">
        <v>1.0</v>
      </c>
      <c r="J433" s="8">
        <v>13.17</v>
      </c>
      <c r="K433" s="5" t="str">
        <f t="shared" si="1"/>
        <v>Kolkata -&gt; Hyderabad</v>
      </c>
    </row>
    <row r="434" ht="15.75" customHeight="1">
      <c r="A434" s="5" t="s">
        <v>1477</v>
      </c>
      <c r="B434" s="5" t="s">
        <v>43</v>
      </c>
      <c r="C434" s="6" t="s">
        <v>1478</v>
      </c>
      <c r="D434" s="5" t="s">
        <v>533</v>
      </c>
      <c r="E434" s="5" t="s">
        <v>132</v>
      </c>
      <c r="F434" s="5" t="s">
        <v>154</v>
      </c>
      <c r="G434" s="5" t="s">
        <v>33</v>
      </c>
      <c r="H434" s="5" t="s">
        <v>54</v>
      </c>
      <c r="I434" s="6">
        <v>1.0</v>
      </c>
      <c r="J434" s="8">
        <v>6.25</v>
      </c>
      <c r="K434" s="5" t="str">
        <f t="shared" si="1"/>
        <v>Kolkata -&gt; Hyderabad</v>
      </c>
    </row>
    <row r="435" ht="15.75" customHeight="1">
      <c r="A435" s="5" t="s">
        <v>1481</v>
      </c>
      <c r="B435" s="5" t="s">
        <v>45</v>
      </c>
      <c r="C435" s="6" t="s">
        <v>943</v>
      </c>
      <c r="D435" s="5" t="s">
        <v>533</v>
      </c>
      <c r="E435" s="5" t="s">
        <v>132</v>
      </c>
      <c r="F435" s="5" t="s">
        <v>154</v>
      </c>
      <c r="G435" s="5" t="s">
        <v>33</v>
      </c>
      <c r="H435" s="5" t="s">
        <v>33</v>
      </c>
      <c r="I435" s="6">
        <v>1.0</v>
      </c>
      <c r="J435" s="8">
        <v>21.83</v>
      </c>
      <c r="K435" s="5" t="str">
        <f t="shared" si="1"/>
        <v>Kolkata -&gt; Hyderabad</v>
      </c>
    </row>
    <row r="436" ht="15.75" customHeight="1">
      <c r="A436" s="5" t="s">
        <v>1482</v>
      </c>
      <c r="B436" s="5" t="s">
        <v>20</v>
      </c>
      <c r="C436" s="6" t="s">
        <v>1220</v>
      </c>
      <c r="D436" s="5" t="s">
        <v>533</v>
      </c>
      <c r="E436" s="5" t="s">
        <v>132</v>
      </c>
      <c r="F436" s="5" t="s">
        <v>154</v>
      </c>
      <c r="G436" s="5" t="s">
        <v>54</v>
      </c>
      <c r="H436" s="5" t="s">
        <v>54</v>
      </c>
      <c r="I436" s="6">
        <v>1.0</v>
      </c>
      <c r="J436" s="8">
        <v>25.08</v>
      </c>
      <c r="K436" s="5" t="str">
        <f t="shared" si="1"/>
        <v>Kolkata -&gt; Hyderabad</v>
      </c>
    </row>
    <row r="437" ht="15.75" customHeight="1">
      <c r="A437" s="5" t="s">
        <v>1485</v>
      </c>
      <c r="B437" s="5" t="s">
        <v>45</v>
      </c>
      <c r="C437" s="6" t="s">
        <v>1216</v>
      </c>
      <c r="D437" s="5" t="s">
        <v>533</v>
      </c>
      <c r="E437" s="5" t="s">
        <v>132</v>
      </c>
      <c r="F437" s="5" t="s">
        <v>154</v>
      </c>
      <c r="G437" s="5" t="s">
        <v>35</v>
      </c>
      <c r="H437" s="5" t="s">
        <v>33</v>
      </c>
      <c r="I437" s="6">
        <v>1.0</v>
      </c>
      <c r="J437" s="8">
        <v>9.58</v>
      </c>
      <c r="K437" s="5" t="str">
        <f t="shared" si="1"/>
        <v>Kolkata -&gt; Hyderabad</v>
      </c>
    </row>
    <row r="438" ht="15.75" customHeight="1">
      <c r="A438" s="5" t="s">
        <v>1488</v>
      </c>
      <c r="B438" s="5" t="s">
        <v>45</v>
      </c>
      <c r="C438" s="6" t="s">
        <v>1124</v>
      </c>
      <c r="D438" s="5" t="s">
        <v>533</v>
      </c>
      <c r="E438" s="5" t="s">
        <v>132</v>
      </c>
      <c r="F438" s="5" t="s">
        <v>154</v>
      </c>
      <c r="G438" s="5" t="s">
        <v>33</v>
      </c>
      <c r="H438" s="5" t="s">
        <v>54</v>
      </c>
      <c r="I438" s="6">
        <v>1.0</v>
      </c>
      <c r="J438" s="8">
        <v>12.33</v>
      </c>
      <c r="K438" s="5" t="str">
        <f t="shared" si="1"/>
        <v>Kolkata -&gt; Hyderabad</v>
      </c>
    </row>
    <row r="439" ht="15.75" customHeight="1">
      <c r="A439" s="5" t="s">
        <v>1491</v>
      </c>
      <c r="B439" s="5" t="s">
        <v>45</v>
      </c>
      <c r="C439" s="6" t="s">
        <v>1170</v>
      </c>
      <c r="D439" s="5" t="s">
        <v>533</v>
      </c>
      <c r="E439" s="5" t="s">
        <v>132</v>
      </c>
      <c r="F439" s="5" t="s">
        <v>154</v>
      </c>
      <c r="G439" s="5" t="s">
        <v>35</v>
      </c>
      <c r="H439" s="5" t="s">
        <v>33</v>
      </c>
      <c r="I439" s="6">
        <v>1.0</v>
      </c>
      <c r="J439" s="8">
        <v>14.0</v>
      </c>
      <c r="K439" s="5" t="str">
        <f t="shared" si="1"/>
        <v>Kolkata -&gt; Hyderabad</v>
      </c>
    </row>
    <row r="440" ht="15.75" customHeight="1">
      <c r="A440" s="5" t="s">
        <v>1493</v>
      </c>
      <c r="B440" s="5" t="s">
        <v>20</v>
      </c>
      <c r="C440" s="6" t="s">
        <v>1220</v>
      </c>
      <c r="D440" s="5" t="s">
        <v>533</v>
      </c>
      <c r="E440" s="5" t="s">
        <v>132</v>
      </c>
      <c r="F440" s="5" t="s">
        <v>154</v>
      </c>
      <c r="G440" s="5" t="s">
        <v>54</v>
      </c>
      <c r="H440" s="5" t="s">
        <v>47</v>
      </c>
      <c r="I440" s="6">
        <v>1.0</v>
      </c>
      <c r="J440" s="8">
        <v>17.5</v>
      </c>
      <c r="K440" s="5" t="str">
        <f t="shared" si="1"/>
        <v>Kolkata -&gt; Hyderabad</v>
      </c>
    </row>
    <row r="441" ht="15.75" customHeight="1">
      <c r="A441" s="5" t="s">
        <v>1495</v>
      </c>
      <c r="B441" s="5" t="s">
        <v>29</v>
      </c>
      <c r="C441" s="6" t="s">
        <v>1496</v>
      </c>
      <c r="D441" s="5" t="s">
        <v>533</v>
      </c>
      <c r="E441" s="5" t="s">
        <v>132</v>
      </c>
      <c r="F441" s="5" t="s">
        <v>154</v>
      </c>
      <c r="G441" s="5" t="s">
        <v>54</v>
      </c>
      <c r="H441" s="5" t="s">
        <v>33</v>
      </c>
      <c r="I441" s="6">
        <v>1.0</v>
      </c>
      <c r="J441" s="8">
        <v>14.92</v>
      </c>
      <c r="K441" s="5" t="str">
        <f t="shared" si="1"/>
        <v>Kolkata -&gt; Hyderabad</v>
      </c>
    </row>
    <row r="442" ht="15.75" customHeight="1">
      <c r="A442" s="5" t="s">
        <v>382</v>
      </c>
      <c r="B442" s="5" t="s">
        <v>45</v>
      </c>
      <c r="C442" s="6" t="s">
        <v>1498</v>
      </c>
      <c r="D442" s="5" t="s">
        <v>108</v>
      </c>
      <c r="E442" s="5" t="s">
        <v>27</v>
      </c>
      <c r="F442" s="5" t="s">
        <v>109</v>
      </c>
      <c r="G442" s="5" t="s">
        <v>33</v>
      </c>
      <c r="H442" s="5" t="s">
        <v>33</v>
      </c>
      <c r="I442" s="6">
        <v>1.0</v>
      </c>
      <c r="J442" s="8">
        <v>6.75</v>
      </c>
      <c r="K442" s="5" t="str">
        <f t="shared" si="1"/>
        <v>Delhi -&gt; Bengaluru</v>
      </c>
    </row>
    <row r="443" ht="15.75" customHeight="1">
      <c r="A443" s="5" t="s">
        <v>313</v>
      </c>
      <c r="B443" s="5" t="s">
        <v>20</v>
      </c>
      <c r="C443" s="6" t="s">
        <v>1499</v>
      </c>
      <c r="D443" s="5" t="s">
        <v>108</v>
      </c>
      <c r="E443" s="5" t="s">
        <v>27</v>
      </c>
      <c r="F443" s="5" t="s">
        <v>109</v>
      </c>
      <c r="G443" s="5" t="s">
        <v>33</v>
      </c>
      <c r="H443" s="5" t="s">
        <v>54</v>
      </c>
      <c r="I443" s="6">
        <v>1.0</v>
      </c>
      <c r="J443" s="8">
        <v>12.0</v>
      </c>
      <c r="K443" s="5" t="str">
        <f t="shared" si="1"/>
        <v>Delhi -&gt; Bengaluru</v>
      </c>
    </row>
    <row r="444" ht="15.75" customHeight="1">
      <c r="A444" s="5" t="s">
        <v>326</v>
      </c>
      <c r="B444" s="5" t="s">
        <v>20</v>
      </c>
      <c r="C444" s="6" t="s">
        <v>1501</v>
      </c>
      <c r="D444" s="5" t="s">
        <v>108</v>
      </c>
      <c r="E444" s="5" t="s">
        <v>27</v>
      </c>
      <c r="F444" s="5" t="s">
        <v>109</v>
      </c>
      <c r="G444" s="5" t="s">
        <v>33</v>
      </c>
      <c r="H444" s="5" t="s">
        <v>35</v>
      </c>
      <c r="I444" s="6">
        <v>1.0</v>
      </c>
      <c r="J444" s="8">
        <v>12.5</v>
      </c>
      <c r="K444" s="5" t="str">
        <f t="shared" si="1"/>
        <v>Delhi -&gt; Bengaluru</v>
      </c>
    </row>
    <row r="445" ht="15.75" customHeight="1">
      <c r="A445" s="5" t="s">
        <v>391</v>
      </c>
      <c r="B445" s="5" t="s">
        <v>20</v>
      </c>
      <c r="C445" s="6" t="s">
        <v>92</v>
      </c>
      <c r="D445" s="5" t="s">
        <v>108</v>
      </c>
      <c r="E445" s="5" t="s">
        <v>27</v>
      </c>
      <c r="F445" s="5" t="s">
        <v>109</v>
      </c>
      <c r="G445" s="5" t="s">
        <v>54</v>
      </c>
      <c r="H445" s="5" t="s">
        <v>33</v>
      </c>
      <c r="I445" s="6">
        <v>1.0</v>
      </c>
      <c r="J445" s="8">
        <v>14.17</v>
      </c>
      <c r="K445" s="5" t="str">
        <f t="shared" si="1"/>
        <v>Delhi -&gt; Bengaluru</v>
      </c>
    </row>
    <row r="446" ht="15.75" customHeight="1">
      <c r="A446" s="5" t="s">
        <v>281</v>
      </c>
      <c r="B446" s="5" t="s">
        <v>58</v>
      </c>
      <c r="C446" s="6" t="s">
        <v>1504</v>
      </c>
      <c r="D446" s="5" t="s">
        <v>108</v>
      </c>
      <c r="E446" s="5" t="s">
        <v>27</v>
      </c>
      <c r="F446" s="5" t="s">
        <v>109</v>
      </c>
      <c r="G446" s="5" t="s">
        <v>33</v>
      </c>
      <c r="H446" s="5" t="s">
        <v>47</v>
      </c>
      <c r="I446" s="6">
        <v>1.0</v>
      </c>
      <c r="J446" s="8">
        <v>6.5</v>
      </c>
      <c r="K446" s="5" t="str">
        <f t="shared" si="1"/>
        <v>Delhi -&gt; Bengaluru</v>
      </c>
    </row>
    <row r="447" ht="15.75" customHeight="1">
      <c r="A447" s="5" t="s">
        <v>302</v>
      </c>
      <c r="B447" s="5" t="s">
        <v>45</v>
      </c>
      <c r="C447" s="6" t="s">
        <v>94</v>
      </c>
      <c r="D447" s="5" t="s">
        <v>108</v>
      </c>
      <c r="E447" s="5" t="s">
        <v>27</v>
      </c>
      <c r="F447" s="5" t="s">
        <v>109</v>
      </c>
      <c r="G447" s="5" t="s">
        <v>47</v>
      </c>
      <c r="H447" s="5" t="s">
        <v>47</v>
      </c>
      <c r="I447" s="6">
        <v>1.0</v>
      </c>
      <c r="J447" s="8">
        <v>25.83</v>
      </c>
      <c r="K447" s="5" t="str">
        <f t="shared" si="1"/>
        <v>Delhi -&gt; Bengaluru</v>
      </c>
    </row>
    <row r="448" ht="15.75" customHeight="1">
      <c r="A448" s="5" t="s">
        <v>274</v>
      </c>
      <c r="B448" s="5" t="s">
        <v>20</v>
      </c>
      <c r="C448" s="6" t="s">
        <v>101</v>
      </c>
      <c r="D448" s="5" t="s">
        <v>108</v>
      </c>
      <c r="E448" s="5" t="s">
        <v>27</v>
      </c>
      <c r="F448" s="5" t="s">
        <v>109</v>
      </c>
      <c r="G448" s="5" t="s">
        <v>33</v>
      </c>
      <c r="H448" s="5" t="s">
        <v>35</v>
      </c>
      <c r="I448" s="6">
        <v>1.0</v>
      </c>
      <c r="J448" s="8">
        <v>11.42</v>
      </c>
      <c r="K448" s="5" t="str">
        <f t="shared" si="1"/>
        <v>Delhi -&gt; Bengaluru</v>
      </c>
    </row>
    <row r="449" ht="15.75" customHeight="1">
      <c r="A449" s="5" t="s">
        <v>235</v>
      </c>
      <c r="B449" s="5" t="s">
        <v>29</v>
      </c>
      <c r="C449" s="6" t="s">
        <v>1507</v>
      </c>
      <c r="D449" s="5" t="s">
        <v>108</v>
      </c>
      <c r="E449" s="5" t="s">
        <v>27</v>
      </c>
      <c r="F449" s="5" t="s">
        <v>109</v>
      </c>
      <c r="G449" s="5" t="s">
        <v>47</v>
      </c>
      <c r="H449" s="5" t="s">
        <v>35</v>
      </c>
      <c r="I449" s="6">
        <v>1.0</v>
      </c>
      <c r="J449" s="8">
        <v>11.58</v>
      </c>
      <c r="K449" s="5" t="str">
        <f t="shared" si="1"/>
        <v>Delhi -&gt; Bengaluru</v>
      </c>
    </row>
    <row r="450" ht="15.75" customHeight="1">
      <c r="A450" s="5" t="s">
        <v>222</v>
      </c>
      <c r="B450" s="5" t="s">
        <v>20</v>
      </c>
      <c r="C450" s="6" t="s">
        <v>1509</v>
      </c>
      <c r="D450" s="5" t="s">
        <v>108</v>
      </c>
      <c r="E450" s="5" t="s">
        <v>27</v>
      </c>
      <c r="F450" s="5" t="s">
        <v>109</v>
      </c>
      <c r="G450" s="5" t="s">
        <v>33</v>
      </c>
      <c r="H450" s="5" t="s">
        <v>33</v>
      </c>
      <c r="I450" s="6">
        <v>1.0</v>
      </c>
      <c r="J450" s="8">
        <v>23.08</v>
      </c>
      <c r="K450" s="5" t="str">
        <f t="shared" si="1"/>
        <v>Delhi -&gt; Bengaluru</v>
      </c>
    </row>
    <row r="451" ht="15.75" customHeight="1">
      <c r="A451" s="5" t="s">
        <v>316</v>
      </c>
      <c r="B451" s="5" t="s">
        <v>20</v>
      </c>
      <c r="C451" s="6" t="s">
        <v>1511</v>
      </c>
      <c r="D451" s="5" t="s">
        <v>108</v>
      </c>
      <c r="E451" s="5" t="s">
        <v>27</v>
      </c>
      <c r="F451" s="5" t="s">
        <v>109</v>
      </c>
      <c r="G451" s="5" t="s">
        <v>54</v>
      </c>
      <c r="H451" s="5" t="s">
        <v>35</v>
      </c>
      <c r="I451" s="6" t="s">
        <v>66</v>
      </c>
      <c r="J451" s="8">
        <v>6.08</v>
      </c>
      <c r="K451" s="5" t="str">
        <f t="shared" si="1"/>
        <v>Delhi -&gt; Bengaluru</v>
      </c>
    </row>
    <row r="452" ht="15.75" customHeight="1">
      <c r="A452" s="5" t="s">
        <v>337</v>
      </c>
      <c r="B452" s="5" t="s">
        <v>43</v>
      </c>
      <c r="C452" s="6" t="s">
        <v>1513</v>
      </c>
      <c r="D452" s="5" t="s">
        <v>108</v>
      </c>
      <c r="E452" s="5" t="s">
        <v>27</v>
      </c>
      <c r="F452" s="5" t="s">
        <v>109</v>
      </c>
      <c r="G452" s="5" t="s">
        <v>54</v>
      </c>
      <c r="H452" s="5" t="s">
        <v>35</v>
      </c>
      <c r="I452" s="6">
        <v>1.0</v>
      </c>
      <c r="J452" s="8">
        <v>5.58</v>
      </c>
      <c r="K452" s="5" t="str">
        <f t="shared" si="1"/>
        <v>Delhi -&gt; Bengaluru</v>
      </c>
    </row>
    <row r="453" ht="15.75" customHeight="1">
      <c r="A453" s="5" t="s">
        <v>292</v>
      </c>
      <c r="B453" s="5" t="s">
        <v>20</v>
      </c>
      <c r="C453" s="6" t="s">
        <v>1514</v>
      </c>
      <c r="D453" s="5" t="s">
        <v>108</v>
      </c>
      <c r="E453" s="5" t="s">
        <v>27</v>
      </c>
      <c r="F453" s="5" t="s">
        <v>109</v>
      </c>
      <c r="G453" s="5" t="s">
        <v>47</v>
      </c>
      <c r="H453" s="5" t="s">
        <v>33</v>
      </c>
      <c r="I453" s="6">
        <v>1.0</v>
      </c>
      <c r="J453" s="8">
        <v>16.33</v>
      </c>
      <c r="K453" s="5" t="str">
        <f t="shared" si="1"/>
        <v>Delhi -&gt; Bengaluru</v>
      </c>
    </row>
    <row r="454" ht="15.75" customHeight="1">
      <c r="A454" s="5" t="s">
        <v>217</v>
      </c>
      <c r="B454" s="5" t="s">
        <v>43</v>
      </c>
      <c r="C454" s="6" t="s">
        <v>1516</v>
      </c>
      <c r="D454" s="5" t="s">
        <v>108</v>
      </c>
      <c r="E454" s="5" t="s">
        <v>27</v>
      </c>
      <c r="F454" s="5" t="s">
        <v>109</v>
      </c>
      <c r="G454" s="5" t="s">
        <v>54</v>
      </c>
      <c r="H454" s="5" t="s">
        <v>35</v>
      </c>
      <c r="I454" s="6">
        <v>0.0</v>
      </c>
      <c r="J454" s="8">
        <v>2.92</v>
      </c>
      <c r="K454" s="5" t="str">
        <f t="shared" si="1"/>
        <v>Delhi -&gt; Bengaluru</v>
      </c>
    </row>
    <row r="455" ht="15.75" customHeight="1">
      <c r="A455" s="5" t="s">
        <v>365</v>
      </c>
      <c r="B455" s="5" t="s">
        <v>45</v>
      </c>
      <c r="C455" s="6" t="s">
        <v>1518</v>
      </c>
      <c r="D455" s="5" t="s">
        <v>108</v>
      </c>
      <c r="E455" s="5" t="s">
        <v>27</v>
      </c>
      <c r="F455" s="5" t="s">
        <v>109</v>
      </c>
      <c r="G455" s="5" t="s">
        <v>54</v>
      </c>
      <c r="H455" s="5" t="s">
        <v>33</v>
      </c>
      <c r="I455" s="6">
        <v>1.0</v>
      </c>
      <c r="J455" s="8">
        <v>11.92</v>
      </c>
      <c r="K455" s="5" t="str">
        <f t="shared" si="1"/>
        <v>Delhi -&gt; Bengaluru</v>
      </c>
    </row>
    <row r="456" ht="15.75" customHeight="1">
      <c r="A456" s="5" t="s">
        <v>248</v>
      </c>
      <c r="B456" s="5" t="s">
        <v>45</v>
      </c>
      <c r="C456" s="6" t="s">
        <v>1520</v>
      </c>
      <c r="D456" s="5" t="s">
        <v>108</v>
      </c>
      <c r="E456" s="5" t="s">
        <v>27</v>
      </c>
      <c r="F456" s="5" t="s">
        <v>109</v>
      </c>
      <c r="G456" s="5" t="s">
        <v>54</v>
      </c>
      <c r="H456" s="5" t="s">
        <v>33</v>
      </c>
      <c r="I456" s="6">
        <v>1.0</v>
      </c>
      <c r="J456" s="8">
        <v>17.92</v>
      </c>
      <c r="K456" s="5" t="str">
        <f t="shared" si="1"/>
        <v>Delhi -&gt; Bengaluru</v>
      </c>
    </row>
    <row r="457" ht="15.75" customHeight="1">
      <c r="A457" s="5" t="s">
        <v>331</v>
      </c>
      <c r="B457" s="5" t="s">
        <v>29</v>
      </c>
      <c r="C457" s="6" t="s">
        <v>1521</v>
      </c>
      <c r="D457" s="5" t="s">
        <v>108</v>
      </c>
      <c r="E457" s="5" t="s">
        <v>27</v>
      </c>
      <c r="F457" s="5" t="s">
        <v>109</v>
      </c>
      <c r="G457" s="5" t="s">
        <v>33</v>
      </c>
      <c r="H457" s="5" t="s">
        <v>54</v>
      </c>
      <c r="I457" s="6">
        <v>1.0</v>
      </c>
      <c r="J457" s="8">
        <v>11.67</v>
      </c>
      <c r="K457" s="5" t="str">
        <f t="shared" si="1"/>
        <v>Delhi -&gt; Bengaluru</v>
      </c>
    </row>
    <row r="458" ht="15.75" customHeight="1">
      <c r="A458" s="5" t="s">
        <v>369</v>
      </c>
      <c r="B458" s="5" t="s">
        <v>45</v>
      </c>
      <c r="C458" s="6" t="s">
        <v>1523</v>
      </c>
      <c r="D458" s="5" t="s">
        <v>108</v>
      </c>
      <c r="E458" s="5" t="s">
        <v>27</v>
      </c>
      <c r="F458" s="5" t="s">
        <v>109</v>
      </c>
      <c r="G458" s="5" t="s">
        <v>54</v>
      </c>
      <c r="H458" s="5" t="s">
        <v>33</v>
      </c>
      <c r="I458" s="6">
        <v>1.0</v>
      </c>
      <c r="J458" s="8">
        <v>13.92</v>
      </c>
      <c r="K458" s="5" t="str">
        <f t="shared" si="1"/>
        <v>Delhi -&gt; Bengaluru</v>
      </c>
    </row>
    <row r="459" ht="15.75" customHeight="1">
      <c r="A459" s="5" t="s">
        <v>373</v>
      </c>
      <c r="B459" s="5" t="s">
        <v>72</v>
      </c>
      <c r="C459" s="6" t="s">
        <v>1525</v>
      </c>
      <c r="D459" s="5" t="s">
        <v>108</v>
      </c>
      <c r="E459" s="5" t="s">
        <v>27</v>
      </c>
      <c r="F459" s="5" t="s">
        <v>109</v>
      </c>
      <c r="G459" s="5" t="s">
        <v>35</v>
      </c>
      <c r="H459" s="5" t="s">
        <v>35</v>
      </c>
      <c r="I459" s="6">
        <v>0.0</v>
      </c>
      <c r="J459" s="8">
        <v>2.75</v>
      </c>
      <c r="K459" s="5" t="str">
        <f t="shared" si="1"/>
        <v>Delhi -&gt; Bengaluru</v>
      </c>
    </row>
    <row r="460" ht="15.75" customHeight="1">
      <c r="A460" s="5" t="s">
        <v>308</v>
      </c>
      <c r="B460" s="5" t="s">
        <v>29</v>
      </c>
      <c r="C460" s="6" t="s">
        <v>1527</v>
      </c>
      <c r="D460" s="5" t="s">
        <v>108</v>
      </c>
      <c r="E460" s="5" t="s">
        <v>27</v>
      </c>
      <c r="F460" s="5" t="s">
        <v>109</v>
      </c>
      <c r="G460" s="5" t="s">
        <v>35</v>
      </c>
      <c r="H460" s="5" t="s">
        <v>35</v>
      </c>
      <c r="I460" s="6">
        <v>0.0</v>
      </c>
      <c r="J460" s="8">
        <v>2.83</v>
      </c>
      <c r="K460" s="5" t="str">
        <f t="shared" si="1"/>
        <v>Delhi -&gt; Bengaluru</v>
      </c>
    </row>
    <row r="461" ht="15.75" customHeight="1">
      <c r="A461" s="5" t="s">
        <v>343</v>
      </c>
      <c r="B461" s="5" t="s">
        <v>45</v>
      </c>
      <c r="C461" s="6" t="s">
        <v>1529</v>
      </c>
      <c r="D461" s="5" t="s">
        <v>108</v>
      </c>
      <c r="E461" s="5" t="s">
        <v>27</v>
      </c>
      <c r="F461" s="5" t="s">
        <v>109</v>
      </c>
      <c r="G461" s="5" t="s">
        <v>33</v>
      </c>
      <c r="H461" s="5" t="s">
        <v>47</v>
      </c>
      <c r="I461" s="6">
        <v>1.0</v>
      </c>
      <c r="J461" s="8">
        <v>24.92</v>
      </c>
      <c r="K461" s="5" t="str">
        <f t="shared" si="1"/>
        <v>Delhi -&gt; Bengaluru</v>
      </c>
    </row>
    <row r="462" ht="15.75" customHeight="1">
      <c r="A462" s="5" t="s">
        <v>300</v>
      </c>
      <c r="B462" s="5" t="s">
        <v>20</v>
      </c>
      <c r="C462" s="6" t="s">
        <v>88</v>
      </c>
      <c r="D462" s="5" t="s">
        <v>108</v>
      </c>
      <c r="E462" s="5" t="s">
        <v>27</v>
      </c>
      <c r="F462" s="5" t="s">
        <v>109</v>
      </c>
      <c r="G462" s="5" t="s">
        <v>54</v>
      </c>
      <c r="H462" s="5" t="s">
        <v>54</v>
      </c>
      <c r="I462" s="6">
        <v>1.0</v>
      </c>
      <c r="J462" s="8">
        <v>24.58</v>
      </c>
      <c r="K462" s="5" t="str">
        <f t="shared" si="1"/>
        <v>Delhi -&gt; Bengaluru</v>
      </c>
    </row>
    <row r="463" ht="15.75" customHeight="1">
      <c r="A463" s="5" t="s">
        <v>353</v>
      </c>
      <c r="B463" s="5" t="s">
        <v>29</v>
      </c>
      <c r="C463" s="6" t="s">
        <v>1531</v>
      </c>
      <c r="D463" s="5" t="s">
        <v>108</v>
      </c>
      <c r="E463" s="5" t="s">
        <v>27</v>
      </c>
      <c r="F463" s="5" t="s">
        <v>109</v>
      </c>
      <c r="G463" s="5" t="s">
        <v>47</v>
      </c>
      <c r="H463" s="5" t="s">
        <v>35</v>
      </c>
      <c r="I463" s="6" t="s">
        <v>180</v>
      </c>
      <c r="J463" s="8">
        <v>10.5</v>
      </c>
      <c r="K463" s="5" t="str">
        <f t="shared" si="1"/>
        <v>Delhi -&gt; Bengaluru</v>
      </c>
    </row>
    <row r="464" ht="15.75" customHeight="1">
      <c r="A464" s="5" t="s">
        <v>269</v>
      </c>
      <c r="B464" s="5" t="s">
        <v>43</v>
      </c>
      <c r="C464" s="6" t="s">
        <v>1533</v>
      </c>
      <c r="D464" s="5" t="s">
        <v>108</v>
      </c>
      <c r="E464" s="5" t="s">
        <v>27</v>
      </c>
      <c r="F464" s="5" t="s">
        <v>109</v>
      </c>
      <c r="G464" s="5" t="s">
        <v>33</v>
      </c>
      <c r="H464" s="5" t="s">
        <v>54</v>
      </c>
      <c r="I464" s="6">
        <v>1.0</v>
      </c>
      <c r="J464" s="8">
        <v>12.0</v>
      </c>
      <c r="K464" s="5" t="str">
        <f t="shared" si="1"/>
        <v>Delhi -&gt; Bengaluru</v>
      </c>
    </row>
    <row r="465" ht="15.75" customHeight="1">
      <c r="A465" s="5" t="s">
        <v>396</v>
      </c>
      <c r="B465" s="5" t="s">
        <v>20</v>
      </c>
      <c r="C465" s="6" t="s">
        <v>92</v>
      </c>
      <c r="D465" s="5" t="s">
        <v>108</v>
      </c>
      <c r="E465" s="5" t="s">
        <v>27</v>
      </c>
      <c r="F465" s="5" t="s">
        <v>109</v>
      </c>
      <c r="G465" s="5" t="s">
        <v>54</v>
      </c>
      <c r="H465" s="5" t="s">
        <v>33</v>
      </c>
      <c r="I465" s="6">
        <v>1.0</v>
      </c>
      <c r="J465" s="8">
        <v>17.08</v>
      </c>
      <c r="K465" s="5" t="str">
        <f t="shared" si="1"/>
        <v>Delhi -&gt; Bengaluru</v>
      </c>
    </row>
    <row r="466" ht="15.75" customHeight="1">
      <c r="A466" s="5" t="s">
        <v>285</v>
      </c>
      <c r="B466" s="5" t="s">
        <v>29</v>
      </c>
      <c r="C466" s="6" t="s">
        <v>1535</v>
      </c>
      <c r="D466" s="5" t="s">
        <v>108</v>
      </c>
      <c r="E466" s="5" t="s">
        <v>27</v>
      </c>
      <c r="F466" s="5" t="s">
        <v>109</v>
      </c>
      <c r="G466" s="5" t="s">
        <v>47</v>
      </c>
      <c r="H466" s="5" t="s">
        <v>35</v>
      </c>
      <c r="I466" s="6" t="s">
        <v>180</v>
      </c>
      <c r="J466" s="8">
        <v>11.5</v>
      </c>
      <c r="K466" s="5" t="str">
        <f t="shared" si="1"/>
        <v>Delhi -&gt; Bengaluru</v>
      </c>
    </row>
    <row r="467" ht="15.75" customHeight="1">
      <c r="A467" s="5" t="s">
        <v>388</v>
      </c>
      <c r="B467" s="5" t="s">
        <v>58</v>
      </c>
      <c r="C467" s="6" t="s">
        <v>1538</v>
      </c>
      <c r="D467" s="5" t="s">
        <v>108</v>
      </c>
      <c r="E467" s="5" t="s">
        <v>27</v>
      </c>
      <c r="F467" s="5" t="s">
        <v>109</v>
      </c>
      <c r="G467" s="5" t="s">
        <v>33</v>
      </c>
      <c r="H467" s="5" t="s">
        <v>47</v>
      </c>
      <c r="I467" s="6">
        <v>1.0</v>
      </c>
      <c r="J467" s="8">
        <v>9.08</v>
      </c>
      <c r="K467" s="5" t="str">
        <f t="shared" si="1"/>
        <v>Delhi -&gt; Bengaluru</v>
      </c>
    </row>
    <row r="468" ht="15.75" customHeight="1">
      <c r="A468" s="5" t="s">
        <v>349</v>
      </c>
      <c r="B468" s="5" t="s">
        <v>29</v>
      </c>
      <c r="C468" s="6" t="s">
        <v>1540</v>
      </c>
      <c r="D468" s="5" t="s">
        <v>108</v>
      </c>
      <c r="E468" s="5" t="s">
        <v>27</v>
      </c>
      <c r="F468" s="5" t="s">
        <v>109</v>
      </c>
      <c r="G468" s="5" t="s">
        <v>54</v>
      </c>
      <c r="H468" s="5" t="s">
        <v>35</v>
      </c>
      <c r="I468" s="6" t="s">
        <v>180</v>
      </c>
      <c r="J468" s="8">
        <v>6.92</v>
      </c>
      <c r="K468" s="5" t="str">
        <f t="shared" si="1"/>
        <v>Delhi -&gt; Bengaluru</v>
      </c>
    </row>
    <row r="469" ht="15.75" customHeight="1">
      <c r="A469" s="5" t="s">
        <v>378</v>
      </c>
      <c r="B469" s="5" t="s">
        <v>20</v>
      </c>
      <c r="C469" s="6" t="s">
        <v>1542</v>
      </c>
      <c r="D469" s="5" t="s">
        <v>108</v>
      </c>
      <c r="E469" s="5" t="s">
        <v>27</v>
      </c>
      <c r="F469" s="5" t="s">
        <v>109</v>
      </c>
      <c r="G469" s="5" t="s">
        <v>33</v>
      </c>
      <c r="H469" s="5" t="s">
        <v>47</v>
      </c>
      <c r="I469" s="6">
        <v>1.0</v>
      </c>
      <c r="J469" s="8">
        <v>8.83</v>
      </c>
      <c r="K469" s="5" t="str">
        <f t="shared" si="1"/>
        <v>Delhi -&gt; Bengaluru</v>
      </c>
    </row>
    <row r="470" ht="15.75" customHeight="1">
      <c r="A470" s="5" t="s">
        <v>265</v>
      </c>
      <c r="B470" s="5" t="s">
        <v>72</v>
      </c>
      <c r="C470" s="6" t="s">
        <v>1544</v>
      </c>
      <c r="D470" s="5" t="s">
        <v>108</v>
      </c>
      <c r="E470" s="5" t="s">
        <v>27</v>
      </c>
      <c r="F470" s="5" t="s">
        <v>109</v>
      </c>
      <c r="G470" s="5" t="s">
        <v>54</v>
      </c>
      <c r="H470" s="5" t="s">
        <v>54</v>
      </c>
      <c r="I470" s="6">
        <v>1.0</v>
      </c>
      <c r="J470" s="8">
        <v>23.08</v>
      </c>
      <c r="K470" s="5" t="str">
        <f t="shared" si="1"/>
        <v>Delhi -&gt; Bengaluru</v>
      </c>
    </row>
    <row r="471" ht="15.75" customHeight="1">
      <c r="A471" s="5" t="s">
        <v>357</v>
      </c>
      <c r="B471" s="5" t="s">
        <v>58</v>
      </c>
      <c r="C471" s="6" t="s">
        <v>84</v>
      </c>
      <c r="D471" s="5" t="s">
        <v>108</v>
      </c>
      <c r="E471" s="5" t="s">
        <v>27</v>
      </c>
      <c r="F471" s="5" t="s">
        <v>109</v>
      </c>
      <c r="G471" s="5" t="s">
        <v>47</v>
      </c>
      <c r="H471" s="5" t="s">
        <v>35</v>
      </c>
      <c r="I471" s="6">
        <v>1.0</v>
      </c>
      <c r="J471" s="8">
        <v>8.75</v>
      </c>
      <c r="K471" s="5" t="str">
        <f t="shared" si="1"/>
        <v>Delhi -&gt; Bengaluru</v>
      </c>
    </row>
    <row r="472" ht="15.75" customHeight="1">
      <c r="A472" s="5" t="s">
        <v>360</v>
      </c>
      <c r="B472" s="5" t="s">
        <v>72</v>
      </c>
      <c r="C472" s="6" t="s">
        <v>1548</v>
      </c>
      <c r="D472" s="5" t="s">
        <v>108</v>
      </c>
      <c r="E472" s="5" t="s">
        <v>27</v>
      </c>
      <c r="F472" s="5" t="s">
        <v>109</v>
      </c>
      <c r="G472" s="5" t="s">
        <v>33</v>
      </c>
      <c r="H472" s="5" t="s">
        <v>54</v>
      </c>
      <c r="I472" s="6">
        <v>1.0</v>
      </c>
      <c r="J472" s="8">
        <v>8.42</v>
      </c>
      <c r="K472" s="5" t="str">
        <f t="shared" si="1"/>
        <v>Delhi -&gt; Bengaluru</v>
      </c>
    </row>
    <row r="473" ht="15.75" customHeight="1">
      <c r="A473" s="5" t="s">
        <v>1549</v>
      </c>
      <c r="B473" s="5" t="s">
        <v>20</v>
      </c>
      <c r="C473" s="6" t="s">
        <v>1511</v>
      </c>
      <c r="D473" s="5" t="s">
        <v>108</v>
      </c>
      <c r="E473" s="5" t="s">
        <v>27</v>
      </c>
      <c r="F473" s="5" t="s">
        <v>109</v>
      </c>
      <c r="G473" s="5" t="s">
        <v>54</v>
      </c>
      <c r="H473" s="5" t="s">
        <v>33</v>
      </c>
      <c r="I473" s="6">
        <v>1.0</v>
      </c>
      <c r="J473" s="8">
        <v>18.0</v>
      </c>
      <c r="K473" s="5" t="str">
        <f t="shared" si="1"/>
        <v>Delhi -&gt; Bengaluru</v>
      </c>
    </row>
    <row r="474" ht="15.75" customHeight="1">
      <c r="A474" s="5" t="s">
        <v>245</v>
      </c>
      <c r="B474" s="5" t="s">
        <v>43</v>
      </c>
      <c r="C474" s="6" t="s">
        <v>1551</v>
      </c>
      <c r="D474" s="5" t="s">
        <v>108</v>
      </c>
      <c r="E474" s="5" t="s">
        <v>27</v>
      </c>
      <c r="F474" s="5" t="s">
        <v>109</v>
      </c>
      <c r="G474" s="5" t="s">
        <v>47</v>
      </c>
      <c r="H474" s="5" t="s">
        <v>54</v>
      </c>
      <c r="I474" s="6">
        <v>1.0</v>
      </c>
      <c r="J474" s="8">
        <v>5.83</v>
      </c>
      <c r="K474" s="5" t="str">
        <f t="shared" si="1"/>
        <v>Delhi -&gt; Bengaluru</v>
      </c>
    </row>
    <row r="475" ht="15.75" customHeight="1">
      <c r="A475" s="5" t="s">
        <v>261</v>
      </c>
      <c r="B475" s="5" t="s">
        <v>43</v>
      </c>
      <c r="C475" s="6" t="s">
        <v>1553</v>
      </c>
      <c r="D475" s="5" t="s">
        <v>108</v>
      </c>
      <c r="E475" s="5" t="s">
        <v>27</v>
      </c>
      <c r="F475" s="5" t="s">
        <v>109</v>
      </c>
      <c r="G475" s="5" t="s">
        <v>33</v>
      </c>
      <c r="H475" s="5" t="s">
        <v>33</v>
      </c>
      <c r="I475" s="6">
        <v>0.0</v>
      </c>
      <c r="J475" s="8">
        <v>2.67</v>
      </c>
      <c r="K475" s="5" t="str">
        <f t="shared" si="1"/>
        <v>Delhi -&gt; Bengaluru</v>
      </c>
    </row>
    <row r="476" ht="15.75" customHeight="1">
      <c r="A476" s="5" t="s">
        <v>229</v>
      </c>
      <c r="B476" s="5" t="s">
        <v>58</v>
      </c>
      <c r="C476" s="6" t="s">
        <v>1556</v>
      </c>
      <c r="D476" s="5" t="s">
        <v>108</v>
      </c>
      <c r="E476" s="5" t="s">
        <v>27</v>
      </c>
      <c r="F476" s="5" t="s">
        <v>109</v>
      </c>
      <c r="G476" s="5" t="s">
        <v>47</v>
      </c>
      <c r="H476" s="5" t="s">
        <v>35</v>
      </c>
      <c r="I476" s="6">
        <v>1.0</v>
      </c>
      <c r="J476" s="8">
        <v>6.92</v>
      </c>
      <c r="K476" s="5" t="str">
        <f t="shared" si="1"/>
        <v>Delhi -&gt; Bengaluru</v>
      </c>
    </row>
    <row r="477" ht="15.75" customHeight="1">
      <c r="A477" s="5" t="s">
        <v>320</v>
      </c>
      <c r="B477" s="5" t="s">
        <v>20</v>
      </c>
      <c r="C477" s="6" t="s">
        <v>1501</v>
      </c>
      <c r="D477" s="5" t="s">
        <v>108</v>
      </c>
      <c r="E477" s="5" t="s">
        <v>27</v>
      </c>
      <c r="F477" s="5" t="s">
        <v>109</v>
      </c>
      <c r="G477" s="5" t="s">
        <v>33</v>
      </c>
      <c r="H477" s="5" t="s">
        <v>54</v>
      </c>
      <c r="I477" s="6" t="s">
        <v>66</v>
      </c>
      <c r="J477" s="8">
        <v>8.92</v>
      </c>
      <c r="K477" s="5" t="str">
        <f t="shared" si="1"/>
        <v>Delhi -&gt; Bengaluru</v>
      </c>
    </row>
    <row r="478" ht="15.75" customHeight="1">
      <c r="A478" s="5" t="s">
        <v>256</v>
      </c>
      <c r="B478" s="5" t="s">
        <v>58</v>
      </c>
      <c r="C478" s="6" t="s">
        <v>71</v>
      </c>
      <c r="D478" s="5" t="s">
        <v>108</v>
      </c>
      <c r="E478" s="5" t="s">
        <v>27</v>
      </c>
      <c r="F478" s="5" t="s">
        <v>109</v>
      </c>
      <c r="G478" s="5" t="s">
        <v>54</v>
      </c>
      <c r="H478" s="5" t="s">
        <v>35</v>
      </c>
      <c r="I478" s="6">
        <v>0.0</v>
      </c>
      <c r="J478" s="8">
        <v>2.75</v>
      </c>
      <c r="K478" s="5" t="str">
        <f t="shared" si="1"/>
        <v>Delhi -&gt; Bengaluru</v>
      </c>
    </row>
    <row r="479" ht="15.75" customHeight="1">
      <c r="A479" s="5" t="s">
        <v>239</v>
      </c>
      <c r="B479" s="5" t="s">
        <v>20</v>
      </c>
      <c r="C479" s="6" t="s">
        <v>97</v>
      </c>
      <c r="D479" s="5" t="s">
        <v>108</v>
      </c>
      <c r="E479" s="5" t="s">
        <v>27</v>
      </c>
      <c r="F479" s="5" t="s">
        <v>109</v>
      </c>
      <c r="G479" s="5" t="s">
        <v>33</v>
      </c>
      <c r="H479" s="5" t="s">
        <v>33</v>
      </c>
      <c r="I479" s="6" t="s">
        <v>180</v>
      </c>
      <c r="J479" s="8">
        <v>26.33</v>
      </c>
      <c r="K479" s="5" t="str">
        <f t="shared" si="1"/>
        <v>Delhi -&gt; Bengaluru</v>
      </c>
    </row>
    <row r="480" ht="15.75" customHeight="1">
      <c r="A480" s="5" t="s">
        <v>213</v>
      </c>
      <c r="B480" s="5" t="s">
        <v>20</v>
      </c>
      <c r="C480" s="6" t="s">
        <v>1562</v>
      </c>
      <c r="D480" s="5" t="s">
        <v>108</v>
      </c>
      <c r="E480" s="5" t="s">
        <v>27</v>
      </c>
      <c r="F480" s="5" t="s">
        <v>109</v>
      </c>
      <c r="G480" s="5" t="s">
        <v>33</v>
      </c>
      <c r="H480" s="5" t="s">
        <v>33</v>
      </c>
      <c r="I480" s="6">
        <v>0.0</v>
      </c>
      <c r="J480" s="8">
        <v>2.75</v>
      </c>
      <c r="K480" s="5" t="str">
        <f t="shared" si="1"/>
        <v>Delhi -&gt; Bengaluru</v>
      </c>
    </row>
    <row r="481" ht="15.75" customHeight="1">
      <c r="A481" s="5" t="s">
        <v>225</v>
      </c>
      <c r="B481" s="5" t="s">
        <v>58</v>
      </c>
      <c r="C481" s="6" t="s">
        <v>141</v>
      </c>
      <c r="D481" s="5" t="s">
        <v>108</v>
      </c>
      <c r="E481" s="5" t="s">
        <v>27</v>
      </c>
      <c r="F481" s="5" t="s">
        <v>109</v>
      </c>
      <c r="G481" s="5" t="s">
        <v>33</v>
      </c>
      <c r="H481" s="5" t="s">
        <v>54</v>
      </c>
      <c r="I481" s="6">
        <v>1.0</v>
      </c>
      <c r="J481" s="8">
        <v>10.08</v>
      </c>
      <c r="K481" s="5" t="str">
        <f t="shared" si="1"/>
        <v>Delhi -&gt; Bengaluru</v>
      </c>
    </row>
    <row r="482" ht="15.75" customHeight="1">
      <c r="A482" s="5" t="s">
        <v>1564</v>
      </c>
      <c r="B482" s="5" t="s">
        <v>58</v>
      </c>
      <c r="C482" s="6" t="s">
        <v>1373</v>
      </c>
      <c r="D482" s="5" t="s">
        <v>549</v>
      </c>
      <c r="E482" s="5" t="s">
        <v>132</v>
      </c>
      <c r="F482" s="5" t="s">
        <v>164</v>
      </c>
      <c r="G482" s="5" t="s">
        <v>54</v>
      </c>
      <c r="H482" s="5" t="s">
        <v>35</v>
      </c>
      <c r="I482" s="6">
        <v>1.0</v>
      </c>
      <c r="J482" s="8">
        <v>8.33</v>
      </c>
      <c r="K482" s="5" t="str">
        <f t="shared" si="1"/>
        <v>Kolkata -&gt; Chennai</v>
      </c>
    </row>
    <row r="483" ht="15.75" customHeight="1">
      <c r="A483" s="5" t="s">
        <v>1566</v>
      </c>
      <c r="B483" s="5" t="s">
        <v>43</v>
      </c>
      <c r="C483" s="6" t="s">
        <v>1275</v>
      </c>
      <c r="D483" s="5" t="s">
        <v>549</v>
      </c>
      <c r="E483" s="5" t="s">
        <v>132</v>
      </c>
      <c r="F483" s="5" t="s">
        <v>164</v>
      </c>
      <c r="G483" s="5" t="s">
        <v>35</v>
      </c>
      <c r="H483" s="5" t="s">
        <v>33</v>
      </c>
      <c r="I483" s="6">
        <v>1.0</v>
      </c>
      <c r="J483" s="8">
        <v>9.75</v>
      </c>
      <c r="K483" s="5" t="str">
        <f t="shared" si="1"/>
        <v>Kolkata -&gt; Chennai</v>
      </c>
    </row>
    <row r="484" ht="15.75" customHeight="1">
      <c r="A484" s="5" t="s">
        <v>1568</v>
      </c>
      <c r="B484" s="5" t="s">
        <v>45</v>
      </c>
      <c r="C484" s="6" t="s">
        <v>957</v>
      </c>
      <c r="D484" s="5" t="s">
        <v>549</v>
      </c>
      <c r="E484" s="5" t="s">
        <v>132</v>
      </c>
      <c r="F484" s="5" t="s">
        <v>164</v>
      </c>
      <c r="G484" s="5" t="s">
        <v>54</v>
      </c>
      <c r="H484" s="5" t="s">
        <v>35</v>
      </c>
      <c r="I484" s="6">
        <v>1.0</v>
      </c>
      <c r="J484" s="8">
        <v>27.58</v>
      </c>
      <c r="K484" s="5" t="str">
        <f t="shared" si="1"/>
        <v>Kolkata -&gt; Chennai</v>
      </c>
    </row>
    <row r="485" ht="15.75" customHeight="1">
      <c r="A485" s="5" t="s">
        <v>1570</v>
      </c>
      <c r="B485" s="5" t="s">
        <v>29</v>
      </c>
      <c r="C485" s="6" t="s">
        <v>1572</v>
      </c>
      <c r="D485" s="5" t="s">
        <v>549</v>
      </c>
      <c r="E485" s="5" t="s">
        <v>132</v>
      </c>
      <c r="F485" s="5" t="s">
        <v>164</v>
      </c>
      <c r="G485" s="5" t="s">
        <v>35</v>
      </c>
      <c r="H485" s="5" t="s">
        <v>33</v>
      </c>
      <c r="I485" s="6">
        <v>1.0</v>
      </c>
      <c r="J485" s="8">
        <v>10.0</v>
      </c>
      <c r="K485" s="5" t="str">
        <f t="shared" si="1"/>
        <v>Kolkata -&gt; Chennai</v>
      </c>
    </row>
    <row r="486" ht="15.75" customHeight="1">
      <c r="A486" s="5" t="s">
        <v>1574</v>
      </c>
      <c r="B486" s="5" t="s">
        <v>43</v>
      </c>
      <c r="C486" s="6" t="s">
        <v>1478</v>
      </c>
      <c r="D486" s="5" t="s">
        <v>549</v>
      </c>
      <c r="E486" s="5" t="s">
        <v>132</v>
      </c>
      <c r="F486" s="5" t="s">
        <v>164</v>
      </c>
      <c r="G486" s="5" t="s">
        <v>33</v>
      </c>
      <c r="H486" s="5" t="s">
        <v>54</v>
      </c>
      <c r="I486" s="6">
        <v>1.0</v>
      </c>
      <c r="J486" s="8">
        <v>7.67</v>
      </c>
      <c r="K486" s="5" t="str">
        <f t="shared" si="1"/>
        <v>Kolkata -&gt; Chennai</v>
      </c>
    </row>
    <row r="487" ht="15.75" customHeight="1">
      <c r="A487" s="5" t="s">
        <v>1576</v>
      </c>
      <c r="B487" s="5" t="s">
        <v>45</v>
      </c>
      <c r="C487" s="6" t="s">
        <v>1577</v>
      </c>
      <c r="D487" s="5" t="s">
        <v>549</v>
      </c>
      <c r="E487" s="5" t="s">
        <v>132</v>
      </c>
      <c r="F487" s="5" t="s">
        <v>164</v>
      </c>
      <c r="G487" s="5" t="s">
        <v>33</v>
      </c>
      <c r="H487" s="5" t="s">
        <v>35</v>
      </c>
      <c r="I487" s="6" t="s">
        <v>180</v>
      </c>
      <c r="J487" s="8">
        <v>13.75</v>
      </c>
      <c r="K487" s="5" t="str">
        <f t="shared" si="1"/>
        <v>Kolkata -&gt; Chennai</v>
      </c>
    </row>
    <row r="488" ht="15.75" customHeight="1">
      <c r="A488" s="5" t="s">
        <v>1579</v>
      </c>
      <c r="B488" s="5" t="s">
        <v>45</v>
      </c>
      <c r="C488" s="6" t="s">
        <v>1029</v>
      </c>
      <c r="D488" s="5" t="s">
        <v>549</v>
      </c>
      <c r="E488" s="5" t="s">
        <v>132</v>
      </c>
      <c r="F488" s="5" t="s">
        <v>164</v>
      </c>
      <c r="G488" s="5" t="s">
        <v>47</v>
      </c>
      <c r="H488" s="5" t="s">
        <v>33</v>
      </c>
      <c r="I488" s="6">
        <v>1.0</v>
      </c>
      <c r="J488" s="8">
        <v>19.92</v>
      </c>
      <c r="K488" s="5" t="str">
        <f t="shared" si="1"/>
        <v>Kolkata -&gt; Chennai</v>
      </c>
    </row>
    <row r="489" ht="15.75" customHeight="1">
      <c r="A489" s="5" t="s">
        <v>1581</v>
      </c>
      <c r="B489" s="5" t="s">
        <v>45</v>
      </c>
      <c r="C489" s="6" t="s">
        <v>973</v>
      </c>
      <c r="D489" s="5" t="s">
        <v>549</v>
      </c>
      <c r="E489" s="5" t="s">
        <v>132</v>
      </c>
      <c r="F489" s="5" t="s">
        <v>164</v>
      </c>
      <c r="G489" s="5" t="s">
        <v>47</v>
      </c>
      <c r="H489" s="5" t="s">
        <v>47</v>
      </c>
      <c r="I489" s="6" t="s">
        <v>66</v>
      </c>
      <c r="J489" s="8">
        <v>22.67</v>
      </c>
      <c r="K489" s="5" t="str">
        <f t="shared" si="1"/>
        <v>Kolkata -&gt; Chennai</v>
      </c>
    </row>
    <row r="490" ht="15.75" customHeight="1">
      <c r="A490" s="5" t="s">
        <v>1583</v>
      </c>
      <c r="B490" s="5" t="s">
        <v>45</v>
      </c>
      <c r="C490" s="6" t="s">
        <v>1226</v>
      </c>
      <c r="D490" s="5" t="s">
        <v>549</v>
      </c>
      <c r="E490" s="5" t="s">
        <v>132</v>
      </c>
      <c r="F490" s="5" t="s">
        <v>164</v>
      </c>
      <c r="G490" s="5" t="s">
        <v>33</v>
      </c>
      <c r="H490" s="5" t="s">
        <v>35</v>
      </c>
      <c r="I490" s="6">
        <v>1.0</v>
      </c>
      <c r="J490" s="8">
        <v>13.17</v>
      </c>
      <c r="K490" s="5" t="str">
        <f t="shared" si="1"/>
        <v>Kolkata -&gt; Chennai</v>
      </c>
    </row>
    <row r="491" ht="15.75" customHeight="1">
      <c r="A491" s="5" t="s">
        <v>1584</v>
      </c>
      <c r="B491" s="5" t="s">
        <v>20</v>
      </c>
      <c r="C491" s="6" t="s">
        <v>961</v>
      </c>
      <c r="D491" s="5" t="s">
        <v>549</v>
      </c>
      <c r="E491" s="5" t="s">
        <v>132</v>
      </c>
      <c r="F491" s="5" t="s">
        <v>164</v>
      </c>
      <c r="G491" s="5" t="s">
        <v>54</v>
      </c>
      <c r="H491" s="5" t="s">
        <v>35</v>
      </c>
      <c r="I491" s="6">
        <v>1.0</v>
      </c>
      <c r="J491" s="8">
        <v>5.5</v>
      </c>
      <c r="K491" s="5" t="str">
        <f t="shared" si="1"/>
        <v>Kolkata -&gt; Chennai</v>
      </c>
    </row>
    <row r="492" ht="15.75" customHeight="1">
      <c r="A492" s="5" t="s">
        <v>1586</v>
      </c>
      <c r="B492" s="5" t="s">
        <v>45</v>
      </c>
      <c r="C492" s="6" t="s">
        <v>1226</v>
      </c>
      <c r="D492" s="5" t="s">
        <v>549</v>
      </c>
      <c r="E492" s="5" t="s">
        <v>132</v>
      </c>
      <c r="F492" s="5" t="s">
        <v>164</v>
      </c>
      <c r="G492" s="5" t="s">
        <v>33</v>
      </c>
      <c r="H492" s="5" t="s">
        <v>47</v>
      </c>
      <c r="I492" s="6">
        <v>1.0</v>
      </c>
      <c r="J492" s="8">
        <v>26.25</v>
      </c>
      <c r="K492" s="5" t="str">
        <f t="shared" si="1"/>
        <v>Kolkata -&gt; Chennai</v>
      </c>
    </row>
    <row r="493" ht="15.75" customHeight="1">
      <c r="A493" s="5" t="s">
        <v>1588</v>
      </c>
      <c r="B493" s="5" t="s">
        <v>43</v>
      </c>
      <c r="C493" s="6" t="s">
        <v>1279</v>
      </c>
      <c r="D493" s="5" t="s">
        <v>549</v>
      </c>
      <c r="E493" s="5" t="s">
        <v>132</v>
      </c>
      <c r="F493" s="5" t="s">
        <v>164</v>
      </c>
      <c r="G493" s="5" t="s">
        <v>47</v>
      </c>
      <c r="H493" s="5" t="s">
        <v>54</v>
      </c>
      <c r="I493" s="6">
        <v>1.0</v>
      </c>
      <c r="J493" s="8">
        <v>5.92</v>
      </c>
      <c r="K493" s="5" t="str">
        <f t="shared" si="1"/>
        <v>Kolkata -&gt; Chennai</v>
      </c>
    </row>
    <row r="494" ht="15.75" customHeight="1">
      <c r="A494" s="5" t="s">
        <v>1590</v>
      </c>
      <c r="B494" s="5" t="s">
        <v>43</v>
      </c>
      <c r="C494" s="6">
        <v>6.0E-135</v>
      </c>
      <c r="D494" s="5" t="s">
        <v>549</v>
      </c>
      <c r="E494" s="5" t="s">
        <v>132</v>
      </c>
      <c r="F494" s="5" t="s">
        <v>164</v>
      </c>
      <c r="G494" s="5" t="s">
        <v>33</v>
      </c>
      <c r="H494" s="5" t="s">
        <v>35</v>
      </c>
      <c r="I494" s="6">
        <v>1.0</v>
      </c>
      <c r="J494" s="8">
        <v>8.67</v>
      </c>
      <c r="K494" s="5" t="str">
        <f t="shared" si="1"/>
        <v>Kolkata -&gt; Chennai</v>
      </c>
    </row>
    <row r="495" ht="15.75" customHeight="1">
      <c r="A495" s="5" t="s">
        <v>1592</v>
      </c>
      <c r="B495" s="5" t="s">
        <v>29</v>
      </c>
      <c r="C495" s="6" t="s">
        <v>1358</v>
      </c>
      <c r="D495" s="5" t="s">
        <v>549</v>
      </c>
      <c r="E495" s="5" t="s">
        <v>132</v>
      </c>
      <c r="F495" s="5" t="s">
        <v>164</v>
      </c>
      <c r="G495" s="5" t="s">
        <v>33</v>
      </c>
      <c r="H495" s="5" t="s">
        <v>33</v>
      </c>
      <c r="I495" s="6">
        <v>0.0</v>
      </c>
      <c r="J495" s="8">
        <v>2.33</v>
      </c>
      <c r="K495" s="5" t="str">
        <f t="shared" si="1"/>
        <v>Kolkata -&gt; Chennai</v>
      </c>
    </row>
    <row r="496" ht="15.75" customHeight="1">
      <c r="A496" s="5" t="s">
        <v>1593</v>
      </c>
      <c r="B496" s="5" t="s">
        <v>43</v>
      </c>
      <c r="C496" s="6" t="s">
        <v>1595</v>
      </c>
      <c r="D496" s="5" t="s">
        <v>549</v>
      </c>
      <c r="E496" s="5" t="s">
        <v>132</v>
      </c>
      <c r="F496" s="5" t="s">
        <v>164</v>
      </c>
      <c r="G496" s="5" t="s">
        <v>35</v>
      </c>
      <c r="H496" s="5" t="s">
        <v>33</v>
      </c>
      <c r="I496" s="6">
        <v>1.0</v>
      </c>
      <c r="J496" s="8">
        <v>8.0</v>
      </c>
      <c r="K496" s="5" t="str">
        <f t="shared" si="1"/>
        <v>Kolkata -&gt; Chennai</v>
      </c>
    </row>
    <row r="497" ht="15.75" customHeight="1">
      <c r="A497" s="5" t="s">
        <v>1596</v>
      </c>
      <c r="B497" s="5" t="s">
        <v>72</v>
      </c>
      <c r="C497" s="6" t="s">
        <v>1597</v>
      </c>
      <c r="D497" s="5" t="s">
        <v>549</v>
      </c>
      <c r="E497" s="5" t="s">
        <v>132</v>
      </c>
      <c r="F497" s="5" t="s">
        <v>164</v>
      </c>
      <c r="G497" s="5" t="s">
        <v>33</v>
      </c>
      <c r="H497" s="5" t="s">
        <v>47</v>
      </c>
      <c r="I497" s="6">
        <v>0.0</v>
      </c>
      <c r="J497" s="8">
        <v>2.33</v>
      </c>
      <c r="K497" s="5" t="str">
        <f t="shared" si="1"/>
        <v>Kolkata -&gt; Chennai</v>
      </c>
    </row>
    <row r="498" ht="15.75" customHeight="1">
      <c r="A498" s="5" t="s">
        <v>1599</v>
      </c>
      <c r="B498" s="5" t="s">
        <v>20</v>
      </c>
      <c r="C498" s="6" t="s">
        <v>1136</v>
      </c>
      <c r="D498" s="5" t="s">
        <v>549</v>
      </c>
      <c r="E498" s="5" t="s">
        <v>132</v>
      </c>
      <c r="F498" s="5" t="s">
        <v>164</v>
      </c>
      <c r="G498" s="5" t="s">
        <v>33</v>
      </c>
      <c r="H498" s="5" t="s">
        <v>54</v>
      </c>
      <c r="I498" s="6">
        <v>1.0</v>
      </c>
      <c r="J498" s="8">
        <v>12.75</v>
      </c>
      <c r="K498" s="5" t="str">
        <f t="shared" si="1"/>
        <v>Kolkata -&gt; Chennai</v>
      </c>
    </row>
    <row r="499" ht="15.75" customHeight="1">
      <c r="A499" s="5" t="s">
        <v>1601</v>
      </c>
      <c r="B499" s="5" t="s">
        <v>43</v>
      </c>
      <c r="C499" s="6" t="s">
        <v>983</v>
      </c>
      <c r="D499" s="5" t="s">
        <v>549</v>
      </c>
      <c r="E499" s="5" t="s">
        <v>132</v>
      </c>
      <c r="F499" s="5" t="s">
        <v>164</v>
      </c>
      <c r="G499" s="5" t="s">
        <v>47</v>
      </c>
      <c r="H499" s="5" t="s">
        <v>54</v>
      </c>
      <c r="I499" s="6">
        <v>0.0</v>
      </c>
      <c r="J499" s="8">
        <v>2.33</v>
      </c>
      <c r="K499" s="5" t="str">
        <f t="shared" si="1"/>
        <v>Kolkata -&gt; Chennai</v>
      </c>
    </row>
    <row r="500" ht="15.75" customHeight="1">
      <c r="A500" s="5" t="s">
        <v>1603</v>
      </c>
      <c r="B500" s="5" t="s">
        <v>43</v>
      </c>
      <c r="C500" s="6" t="s">
        <v>1604</v>
      </c>
      <c r="D500" s="5" t="s">
        <v>549</v>
      </c>
      <c r="E500" s="5" t="s">
        <v>132</v>
      </c>
      <c r="F500" s="5" t="s">
        <v>164</v>
      </c>
      <c r="G500" s="5" t="s">
        <v>35</v>
      </c>
      <c r="H500" s="5" t="s">
        <v>33</v>
      </c>
      <c r="I500" s="6">
        <v>1.0</v>
      </c>
      <c r="J500" s="8">
        <v>6.33</v>
      </c>
      <c r="K500" s="5" t="str">
        <f t="shared" si="1"/>
        <v>Kolkata -&gt; Chennai</v>
      </c>
    </row>
    <row r="501" ht="15.75" customHeight="1">
      <c r="A501" s="5" t="s">
        <v>1605</v>
      </c>
      <c r="B501" s="5" t="s">
        <v>43</v>
      </c>
      <c r="C501" s="6" t="s">
        <v>1606</v>
      </c>
      <c r="D501" s="5" t="s">
        <v>549</v>
      </c>
      <c r="E501" s="5" t="s">
        <v>132</v>
      </c>
      <c r="F501" s="5" t="s">
        <v>164</v>
      </c>
      <c r="G501" s="5" t="s">
        <v>33</v>
      </c>
      <c r="H501" s="5" t="s">
        <v>54</v>
      </c>
      <c r="I501" s="6">
        <v>1.0</v>
      </c>
      <c r="J501" s="8">
        <v>10.0</v>
      </c>
      <c r="K501" s="5" t="str">
        <f t="shared" si="1"/>
        <v>Kolkata -&gt; Chennai</v>
      </c>
    </row>
    <row r="502" ht="15.75" customHeight="1">
      <c r="A502" s="5" t="s">
        <v>1608</v>
      </c>
      <c r="B502" s="5" t="s">
        <v>20</v>
      </c>
      <c r="C502" s="6" t="s">
        <v>1136</v>
      </c>
      <c r="D502" s="5" t="s">
        <v>549</v>
      </c>
      <c r="E502" s="5" t="s">
        <v>132</v>
      </c>
      <c r="F502" s="5" t="s">
        <v>164</v>
      </c>
      <c r="G502" s="5" t="s">
        <v>33</v>
      </c>
      <c r="H502" s="5" t="s">
        <v>35</v>
      </c>
      <c r="I502" s="6">
        <v>1.0</v>
      </c>
      <c r="J502" s="8">
        <v>15.92</v>
      </c>
      <c r="K502" s="5" t="str">
        <f t="shared" si="1"/>
        <v>Kolkata -&gt; Chennai</v>
      </c>
    </row>
    <row r="503" ht="15.75" customHeight="1">
      <c r="A503" s="5" t="s">
        <v>1610</v>
      </c>
      <c r="B503" s="5" t="s">
        <v>43</v>
      </c>
      <c r="C503" s="6" t="s">
        <v>1611</v>
      </c>
      <c r="D503" s="5" t="s">
        <v>549</v>
      </c>
      <c r="E503" s="5" t="s">
        <v>132</v>
      </c>
      <c r="F503" s="5" t="s">
        <v>164</v>
      </c>
      <c r="G503" s="5" t="s">
        <v>33</v>
      </c>
      <c r="H503" s="5" t="s">
        <v>54</v>
      </c>
      <c r="I503" s="6">
        <v>1.0</v>
      </c>
      <c r="J503" s="8">
        <v>10.17</v>
      </c>
      <c r="K503" s="5" t="str">
        <f t="shared" si="1"/>
        <v>Kolkata -&gt; Chennai</v>
      </c>
    </row>
    <row r="504" ht="15.75" customHeight="1">
      <c r="A504" s="5" t="s">
        <v>1612</v>
      </c>
      <c r="B504" s="5" t="s">
        <v>20</v>
      </c>
      <c r="C504" s="6" t="s">
        <v>961</v>
      </c>
      <c r="D504" s="5" t="s">
        <v>549</v>
      </c>
      <c r="E504" s="5" t="s">
        <v>132</v>
      </c>
      <c r="F504" s="5" t="s">
        <v>164</v>
      </c>
      <c r="G504" s="5" t="s">
        <v>54</v>
      </c>
      <c r="H504" s="5" t="s">
        <v>54</v>
      </c>
      <c r="I504" s="6">
        <v>1.0</v>
      </c>
      <c r="J504" s="8">
        <v>26.33</v>
      </c>
      <c r="K504" s="5" t="str">
        <f t="shared" si="1"/>
        <v>Kolkata -&gt; Chennai</v>
      </c>
    </row>
    <row r="505" ht="15.75" customHeight="1">
      <c r="A505" s="5" t="s">
        <v>1614</v>
      </c>
      <c r="B505" s="5" t="s">
        <v>43</v>
      </c>
      <c r="C505" s="6" t="s">
        <v>1604</v>
      </c>
      <c r="D505" s="5" t="s">
        <v>549</v>
      </c>
      <c r="E505" s="5" t="s">
        <v>132</v>
      </c>
      <c r="F505" s="5" t="s">
        <v>164</v>
      </c>
      <c r="G505" s="5" t="s">
        <v>35</v>
      </c>
      <c r="H505" s="5" t="s">
        <v>33</v>
      </c>
      <c r="I505" s="6">
        <v>1.0</v>
      </c>
      <c r="J505" s="8">
        <v>8.5</v>
      </c>
      <c r="K505" s="5" t="str">
        <f t="shared" si="1"/>
        <v>Kolkata -&gt; Chennai</v>
      </c>
    </row>
    <row r="506" ht="15.75" customHeight="1">
      <c r="A506" s="5" t="s">
        <v>1616</v>
      </c>
      <c r="B506" s="5" t="s">
        <v>45</v>
      </c>
      <c r="C506" s="6" t="s">
        <v>979</v>
      </c>
      <c r="D506" s="5" t="s">
        <v>549</v>
      </c>
      <c r="E506" s="5" t="s">
        <v>132</v>
      </c>
      <c r="F506" s="5" t="s">
        <v>164</v>
      </c>
      <c r="G506" s="5" t="s">
        <v>33</v>
      </c>
      <c r="H506" s="5" t="s">
        <v>33</v>
      </c>
      <c r="I506" s="6" t="s">
        <v>180</v>
      </c>
      <c r="J506" s="8">
        <v>21.33</v>
      </c>
      <c r="K506" s="5" t="str">
        <f t="shared" si="1"/>
        <v>Kolkata -&gt; Chennai</v>
      </c>
    </row>
    <row r="507" ht="15.75" customHeight="1">
      <c r="A507" s="5" t="s">
        <v>1617</v>
      </c>
      <c r="B507" s="5" t="s">
        <v>29</v>
      </c>
      <c r="C507" s="6" t="s">
        <v>1618</v>
      </c>
      <c r="D507" s="5" t="s">
        <v>549</v>
      </c>
      <c r="E507" s="5" t="s">
        <v>132</v>
      </c>
      <c r="F507" s="5" t="s">
        <v>164</v>
      </c>
      <c r="G507" s="5" t="s">
        <v>35</v>
      </c>
      <c r="H507" s="5" t="s">
        <v>35</v>
      </c>
      <c r="I507" s="6">
        <v>0.0</v>
      </c>
      <c r="J507" s="8">
        <v>2.67</v>
      </c>
      <c r="K507" s="5" t="str">
        <f t="shared" si="1"/>
        <v>Kolkata -&gt; Chennai</v>
      </c>
    </row>
    <row r="508" ht="15.75" customHeight="1">
      <c r="A508" s="5" t="s">
        <v>1620</v>
      </c>
      <c r="B508" s="5" t="s">
        <v>45</v>
      </c>
      <c r="C508" s="6" t="s">
        <v>943</v>
      </c>
      <c r="D508" s="5" t="s">
        <v>549</v>
      </c>
      <c r="E508" s="5" t="s">
        <v>132</v>
      </c>
      <c r="F508" s="5" t="s">
        <v>164</v>
      </c>
      <c r="G508" s="5" t="s">
        <v>33</v>
      </c>
      <c r="H508" s="5" t="s">
        <v>54</v>
      </c>
      <c r="I508" s="6" t="s">
        <v>180</v>
      </c>
      <c r="J508" s="8">
        <v>33.33</v>
      </c>
      <c r="K508" s="5" t="str">
        <f t="shared" si="1"/>
        <v>Kolkata -&gt; Chennai</v>
      </c>
    </row>
    <row r="509" ht="15.75" customHeight="1">
      <c r="A509" s="5" t="s">
        <v>1624</v>
      </c>
      <c r="B509" s="5" t="s">
        <v>45</v>
      </c>
      <c r="C509" s="6" t="s">
        <v>1471</v>
      </c>
      <c r="D509" s="5" t="s">
        <v>549</v>
      </c>
      <c r="E509" s="5" t="s">
        <v>132</v>
      </c>
      <c r="F509" s="5" t="s">
        <v>164</v>
      </c>
      <c r="G509" s="5" t="s">
        <v>54</v>
      </c>
      <c r="H509" s="5" t="s">
        <v>33</v>
      </c>
      <c r="I509" s="6">
        <v>1.0</v>
      </c>
      <c r="J509" s="8">
        <v>17.67</v>
      </c>
      <c r="K509" s="5" t="str">
        <f t="shared" si="1"/>
        <v>Kolkata -&gt; Chennai</v>
      </c>
    </row>
    <row r="510" ht="15.75" customHeight="1">
      <c r="A510" s="5" t="s">
        <v>1626</v>
      </c>
      <c r="B510" s="5" t="s">
        <v>45</v>
      </c>
      <c r="C510" s="6" t="s">
        <v>1174</v>
      </c>
      <c r="D510" s="5" t="s">
        <v>549</v>
      </c>
      <c r="E510" s="5" t="s">
        <v>132</v>
      </c>
      <c r="F510" s="5" t="s">
        <v>164</v>
      </c>
      <c r="G510" s="5" t="s">
        <v>47</v>
      </c>
      <c r="H510" s="5" t="s">
        <v>33</v>
      </c>
      <c r="I510" s="6" t="s">
        <v>180</v>
      </c>
      <c r="J510" s="8">
        <v>19.42</v>
      </c>
      <c r="K510" s="5" t="str">
        <f t="shared" si="1"/>
        <v>Kolkata -&gt; Chennai</v>
      </c>
    </row>
    <row r="511" ht="15.75" customHeight="1">
      <c r="A511" s="5" t="s">
        <v>1627</v>
      </c>
      <c r="B511" s="5" t="s">
        <v>20</v>
      </c>
      <c r="C511" s="6" t="s">
        <v>1283</v>
      </c>
      <c r="D511" s="5" t="s">
        <v>549</v>
      </c>
      <c r="E511" s="5" t="s">
        <v>132</v>
      </c>
      <c r="F511" s="5" t="s">
        <v>164</v>
      </c>
      <c r="G511" s="5" t="s">
        <v>47</v>
      </c>
      <c r="H511" s="5" t="s">
        <v>35</v>
      </c>
      <c r="I511" s="6">
        <v>1.0</v>
      </c>
      <c r="J511" s="8">
        <v>28.92</v>
      </c>
      <c r="K511" s="5" t="str">
        <f t="shared" si="1"/>
        <v>Kolkata -&gt; Chennai</v>
      </c>
    </row>
    <row r="512" ht="15.75" customHeight="1">
      <c r="A512" s="5" t="s">
        <v>1629</v>
      </c>
      <c r="B512" s="5" t="s">
        <v>20</v>
      </c>
      <c r="C512" s="6" t="s">
        <v>1300</v>
      </c>
      <c r="D512" s="5" t="s">
        <v>549</v>
      </c>
      <c r="E512" s="5" t="s">
        <v>132</v>
      </c>
      <c r="F512" s="5" t="s">
        <v>164</v>
      </c>
      <c r="G512" s="5" t="s">
        <v>35</v>
      </c>
      <c r="H512" s="5" t="s">
        <v>33</v>
      </c>
      <c r="I512" s="6">
        <v>1.0</v>
      </c>
      <c r="J512" s="8">
        <v>15.25</v>
      </c>
      <c r="K512" s="5" t="str">
        <f t="shared" si="1"/>
        <v>Kolkata -&gt; Chennai</v>
      </c>
    </row>
    <row r="513" ht="15.75" customHeight="1">
      <c r="A513" s="5" t="s">
        <v>1631</v>
      </c>
      <c r="B513" s="5" t="s">
        <v>43</v>
      </c>
      <c r="C513" s="6" t="s">
        <v>1595</v>
      </c>
      <c r="D513" s="5" t="s">
        <v>549</v>
      </c>
      <c r="E513" s="5" t="s">
        <v>132</v>
      </c>
      <c r="F513" s="5" t="s">
        <v>164</v>
      </c>
      <c r="G513" s="5" t="s">
        <v>35</v>
      </c>
      <c r="H513" s="5" t="s">
        <v>33</v>
      </c>
      <c r="I513" s="6">
        <v>1.0</v>
      </c>
      <c r="J513" s="8">
        <v>8.75</v>
      </c>
      <c r="K513" s="5" t="str">
        <f t="shared" si="1"/>
        <v>Kolkata -&gt; Chennai</v>
      </c>
    </row>
    <row r="514" ht="15.75" customHeight="1">
      <c r="A514" s="5" t="s">
        <v>1633</v>
      </c>
      <c r="B514" s="5" t="s">
        <v>45</v>
      </c>
      <c r="C514" s="6" t="s">
        <v>1029</v>
      </c>
      <c r="D514" s="5" t="s">
        <v>549</v>
      </c>
      <c r="E514" s="5" t="s">
        <v>132</v>
      </c>
      <c r="F514" s="5" t="s">
        <v>164</v>
      </c>
      <c r="G514" s="5" t="s">
        <v>47</v>
      </c>
      <c r="H514" s="5" t="s">
        <v>33</v>
      </c>
      <c r="I514" s="6">
        <v>1.0</v>
      </c>
      <c r="J514" s="8">
        <v>18.25</v>
      </c>
      <c r="K514" s="5" t="str">
        <f t="shared" si="1"/>
        <v>Kolkata -&gt; Chennai</v>
      </c>
    </row>
    <row r="515" ht="15.75" customHeight="1">
      <c r="A515" s="5" t="s">
        <v>1635</v>
      </c>
      <c r="B515" s="5" t="s">
        <v>20</v>
      </c>
      <c r="C515" s="6" t="s">
        <v>1214</v>
      </c>
      <c r="D515" s="5" t="s">
        <v>549</v>
      </c>
      <c r="E515" s="5" t="s">
        <v>132</v>
      </c>
      <c r="F515" s="5" t="s">
        <v>164</v>
      </c>
      <c r="G515" s="5" t="s">
        <v>35</v>
      </c>
      <c r="H515" s="5" t="s">
        <v>35</v>
      </c>
      <c r="I515" s="6">
        <v>1.0</v>
      </c>
      <c r="J515" s="8">
        <v>26.33</v>
      </c>
      <c r="K515" s="5" t="str">
        <f t="shared" si="1"/>
        <v>Kolkata -&gt; Chennai</v>
      </c>
    </row>
    <row r="516" ht="15.75" customHeight="1">
      <c r="A516" s="5" t="s">
        <v>1637</v>
      </c>
      <c r="B516" s="5" t="s">
        <v>43</v>
      </c>
      <c r="C516" s="6">
        <v>6.0E-135</v>
      </c>
      <c r="D516" s="5" t="s">
        <v>549</v>
      </c>
      <c r="E516" s="5" t="s">
        <v>132</v>
      </c>
      <c r="F516" s="5" t="s">
        <v>164</v>
      </c>
      <c r="G516" s="5" t="s">
        <v>33</v>
      </c>
      <c r="H516" s="5" t="s">
        <v>35</v>
      </c>
      <c r="I516" s="6">
        <v>1.0</v>
      </c>
      <c r="J516" s="8">
        <v>9.67</v>
      </c>
      <c r="K516" s="5" t="str">
        <f t="shared" si="1"/>
        <v>Kolkata -&gt; Chennai</v>
      </c>
    </row>
    <row r="517" ht="15.75" customHeight="1">
      <c r="A517" s="5" t="s">
        <v>1638</v>
      </c>
      <c r="B517" s="5" t="s">
        <v>45</v>
      </c>
      <c r="C517" s="6" t="s">
        <v>1471</v>
      </c>
      <c r="D517" s="5" t="s">
        <v>549</v>
      </c>
      <c r="E517" s="5" t="s">
        <v>132</v>
      </c>
      <c r="F517" s="5" t="s">
        <v>164</v>
      </c>
      <c r="G517" s="5" t="s">
        <v>54</v>
      </c>
      <c r="H517" s="5" t="s">
        <v>33</v>
      </c>
      <c r="I517" s="6">
        <v>1.0</v>
      </c>
      <c r="J517" s="8">
        <v>15.67</v>
      </c>
      <c r="K517" s="5" t="str">
        <f t="shared" si="1"/>
        <v>Kolkata -&gt; Chennai</v>
      </c>
    </row>
    <row r="518" ht="15.75" customHeight="1">
      <c r="A518" s="5" t="s">
        <v>1640</v>
      </c>
      <c r="B518" s="5" t="s">
        <v>45</v>
      </c>
      <c r="C518" s="6" t="s">
        <v>1029</v>
      </c>
      <c r="D518" s="5" t="s">
        <v>549</v>
      </c>
      <c r="E518" s="5" t="s">
        <v>132</v>
      </c>
      <c r="F518" s="5" t="s">
        <v>164</v>
      </c>
      <c r="G518" s="5" t="s">
        <v>47</v>
      </c>
      <c r="H518" s="5" t="s">
        <v>35</v>
      </c>
      <c r="I518" s="6" t="s">
        <v>180</v>
      </c>
      <c r="J518" s="8">
        <v>34.58</v>
      </c>
      <c r="K518" s="5" t="str">
        <f t="shared" si="1"/>
        <v>Kolkata -&gt; Chennai</v>
      </c>
    </row>
    <row r="519" ht="15.75" customHeight="1">
      <c r="A519" s="5" t="s">
        <v>1642</v>
      </c>
      <c r="B519" s="5" t="s">
        <v>20</v>
      </c>
      <c r="C519" s="6" t="s">
        <v>1214</v>
      </c>
      <c r="D519" s="5" t="s">
        <v>549</v>
      </c>
      <c r="E519" s="5" t="s">
        <v>132</v>
      </c>
      <c r="F519" s="5" t="s">
        <v>164</v>
      </c>
      <c r="G519" s="5" t="s">
        <v>35</v>
      </c>
      <c r="H519" s="5" t="s">
        <v>35</v>
      </c>
      <c r="I519" s="6">
        <v>1.0</v>
      </c>
      <c r="J519" s="8">
        <v>23.92</v>
      </c>
      <c r="K519" s="5" t="str">
        <f t="shared" si="1"/>
        <v>Kolkata -&gt; Chennai</v>
      </c>
    </row>
    <row r="520" ht="15.75" customHeight="1">
      <c r="A520" s="5" t="s">
        <v>1643</v>
      </c>
      <c r="B520" s="5" t="s">
        <v>43</v>
      </c>
      <c r="C520" s="6" t="s">
        <v>1304</v>
      </c>
      <c r="D520" s="5" t="s">
        <v>549</v>
      </c>
      <c r="E520" s="5" t="s">
        <v>132</v>
      </c>
      <c r="F520" s="5" t="s">
        <v>164</v>
      </c>
      <c r="G520" s="5" t="s">
        <v>33</v>
      </c>
      <c r="H520" s="5" t="s">
        <v>47</v>
      </c>
      <c r="I520" s="6">
        <v>1.0</v>
      </c>
      <c r="J520" s="8">
        <v>5.92</v>
      </c>
      <c r="K520" s="5" t="str">
        <f t="shared" si="1"/>
        <v>Kolkata -&gt; Chennai</v>
      </c>
    </row>
    <row r="521" ht="15.75" customHeight="1">
      <c r="A521" s="5" t="s">
        <v>1645</v>
      </c>
      <c r="B521" s="5" t="s">
        <v>45</v>
      </c>
      <c r="C521" s="6" t="s">
        <v>1166</v>
      </c>
      <c r="D521" s="5" t="s">
        <v>549</v>
      </c>
      <c r="E521" s="5" t="s">
        <v>132</v>
      </c>
      <c r="F521" s="5" t="s">
        <v>164</v>
      </c>
      <c r="G521" s="5" t="s">
        <v>47</v>
      </c>
      <c r="H521" s="5" t="s">
        <v>35</v>
      </c>
      <c r="I521" s="6">
        <v>1.0</v>
      </c>
      <c r="J521" s="8">
        <v>8.08</v>
      </c>
      <c r="K521" s="5" t="str">
        <f t="shared" si="1"/>
        <v>Kolkata -&gt; Chennai</v>
      </c>
    </row>
    <row r="522" ht="15.75" customHeight="1">
      <c r="A522" s="5" t="s">
        <v>1647</v>
      </c>
      <c r="B522" s="5" t="s">
        <v>45</v>
      </c>
      <c r="C522" s="6" t="s">
        <v>1648</v>
      </c>
      <c r="D522" s="5" t="s">
        <v>564</v>
      </c>
      <c r="E522" s="5" t="s">
        <v>154</v>
      </c>
      <c r="F522" s="5" t="s">
        <v>27</v>
      </c>
      <c r="G522" s="5" t="s">
        <v>33</v>
      </c>
      <c r="H522" s="5" t="s">
        <v>35</v>
      </c>
      <c r="I522" s="6">
        <v>1.0</v>
      </c>
      <c r="J522" s="8">
        <v>11.0</v>
      </c>
      <c r="K522" s="5" t="str">
        <f t="shared" si="1"/>
        <v>Hyderabad -&gt; Delhi</v>
      </c>
    </row>
    <row r="523" ht="15.75" customHeight="1">
      <c r="A523" s="5" t="s">
        <v>1650</v>
      </c>
      <c r="B523" s="5" t="s">
        <v>20</v>
      </c>
      <c r="C523" s="6" t="s">
        <v>1651</v>
      </c>
      <c r="D523" s="5" t="s">
        <v>564</v>
      </c>
      <c r="E523" s="5" t="s">
        <v>154</v>
      </c>
      <c r="F523" s="5" t="s">
        <v>27</v>
      </c>
      <c r="G523" s="5" t="s">
        <v>33</v>
      </c>
      <c r="H523" s="5" t="s">
        <v>33</v>
      </c>
      <c r="I523" s="6">
        <v>1.0</v>
      </c>
      <c r="J523" s="8">
        <v>23.58</v>
      </c>
      <c r="K523" s="5" t="str">
        <f t="shared" si="1"/>
        <v>Hyderabad -&gt; Delhi</v>
      </c>
    </row>
    <row r="524" ht="15.75" customHeight="1">
      <c r="A524" s="5" t="s">
        <v>1652</v>
      </c>
      <c r="B524" s="5" t="s">
        <v>43</v>
      </c>
      <c r="C524" s="6" t="s">
        <v>1654</v>
      </c>
      <c r="D524" s="5" t="s">
        <v>564</v>
      </c>
      <c r="E524" s="5" t="s">
        <v>154</v>
      </c>
      <c r="F524" s="5" t="s">
        <v>27</v>
      </c>
      <c r="G524" s="5" t="s">
        <v>33</v>
      </c>
      <c r="H524" s="5" t="s">
        <v>54</v>
      </c>
      <c r="I524" s="6">
        <v>1.0</v>
      </c>
      <c r="J524" s="8">
        <v>5.25</v>
      </c>
      <c r="K524" s="5" t="str">
        <f t="shared" si="1"/>
        <v>Hyderabad -&gt; Delhi</v>
      </c>
    </row>
    <row r="525" ht="15.75" customHeight="1">
      <c r="A525" s="5" t="s">
        <v>1656</v>
      </c>
      <c r="B525" s="5" t="s">
        <v>43</v>
      </c>
      <c r="C525" s="6">
        <v>6.0E-269</v>
      </c>
      <c r="D525" s="5" t="s">
        <v>564</v>
      </c>
      <c r="E525" s="5" t="s">
        <v>154</v>
      </c>
      <c r="F525" s="5" t="s">
        <v>27</v>
      </c>
      <c r="G525" s="5" t="s">
        <v>33</v>
      </c>
      <c r="H525" s="5" t="s">
        <v>54</v>
      </c>
      <c r="I525" s="6">
        <v>1.0</v>
      </c>
      <c r="J525" s="8">
        <v>6.75</v>
      </c>
      <c r="K525" s="5" t="str">
        <f t="shared" si="1"/>
        <v>Hyderabad -&gt; Delhi</v>
      </c>
    </row>
    <row r="526" ht="15.75" customHeight="1">
      <c r="A526" s="5" t="s">
        <v>1658</v>
      </c>
      <c r="B526" s="5" t="s">
        <v>58</v>
      </c>
      <c r="C526" s="6" t="s">
        <v>1659</v>
      </c>
      <c r="D526" s="5" t="s">
        <v>564</v>
      </c>
      <c r="E526" s="5" t="s">
        <v>154</v>
      </c>
      <c r="F526" s="5" t="s">
        <v>27</v>
      </c>
      <c r="G526" s="5" t="s">
        <v>33</v>
      </c>
      <c r="H526" s="5" t="s">
        <v>54</v>
      </c>
      <c r="I526" s="6">
        <v>1.0</v>
      </c>
      <c r="J526" s="8">
        <v>10.0</v>
      </c>
      <c r="K526" s="5" t="str">
        <f t="shared" si="1"/>
        <v>Hyderabad -&gt; Delhi</v>
      </c>
    </row>
    <row r="527" ht="15.75" customHeight="1">
      <c r="A527" s="5" t="s">
        <v>1660</v>
      </c>
      <c r="B527" s="5" t="s">
        <v>58</v>
      </c>
      <c r="C527" s="6" t="s">
        <v>1659</v>
      </c>
      <c r="D527" s="5" t="s">
        <v>564</v>
      </c>
      <c r="E527" s="5" t="s">
        <v>154</v>
      </c>
      <c r="F527" s="5" t="s">
        <v>27</v>
      </c>
      <c r="G527" s="5" t="s">
        <v>33</v>
      </c>
      <c r="H527" s="5" t="s">
        <v>47</v>
      </c>
      <c r="I527" s="6">
        <v>1.0</v>
      </c>
      <c r="J527" s="8">
        <v>6.5</v>
      </c>
      <c r="K527" s="5" t="str">
        <f t="shared" si="1"/>
        <v>Hyderabad -&gt; Delhi</v>
      </c>
    </row>
    <row r="528" ht="15.75" customHeight="1">
      <c r="A528" s="5" t="s">
        <v>1662</v>
      </c>
      <c r="B528" s="5" t="s">
        <v>20</v>
      </c>
      <c r="C528" s="6" t="s">
        <v>1663</v>
      </c>
      <c r="D528" s="5" t="s">
        <v>564</v>
      </c>
      <c r="E528" s="5" t="s">
        <v>154</v>
      </c>
      <c r="F528" s="5" t="s">
        <v>27</v>
      </c>
      <c r="G528" s="5" t="s">
        <v>35</v>
      </c>
      <c r="H528" s="5" t="s">
        <v>47</v>
      </c>
      <c r="I528" s="6">
        <v>0.0</v>
      </c>
      <c r="J528" s="8">
        <v>16.5</v>
      </c>
      <c r="K528" s="5" t="str">
        <f t="shared" si="1"/>
        <v>Hyderabad -&gt; Delhi</v>
      </c>
    </row>
    <row r="529" ht="15.75" customHeight="1">
      <c r="A529" s="5" t="s">
        <v>1664</v>
      </c>
      <c r="B529" s="5" t="s">
        <v>43</v>
      </c>
      <c r="C529" s="6" t="s">
        <v>1665</v>
      </c>
      <c r="D529" s="5" t="s">
        <v>564</v>
      </c>
      <c r="E529" s="5" t="s">
        <v>154</v>
      </c>
      <c r="F529" s="5" t="s">
        <v>27</v>
      </c>
      <c r="G529" s="5" t="s">
        <v>47</v>
      </c>
      <c r="H529" s="5" t="s">
        <v>35</v>
      </c>
      <c r="I529" s="6">
        <v>1.0</v>
      </c>
      <c r="J529" s="8">
        <v>7.08</v>
      </c>
      <c r="K529" s="5" t="str">
        <f t="shared" si="1"/>
        <v>Hyderabad -&gt; Delhi</v>
      </c>
    </row>
    <row r="530" ht="15.75" customHeight="1">
      <c r="A530" s="5" t="s">
        <v>1667</v>
      </c>
      <c r="B530" s="5" t="s">
        <v>58</v>
      </c>
      <c r="C530" s="6" t="s">
        <v>1668</v>
      </c>
      <c r="D530" s="5" t="s">
        <v>564</v>
      </c>
      <c r="E530" s="5" t="s">
        <v>154</v>
      </c>
      <c r="F530" s="5" t="s">
        <v>27</v>
      </c>
      <c r="G530" s="5" t="s">
        <v>33</v>
      </c>
      <c r="H530" s="5" t="s">
        <v>35</v>
      </c>
      <c r="I530" s="6">
        <v>1.0</v>
      </c>
      <c r="J530" s="8">
        <v>15.08</v>
      </c>
      <c r="K530" s="5" t="str">
        <f t="shared" si="1"/>
        <v>Hyderabad -&gt; Delhi</v>
      </c>
    </row>
    <row r="531" ht="15.75" customHeight="1">
      <c r="A531" s="5" t="s">
        <v>1669</v>
      </c>
      <c r="B531" s="5" t="s">
        <v>20</v>
      </c>
      <c r="C531" s="6" t="s">
        <v>1670</v>
      </c>
      <c r="D531" s="5" t="s">
        <v>564</v>
      </c>
      <c r="E531" s="5" t="s">
        <v>154</v>
      </c>
      <c r="F531" s="5" t="s">
        <v>27</v>
      </c>
      <c r="G531" s="5" t="s">
        <v>33</v>
      </c>
      <c r="H531" s="5" t="s">
        <v>33</v>
      </c>
      <c r="I531" s="6">
        <v>0.0</v>
      </c>
      <c r="J531" s="8">
        <v>2.17</v>
      </c>
      <c r="K531" s="5" t="str">
        <f t="shared" si="1"/>
        <v>Hyderabad -&gt; Delhi</v>
      </c>
    </row>
    <row r="532" ht="15.75" customHeight="1">
      <c r="A532" s="5" t="s">
        <v>1672</v>
      </c>
      <c r="B532" s="5" t="s">
        <v>20</v>
      </c>
      <c r="C532" s="6" t="s">
        <v>1663</v>
      </c>
      <c r="D532" s="5" t="s">
        <v>564</v>
      </c>
      <c r="E532" s="5" t="s">
        <v>154</v>
      </c>
      <c r="F532" s="5" t="s">
        <v>27</v>
      </c>
      <c r="G532" s="5" t="s">
        <v>35</v>
      </c>
      <c r="H532" s="5" t="s">
        <v>54</v>
      </c>
      <c r="I532" s="6">
        <v>1.0</v>
      </c>
      <c r="J532" s="8">
        <v>22.25</v>
      </c>
      <c r="K532" s="5" t="str">
        <f t="shared" si="1"/>
        <v>Hyderabad -&gt; Delhi</v>
      </c>
    </row>
    <row r="533" ht="15.75" customHeight="1">
      <c r="A533" s="5" t="s">
        <v>1674</v>
      </c>
      <c r="B533" s="5" t="s">
        <v>29</v>
      </c>
      <c r="C533" s="6" t="s">
        <v>1675</v>
      </c>
      <c r="D533" s="5" t="s">
        <v>564</v>
      </c>
      <c r="E533" s="5" t="s">
        <v>154</v>
      </c>
      <c r="F533" s="5" t="s">
        <v>27</v>
      </c>
      <c r="G533" s="5" t="s">
        <v>54</v>
      </c>
      <c r="H533" s="5" t="s">
        <v>35</v>
      </c>
      <c r="I533" s="6">
        <v>1.0</v>
      </c>
      <c r="J533" s="8">
        <v>5.25</v>
      </c>
      <c r="K533" s="5" t="str">
        <f t="shared" si="1"/>
        <v>Hyderabad -&gt; Delhi</v>
      </c>
    </row>
    <row r="534" ht="15.75" customHeight="1">
      <c r="A534" s="5" t="s">
        <v>1677</v>
      </c>
      <c r="B534" s="5" t="s">
        <v>45</v>
      </c>
      <c r="C534" s="6" t="s">
        <v>1678</v>
      </c>
      <c r="D534" s="5" t="s">
        <v>564</v>
      </c>
      <c r="E534" s="5" t="s">
        <v>154</v>
      </c>
      <c r="F534" s="5" t="s">
        <v>27</v>
      </c>
      <c r="G534" s="5" t="s">
        <v>35</v>
      </c>
      <c r="H534" s="5" t="s">
        <v>54</v>
      </c>
      <c r="I534" s="6">
        <v>1.0</v>
      </c>
      <c r="J534" s="8">
        <v>21.17</v>
      </c>
      <c r="K534" s="5" t="str">
        <f t="shared" si="1"/>
        <v>Hyderabad -&gt; Delhi</v>
      </c>
    </row>
    <row r="535" ht="15.75" customHeight="1">
      <c r="A535" s="5" t="s">
        <v>1680</v>
      </c>
      <c r="B535" s="5" t="s">
        <v>58</v>
      </c>
      <c r="C535" s="6" t="s">
        <v>1681</v>
      </c>
      <c r="D535" s="5" t="s">
        <v>564</v>
      </c>
      <c r="E535" s="5" t="s">
        <v>154</v>
      </c>
      <c r="F535" s="5" t="s">
        <v>27</v>
      </c>
      <c r="G535" s="5" t="s">
        <v>33</v>
      </c>
      <c r="H535" s="5" t="s">
        <v>54</v>
      </c>
      <c r="I535" s="6">
        <v>1.0</v>
      </c>
      <c r="J535" s="8">
        <v>10.83</v>
      </c>
      <c r="K535" s="5" t="str">
        <f t="shared" si="1"/>
        <v>Hyderabad -&gt; Delhi</v>
      </c>
    </row>
    <row r="536" ht="15.75" customHeight="1">
      <c r="A536" s="5" t="s">
        <v>1682</v>
      </c>
      <c r="B536" s="5" t="s">
        <v>20</v>
      </c>
      <c r="C536" s="6" t="s">
        <v>1651</v>
      </c>
      <c r="D536" s="5" t="s">
        <v>564</v>
      </c>
      <c r="E536" s="5" t="s">
        <v>154</v>
      </c>
      <c r="F536" s="5" t="s">
        <v>27</v>
      </c>
      <c r="G536" s="5" t="s">
        <v>33</v>
      </c>
      <c r="H536" s="5" t="s">
        <v>35</v>
      </c>
      <c r="I536" s="6">
        <v>1.0</v>
      </c>
      <c r="J536" s="8">
        <v>16.42</v>
      </c>
      <c r="K536" s="5" t="str">
        <f t="shared" si="1"/>
        <v>Hyderabad -&gt; Delhi</v>
      </c>
    </row>
    <row r="537" ht="15.75" customHeight="1">
      <c r="A537" s="5" t="s">
        <v>1684</v>
      </c>
      <c r="B537" s="5" t="s">
        <v>45</v>
      </c>
      <c r="C537" s="6" t="s">
        <v>1685</v>
      </c>
      <c r="D537" s="5" t="s">
        <v>564</v>
      </c>
      <c r="E537" s="5" t="s">
        <v>154</v>
      </c>
      <c r="F537" s="5" t="s">
        <v>27</v>
      </c>
      <c r="G537" s="5" t="s">
        <v>54</v>
      </c>
      <c r="H537" s="5" t="s">
        <v>47</v>
      </c>
      <c r="I537" s="6">
        <v>1.0</v>
      </c>
      <c r="J537" s="8">
        <v>20.42</v>
      </c>
      <c r="K537" s="5" t="str">
        <f t="shared" si="1"/>
        <v>Hyderabad -&gt; Delhi</v>
      </c>
    </row>
    <row r="538" ht="15.75" customHeight="1">
      <c r="A538" s="5" t="s">
        <v>1687</v>
      </c>
      <c r="B538" s="5" t="s">
        <v>58</v>
      </c>
      <c r="C538" s="6" t="s">
        <v>1668</v>
      </c>
      <c r="D538" s="5" t="s">
        <v>564</v>
      </c>
      <c r="E538" s="5" t="s">
        <v>154</v>
      </c>
      <c r="F538" s="5" t="s">
        <v>27</v>
      </c>
      <c r="G538" s="5" t="s">
        <v>33</v>
      </c>
      <c r="H538" s="5" t="s">
        <v>33</v>
      </c>
      <c r="I538" s="6">
        <v>1.0</v>
      </c>
      <c r="J538" s="8">
        <v>4.92</v>
      </c>
      <c r="K538" s="5" t="str">
        <f t="shared" si="1"/>
        <v>Hyderabad -&gt; Delhi</v>
      </c>
    </row>
    <row r="539" ht="15.75" customHeight="1">
      <c r="A539" s="5" t="s">
        <v>1688</v>
      </c>
      <c r="B539" s="5" t="s">
        <v>45</v>
      </c>
      <c r="C539" s="6" t="s">
        <v>1689</v>
      </c>
      <c r="D539" s="5" t="s">
        <v>564</v>
      </c>
      <c r="E539" s="5" t="s">
        <v>154</v>
      </c>
      <c r="F539" s="5" t="s">
        <v>27</v>
      </c>
      <c r="G539" s="5" t="s">
        <v>33</v>
      </c>
      <c r="H539" s="5" t="s">
        <v>35</v>
      </c>
      <c r="I539" s="6">
        <v>1.0</v>
      </c>
      <c r="J539" s="8">
        <v>14.92</v>
      </c>
      <c r="K539" s="5" t="str">
        <f t="shared" si="1"/>
        <v>Hyderabad -&gt; Delhi</v>
      </c>
    </row>
    <row r="540" ht="15.75" customHeight="1">
      <c r="A540" s="5" t="s">
        <v>1691</v>
      </c>
      <c r="B540" s="5" t="s">
        <v>43</v>
      </c>
      <c r="C540" s="6" t="s">
        <v>1692</v>
      </c>
      <c r="D540" s="5" t="s">
        <v>564</v>
      </c>
      <c r="E540" s="5" t="s">
        <v>154</v>
      </c>
      <c r="F540" s="5" t="s">
        <v>27</v>
      </c>
      <c r="G540" s="5" t="s">
        <v>47</v>
      </c>
      <c r="H540" s="5" t="s">
        <v>54</v>
      </c>
      <c r="I540" s="6">
        <v>1.0</v>
      </c>
      <c r="J540" s="8">
        <v>5.0</v>
      </c>
      <c r="K540" s="5" t="str">
        <f t="shared" si="1"/>
        <v>Hyderabad -&gt; Delhi</v>
      </c>
    </row>
    <row r="541" ht="15.75" customHeight="1">
      <c r="A541" s="5" t="s">
        <v>1693</v>
      </c>
      <c r="B541" s="5" t="s">
        <v>43</v>
      </c>
      <c r="C541" s="6" t="s">
        <v>1694</v>
      </c>
      <c r="D541" s="5" t="s">
        <v>564</v>
      </c>
      <c r="E541" s="5" t="s">
        <v>154</v>
      </c>
      <c r="F541" s="5" t="s">
        <v>27</v>
      </c>
      <c r="G541" s="5" t="s">
        <v>33</v>
      </c>
      <c r="H541" s="5" t="s">
        <v>54</v>
      </c>
      <c r="I541" s="6" t="s">
        <v>66</v>
      </c>
      <c r="J541" s="8">
        <v>6.92</v>
      </c>
      <c r="K541" s="5" t="str">
        <f t="shared" si="1"/>
        <v>Hyderabad -&gt; Delhi</v>
      </c>
    </row>
    <row r="542" ht="15.75" customHeight="1">
      <c r="A542" s="5" t="s">
        <v>1696</v>
      </c>
      <c r="B542" s="5" t="s">
        <v>20</v>
      </c>
      <c r="C542" s="6" t="s">
        <v>1697</v>
      </c>
      <c r="D542" s="5" t="s">
        <v>564</v>
      </c>
      <c r="E542" s="5" t="s">
        <v>154</v>
      </c>
      <c r="F542" s="5" t="s">
        <v>27</v>
      </c>
      <c r="G542" s="5" t="s">
        <v>47</v>
      </c>
      <c r="H542" s="5" t="s">
        <v>47</v>
      </c>
      <c r="I542" s="6">
        <v>1.0</v>
      </c>
      <c r="J542" s="8">
        <v>25.58</v>
      </c>
      <c r="K542" s="5" t="str">
        <f t="shared" si="1"/>
        <v>Hyderabad -&gt; Delhi</v>
      </c>
    </row>
    <row r="543" ht="15.75" customHeight="1">
      <c r="A543" s="5" t="s">
        <v>1699</v>
      </c>
      <c r="B543" s="5" t="s">
        <v>45</v>
      </c>
      <c r="C543" s="6" t="s">
        <v>1678</v>
      </c>
      <c r="D543" s="5" t="s">
        <v>564</v>
      </c>
      <c r="E543" s="5" t="s">
        <v>154</v>
      </c>
      <c r="F543" s="5" t="s">
        <v>27</v>
      </c>
      <c r="G543" s="5" t="s">
        <v>35</v>
      </c>
      <c r="H543" s="5" t="s">
        <v>47</v>
      </c>
      <c r="I543" s="6">
        <v>1.0</v>
      </c>
      <c r="J543" s="8">
        <v>14.33</v>
      </c>
      <c r="K543" s="5" t="str">
        <f t="shared" si="1"/>
        <v>Hyderabad -&gt; Delhi</v>
      </c>
    </row>
    <row r="544" ht="15.75" customHeight="1">
      <c r="A544" s="5" t="s">
        <v>1701</v>
      </c>
      <c r="B544" s="5" t="s">
        <v>72</v>
      </c>
      <c r="C544" s="6" t="s">
        <v>1702</v>
      </c>
      <c r="D544" s="5" t="s">
        <v>564</v>
      </c>
      <c r="E544" s="5" t="s">
        <v>154</v>
      </c>
      <c r="F544" s="5" t="s">
        <v>27</v>
      </c>
      <c r="G544" s="5" t="s">
        <v>47</v>
      </c>
      <c r="H544" s="5" t="s">
        <v>54</v>
      </c>
      <c r="I544" s="6">
        <v>1.0</v>
      </c>
      <c r="J544" s="8">
        <v>25.42</v>
      </c>
      <c r="K544" s="5" t="str">
        <f t="shared" si="1"/>
        <v>Hyderabad -&gt; Delhi</v>
      </c>
    </row>
    <row r="545" ht="15.75" customHeight="1">
      <c r="A545" s="5" t="s">
        <v>1704</v>
      </c>
      <c r="B545" s="5" t="s">
        <v>45</v>
      </c>
      <c r="C545" s="6" t="s">
        <v>1648</v>
      </c>
      <c r="D545" s="5" t="s">
        <v>564</v>
      </c>
      <c r="E545" s="5" t="s">
        <v>154</v>
      </c>
      <c r="F545" s="5" t="s">
        <v>27</v>
      </c>
      <c r="G545" s="5" t="s">
        <v>33</v>
      </c>
      <c r="H545" s="5" t="s">
        <v>33</v>
      </c>
      <c r="I545" s="6">
        <v>1.0</v>
      </c>
      <c r="J545" s="8">
        <v>23.17</v>
      </c>
      <c r="K545" s="5" t="str">
        <f t="shared" si="1"/>
        <v>Hyderabad -&gt; Delhi</v>
      </c>
    </row>
    <row r="546" ht="15.75" customHeight="1">
      <c r="A546" s="5" t="s">
        <v>1705</v>
      </c>
      <c r="B546" s="5" t="s">
        <v>45</v>
      </c>
      <c r="C546" s="6" t="s">
        <v>1648</v>
      </c>
      <c r="D546" s="5" t="s">
        <v>564</v>
      </c>
      <c r="E546" s="5" t="s">
        <v>154</v>
      </c>
      <c r="F546" s="5" t="s">
        <v>27</v>
      </c>
      <c r="G546" s="5" t="s">
        <v>33</v>
      </c>
      <c r="H546" s="5" t="s">
        <v>47</v>
      </c>
      <c r="I546" s="6">
        <v>1.0</v>
      </c>
      <c r="J546" s="8">
        <v>6.33</v>
      </c>
      <c r="K546" s="5" t="str">
        <f t="shared" si="1"/>
        <v>Hyderabad -&gt; Delhi</v>
      </c>
    </row>
    <row r="547" ht="15.75" customHeight="1">
      <c r="A547" s="5" t="s">
        <v>1706</v>
      </c>
      <c r="B547" s="5" t="s">
        <v>29</v>
      </c>
      <c r="C547" s="6" t="s">
        <v>1675</v>
      </c>
      <c r="D547" s="5" t="s">
        <v>564</v>
      </c>
      <c r="E547" s="5" t="s">
        <v>154</v>
      </c>
      <c r="F547" s="5" t="s">
        <v>27</v>
      </c>
      <c r="G547" s="5" t="s">
        <v>54</v>
      </c>
      <c r="H547" s="5" t="s">
        <v>35</v>
      </c>
      <c r="I547" s="6">
        <v>1.0</v>
      </c>
      <c r="J547" s="8">
        <v>7.58</v>
      </c>
      <c r="K547" s="5" t="str">
        <f t="shared" si="1"/>
        <v>Hyderabad -&gt; Delhi</v>
      </c>
    </row>
    <row r="548" ht="15.75" customHeight="1">
      <c r="A548" s="5" t="s">
        <v>1708</v>
      </c>
      <c r="B548" s="5" t="s">
        <v>45</v>
      </c>
      <c r="C548" s="6" t="s">
        <v>1685</v>
      </c>
      <c r="D548" s="5" t="s">
        <v>564</v>
      </c>
      <c r="E548" s="5" t="s">
        <v>154</v>
      </c>
      <c r="F548" s="5" t="s">
        <v>27</v>
      </c>
      <c r="G548" s="5" t="s">
        <v>35</v>
      </c>
      <c r="H548" s="5" t="s">
        <v>35</v>
      </c>
      <c r="I548" s="6">
        <v>1.0</v>
      </c>
      <c r="J548" s="8">
        <v>24.33</v>
      </c>
      <c r="K548" s="5" t="str">
        <f t="shared" si="1"/>
        <v>Hyderabad -&gt; Delhi</v>
      </c>
    </row>
    <row r="549" ht="15.75" customHeight="1">
      <c r="A549" s="5" t="s">
        <v>1710</v>
      </c>
      <c r="B549" s="5" t="s">
        <v>45</v>
      </c>
      <c r="C549" s="6" t="s">
        <v>1711</v>
      </c>
      <c r="D549" s="5" t="s">
        <v>564</v>
      </c>
      <c r="E549" s="5" t="s">
        <v>154</v>
      </c>
      <c r="F549" s="5" t="s">
        <v>27</v>
      </c>
      <c r="G549" s="5" t="s">
        <v>35</v>
      </c>
      <c r="H549" s="5" t="s">
        <v>33</v>
      </c>
      <c r="I549" s="6">
        <v>1.0</v>
      </c>
      <c r="J549" s="8">
        <v>12.0</v>
      </c>
      <c r="K549" s="5" t="str">
        <f t="shared" si="1"/>
        <v>Hyderabad -&gt; Delhi</v>
      </c>
    </row>
    <row r="550" ht="15.75" customHeight="1">
      <c r="A550" s="5" t="s">
        <v>1713</v>
      </c>
      <c r="B550" s="5" t="s">
        <v>20</v>
      </c>
      <c r="C550" s="6" t="s">
        <v>1663</v>
      </c>
      <c r="D550" s="5" t="s">
        <v>564</v>
      </c>
      <c r="E550" s="5" t="s">
        <v>154</v>
      </c>
      <c r="F550" s="5" t="s">
        <v>27</v>
      </c>
      <c r="G550" s="5" t="s">
        <v>35</v>
      </c>
      <c r="H550" s="5" t="s">
        <v>35</v>
      </c>
      <c r="I550" s="6">
        <v>1.0</v>
      </c>
      <c r="J550" s="8">
        <v>25.42</v>
      </c>
      <c r="K550" s="5" t="str">
        <f t="shared" si="1"/>
        <v>Hyderabad -&gt; Delhi</v>
      </c>
    </row>
    <row r="551" ht="15.75" customHeight="1">
      <c r="A551" s="5" t="s">
        <v>1716</v>
      </c>
      <c r="B551" s="5" t="s">
        <v>45</v>
      </c>
      <c r="C551" s="6" t="s">
        <v>1717</v>
      </c>
      <c r="D551" s="5" t="s">
        <v>564</v>
      </c>
      <c r="E551" s="5" t="s">
        <v>154</v>
      </c>
      <c r="F551" s="5" t="s">
        <v>27</v>
      </c>
      <c r="G551" s="5" t="s">
        <v>47</v>
      </c>
      <c r="H551" s="5" t="s">
        <v>33</v>
      </c>
      <c r="I551" s="6">
        <v>1.0</v>
      </c>
      <c r="J551" s="8">
        <v>19.83</v>
      </c>
      <c r="K551" s="5" t="str">
        <f t="shared" si="1"/>
        <v>Hyderabad -&gt; Delhi</v>
      </c>
    </row>
    <row r="552" ht="15.75" customHeight="1">
      <c r="A552" s="5" t="s">
        <v>1719</v>
      </c>
      <c r="B552" s="5" t="s">
        <v>20</v>
      </c>
      <c r="C552" s="6" t="s">
        <v>1697</v>
      </c>
      <c r="D552" s="5" t="s">
        <v>564</v>
      </c>
      <c r="E552" s="5" t="s">
        <v>154</v>
      </c>
      <c r="F552" s="5" t="s">
        <v>27</v>
      </c>
      <c r="G552" s="5" t="s">
        <v>47</v>
      </c>
      <c r="H552" s="5" t="s">
        <v>54</v>
      </c>
      <c r="I552" s="6">
        <v>1.0</v>
      </c>
      <c r="J552" s="8">
        <v>6.83</v>
      </c>
      <c r="K552" s="5" t="str">
        <f t="shared" si="1"/>
        <v>Hyderabad -&gt; Delhi</v>
      </c>
    </row>
    <row r="553" ht="15.75" customHeight="1">
      <c r="A553" s="5" t="s">
        <v>1721</v>
      </c>
      <c r="B553" s="5" t="s">
        <v>20</v>
      </c>
      <c r="C553" s="6" t="s">
        <v>1651</v>
      </c>
      <c r="D553" s="5" t="s">
        <v>564</v>
      </c>
      <c r="E553" s="5" t="s">
        <v>154</v>
      </c>
      <c r="F553" s="5" t="s">
        <v>27</v>
      </c>
      <c r="G553" s="5" t="s">
        <v>33</v>
      </c>
      <c r="H553" s="5" t="s">
        <v>35</v>
      </c>
      <c r="I553" s="6">
        <v>1.0</v>
      </c>
      <c r="J553" s="8">
        <v>12.17</v>
      </c>
      <c r="K553" s="5" t="str">
        <f t="shared" si="1"/>
        <v>Hyderabad -&gt; Delhi</v>
      </c>
    </row>
    <row r="554" ht="15.75" customHeight="1">
      <c r="A554" s="5" t="s">
        <v>1724</v>
      </c>
      <c r="B554" s="5" t="s">
        <v>58</v>
      </c>
      <c r="C554" s="6" t="s">
        <v>1725</v>
      </c>
      <c r="D554" s="5" t="s">
        <v>564</v>
      </c>
      <c r="E554" s="5" t="s">
        <v>154</v>
      </c>
      <c r="F554" s="5" t="s">
        <v>27</v>
      </c>
      <c r="G554" s="5" t="s">
        <v>47</v>
      </c>
      <c r="H554" s="5" t="s">
        <v>35</v>
      </c>
      <c r="I554" s="6" t="s">
        <v>180</v>
      </c>
      <c r="J554" s="8">
        <v>8.83</v>
      </c>
      <c r="K554" s="5" t="str">
        <f t="shared" si="1"/>
        <v>Hyderabad -&gt; Delhi</v>
      </c>
    </row>
    <row r="555" ht="15.75" customHeight="1">
      <c r="A555" s="5" t="s">
        <v>1727</v>
      </c>
      <c r="B555" s="5" t="s">
        <v>43</v>
      </c>
      <c r="C555" s="6" t="s">
        <v>1728</v>
      </c>
      <c r="D555" s="5" t="s">
        <v>564</v>
      </c>
      <c r="E555" s="5" t="s">
        <v>154</v>
      </c>
      <c r="F555" s="5" t="s">
        <v>27</v>
      </c>
      <c r="G555" s="5" t="s">
        <v>47</v>
      </c>
      <c r="H555" s="5" t="s">
        <v>54</v>
      </c>
      <c r="I555" s="6">
        <v>0.0</v>
      </c>
      <c r="J555" s="8">
        <v>2.42</v>
      </c>
      <c r="K555" s="5" t="str">
        <f t="shared" si="1"/>
        <v>Hyderabad -&gt; Delhi</v>
      </c>
    </row>
    <row r="556" ht="15.75" customHeight="1">
      <c r="A556" s="5" t="s">
        <v>1730</v>
      </c>
      <c r="B556" s="5" t="s">
        <v>45</v>
      </c>
      <c r="C556" s="6" t="s">
        <v>1731</v>
      </c>
      <c r="D556" s="5" t="s">
        <v>564</v>
      </c>
      <c r="E556" s="5" t="s">
        <v>154</v>
      </c>
      <c r="F556" s="5" t="s">
        <v>27</v>
      </c>
      <c r="G556" s="5" t="s">
        <v>33</v>
      </c>
      <c r="H556" s="5" t="s">
        <v>35</v>
      </c>
      <c r="I556" s="6">
        <v>1.0</v>
      </c>
      <c r="J556" s="8">
        <v>12.08</v>
      </c>
      <c r="K556" s="5" t="str">
        <f t="shared" si="1"/>
        <v>Hyderabad -&gt; Delhi</v>
      </c>
    </row>
    <row r="557" ht="15.75" customHeight="1">
      <c r="A557" s="5" t="s">
        <v>1733</v>
      </c>
      <c r="B557" s="5" t="s">
        <v>45</v>
      </c>
      <c r="C557" s="6" t="s">
        <v>1734</v>
      </c>
      <c r="D557" s="5" t="s">
        <v>564</v>
      </c>
      <c r="E557" s="5" t="s">
        <v>154</v>
      </c>
      <c r="F557" s="5" t="s">
        <v>27</v>
      </c>
      <c r="G557" s="5" t="s">
        <v>54</v>
      </c>
      <c r="H557" s="5" t="s">
        <v>35</v>
      </c>
      <c r="I557" s="6">
        <v>1.0</v>
      </c>
      <c r="J557" s="8">
        <v>6.17</v>
      </c>
      <c r="K557" s="5" t="str">
        <f t="shared" si="1"/>
        <v>Hyderabad -&gt; Delhi</v>
      </c>
    </row>
    <row r="558" ht="15.75" customHeight="1">
      <c r="A558" s="5" t="s">
        <v>1736</v>
      </c>
      <c r="B558" s="5" t="s">
        <v>45</v>
      </c>
      <c r="C558" s="6" t="s">
        <v>1678</v>
      </c>
      <c r="D558" s="5" t="s">
        <v>564</v>
      </c>
      <c r="E558" s="5" t="s">
        <v>154</v>
      </c>
      <c r="F558" s="5" t="s">
        <v>27</v>
      </c>
      <c r="G558" s="5" t="s">
        <v>35</v>
      </c>
      <c r="H558" s="5" t="s">
        <v>54</v>
      </c>
      <c r="I558" s="6">
        <v>1.0</v>
      </c>
      <c r="J558" s="8">
        <v>22.58</v>
      </c>
      <c r="K558" s="5" t="str">
        <f t="shared" si="1"/>
        <v>Hyderabad -&gt; Delhi</v>
      </c>
    </row>
    <row r="559" ht="15.75" customHeight="1">
      <c r="A559" s="5" t="s">
        <v>1739</v>
      </c>
      <c r="B559" s="5" t="s">
        <v>45</v>
      </c>
      <c r="C559" s="6" t="s">
        <v>1740</v>
      </c>
      <c r="D559" s="5" t="s">
        <v>564</v>
      </c>
      <c r="E559" s="5" t="s">
        <v>154</v>
      </c>
      <c r="F559" s="5" t="s">
        <v>27</v>
      </c>
      <c r="G559" s="5" t="s">
        <v>47</v>
      </c>
      <c r="H559" s="5" t="s">
        <v>35</v>
      </c>
      <c r="I559" s="6">
        <v>1.0</v>
      </c>
      <c r="J559" s="8">
        <v>10.67</v>
      </c>
      <c r="K559" s="5" t="str">
        <f t="shared" si="1"/>
        <v>Hyderabad -&gt; Delhi</v>
      </c>
    </row>
    <row r="560" ht="15.75" customHeight="1">
      <c r="A560" s="5" t="s">
        <v>1741</v>
      </c>
      <c r="B560" s="5" t="s">
        <v>45</v>
      </c>
      <c r="C560" s="6" t="s">
        <v>1689</v>
      </c>
      <c r="D560" s="5" t="s">
        <v>564</v>
      </c>
      <c r="E560" s="5" t="s">
        <v>154</v>
      </c>
      <c r="F560" s="5" t="s">
        <v>27</v>
      </c>
      <c r="G560" s="5" t="s">
        <v>33</v>
      </c>
      <c r="H560" s="5" t="s">
        <v>35</v>
      </c>
      <c r="I560" s="6">
        <v>1.0</v>
      </c>
      <c r="J560" s="8">
        <v>17.0</v>
      </c>
      <c r="K560" s="5" t="str">
        <f t="shared" si="1"/>
        <v>Hyderabad -&gt; Delhi</v>
      </c>
    </row>
    <row r="561" ht="15.75" customHeight="1">
      <c r="A561" s="5" t="s">
        <v>1743</v>
      </c>
      <c r="B561" s="5" t="s">
        <v>29</v>
      </c>
      <c r="C561" s="6" t="s">
        <v>1744</v>
      </c>
      <c r="D561" s="5" t="s">
        <v>564</v>
      </c>
      <c r="E561" s="5" t="s">
        <v>154</v>
      </c>
      <c r="F561" s="5" t="s">
        <v>27</v>
      </c>
      <c r="G561" s="5" t="s">
        <v>54</v>
      </c>
      <c r="H561" s="5" t="s">
        <v>35</v>
      </c>
      <c r="I561" s="6">
        <v>1.0</v>
      </c>
      <c r="J561" s="8">
        <v>9.58</v>
      </c>
      <c r="K561" s="5" t="str">
        <f t="shared" si="1"/>
        <v>Hyderabad -&gt; Delhi</v>
      </c>
    </row>
    <row r="562" ht="15.75" customHeight="1">
      <c r="A562" s="5" t="s">
        <v>1746</v>
      </c>
      <c r="B562" s="5" t="s">
        <v>20</v>
      </c>
      <c r="C562" s="6" t="s">
        <v>1747</v>
      </c>
      <c r="D562" s="5" t="s">
        <v>590</v>
      </c>
      <c r="E562" s="5" t="s">
        <v>154</v>
      </c>
      <c r="F562" s="5" t="s">
        <v>31</v>
      </c>
      <c r="G562" s="5" t="s">
        <v>35</v>
      </c>
      <c r="H562" s="5" t="s">
        <v>35</v>
      </c>
      <c r="I562" s="6">
        <v>1.0</v>
      </c>
      <c r="J562" s="8">
        <v>24.67</v>
      </c>
      <c r="K562" s="5" t="str">
        <f t="shared" si="1"/>
        <v>Hyderabad -&gt; Mumbai</v>
      </c>
    </row>
    <row r="563" ht="15.75" customHeight="1">
      <c r="A563" s="5" t="s">
        <v>1748</v>
      </c>
      <c r="B563" s="5" t="s">
        <v>45</v>
      </c>
      <c r="C563" s="6" t="s">
        <v>1749</v>
      </c>
      <c r="D563" s="5" t="s">
        <v>590</v>
      </c>
      <c r="E563" s="5" t="s">
        <v>154</v>
      </c>
      <c r="F563" s="5" t="s">
        <v>31</v>
      </c>
      <c r="G563" s="5" t="s">
        <v>54</v>
      </c>
      <c r="H563" s="5" t="s">
        <v>33</v>
      </c>
      <c r="I563" s="6" t="s">
        <v>180</v>
      </c>
      <c r="J563" s="8">
        <v>14.92</v>
      </c>
      <c r="K563" s="5" t="str">
        <f t="shared" si="1"/>
        <v>Hyderabad -&gt; Mumbai</v>
      </c>
    </row>
    <row r="564" ht="15.75" customHeight="1">
      <c r="A564" s="5" t="s">
        <v>1751</v>
      </c>
      <c r="B564" s="5" t="s">
        <v>20</v>
      </c>
      <c r="C564" s="6" t="s">
        <v>1752</v>
      </c>
      <c r="D564" s="5" t="s">
        <v>590</v>
      </c>
      <c r="E564" s="5" t="s">
        <v>154</v>
      </c>
      <c r="F564" s="5" t="s">
        <v>31</v>
      </c>
      <c r="G564" s="5" t="s">
        <v>54</v>
      </c>
      <c r="H564" s="5" t="s">
        <v>35</v>
      </c>
      <c r="I564" s="6">
        <v>1.0</v>
      </c>
      <c r="J564" s="8">
        <v>6.17</v>
      </c>
      <c r="K564" s="5" t="str">
        <f t="shared" si="1"/>
        <v>Hyderabad -&gt; Mumbai</v>
      </c>
    </row>
    <row r="565" ht="15.75" customHeight="1">
      <c r="A565" s="5" t="s">
        <v>1754</v>
      </c>
      <c r="B565" s="5" t="s">
        <v>20</v>
      </c>
      <c r="C565" s="6" t="s">
        <v>1670</v>
      </c>
      <c r="D565" s="5" t="s">
        <v>590</v>
      </c>
      <c r="E565" s="5" t="s">
        <v>154</v>
      </c>
      <c r="F565" s="5" t="s">
        <v>31</v>
      </c>
      <c r="G565" s="5" t="s">
        <v>33</v>
      </c>
      <c r="H565" s="5" t="s">
        <v>47</v>
      </c>
      <c r="I565" s="6">
        <v>1.0</v>
      </c>
      <c r="J565" s="8">
        <v>5.75</v>
      </c>
      <c r="K565" s="5" t="str">
        <f t="shared" si="1"/>
        <v>Hyderabad -&gt; Mumbai</v>
      </c>
    </row>
    <row r="566" ht="15.75" customHeight="1">
      <c r="A566" s="5" t="s">
        <v>1756</v>
      </c>
      <c r="B566" s="5" t="s">
        <v>58</v>
      </c>
      <c r="C566" s="6" t="s">
        <v>1757</v>
      </c>
      <c r="D566" s="5" t="s">
        <v>590</v>
      </c>
      <c r="E566" s="5" t="s">
        <v>154</v>
      </c>
      <c r="F566" s="5" t="s">
        <v>31</v>
      </c>
      <c r="G566" s="5" t="s">
        <v>33</v>
      </c>
      <c r="H566" s="5" t="s">
        <v>47</v>
      </c>
      <c r="I566" s="6">
        <v>1.0</v>
      </c>
      <c r="J566" s="8">
        <v>4.33</v>
      </c>
      <c r="K566" s="5" t="str">
        <f t="shared" si="1"/>
        <v>Hyderabad -&gt; Mumbai</v>
      </c>
    </row>
    <row r="567" ht="15.75" customHeight="1">
      <c r="A567" s="5" t="s">
        <v>1758</v>
      </c>
      <c r="B567" s="5" t="s">
        <v>58</v>
      </c>
      <c r="C567" s="6" t="s">
        <v>1759</v>
      </c>
      <c r="D567" s="5" t="s">
        <v>590</v>
      </c>
      <c r="E567" s="5" t="s">
        <v>154</v>
      </c>
      <c r="F567" s="5" t="s">
        <v>31</v>
      </c>
      <c r="G567" s="5" t="s">
        <v>35</v>
      </c>
      <c r="H567" s="5" t="s">
        <v>33</v>
      </c>
      <c r="I567" s="6">
        <v>1.0</v>
      </c>
      <c r="J567" s="8">
        <v>13.33</v>
      </c>
      <c r="K567" s="5" t="str">
        <f t="shared" si="1"/>
        <v>Hyderabad -&gt; Mumbai</v>
      </c>
    </row>
    <row r="568" ht="15.75" customHeight="1">
      <c r="A568" s="5" t="s">
        <v>1761</v>
      </c>
      <c r="B568" s="5" t="s">
        <v>20</v>
      </c>
      <c r="C568" s="6" t="s">
        <v>1762</v>
      </c>
      <c r="D568" s="5" t="s">
        <v>590</v>
      </c>
      <c r="E568" s="5" t="s">
        <v>154</v>
      </c>
      <c r="F568" s="5" t="s">
        <v>31</v>
      </c>
      <c r="G568" s="5" t="s">
        <v>33</v>
      </c>
      <c r="H568" s="5" t="s">
        <v>35</v>
      </c>
      <c r="I568" s="6">
        <v>1.0</v>
      </c>
      <c r="J568" s="8">
        <v>11.5</v>
      </c>
      <c r="K568" s="5" t="str">
        <f t="shared" si="1"/>
        <v>Hyderabad -&gt; Mumbai</v>
      </c>
    </row>
    <row r="569" ht="15.75" customHeight="1">
      <c r="A569" s="5" t="s">
        <v>1764</v>
      </c>
      <c r="B569" s="5" t="s">
        <v>20</v>
      </c>
      <c r="C569" s="6" t="s">
        <v>1747</v>
      </c>
      <c r="D569" s="5" t="s">
        <v>590</v>
      </c>
      <c r="E569" s="5" t="s">
        <v>154</v>
      </c>
      <c r="F569" s="5" t="s">
        <v>31</v>
      </c>
      <c r="G569" s="5" t="s">
        <v>35</v>
      </c>
      <c r="H569" s="5" t="s">
        <v>47</v>
      </c>
      <c r="I569" s="6">
        <v>1.0</v>
      </c>
      <c r="J569" s="8">
        <v>18.58</v>
      </c>
      <c r="K569" s="5" t="str">
        <f t="shared" si="1"/>
        <v>Hyderabad -&gt; Mumbai</v>
      </c>
    </row>
    <row r="570" ht="15.75" customHeight="1">
      <c r="A570" s="5" t="s">
        <v>1765</v>
      </c>
      <c r="B570" s="5" t="s">
        <v>20</v>
      </c>
      <c r="C570" s="6" t="s">
        <v>1767</v>
      </c>
      <c r="D570" s="5" t="s">
        <v>590</v>
      </c>
      <c r="E570" s="5" t="s">
        <v>154</v>
      </c>
      <c r="F570" s="5" t="s">
        <v>31</v>
      </c>
      <c r="G570" s="5" t="s">
        <v>47</v>
      </c>
      <c r="H570" s="5" t="s">
        <v>54</v>
      </c>
      <c r="I570" s="6">
        <v>1.0</v>
      </c>
      <c r="J570" s="8">
        <v>5.67</v>
      </c>
      <c r="K570" s="5" t="str">
        <f t="shared" si="1"/>
        <v>Hyderabad -&gt; Mumbai</v>
      </c>
    </row>
    <row r="571" ht="15.75" customHeight="1">
      <c r="A571" s="5" t="s">
        <v>1768</v>
      </c>
      <c r="B571" s="5" t="s">
        <v>20</v>
      </c>
      <c r="C571" s="6" t="s">
        <v>1762</v>
      </c>
      <c r="D571" s="5" t="s">
        <v>590</v>
      </c>
      <c r="E571" s="5" t="s">
        <v>154</v>
      </c>
      <c r="F571" s="5" t="s">
        <v>31</v>
      </c>
      <c r="G571" s="5" t="s">
        <v>33</v>
      </c>
      <c r="H571" s="5" t="s">
        <v>54</v>
      </c>
      <c r="I571" s="6">
        <v>1.0</v>
      </c>
      <c r="J571" s="8">
        <v>6.42</v>
      </c>
      <c r="K571" s="5" t="str">
        <f t="shared" si="1"/>
        <v>Hyderabad -&gt; Mumbai</v>
      </c>
    </row>
    <row r="572" ht="15.75" customHeight="1">
      <c r="A572" s="5" t="s">
        <v>1770</v>
      </c>
      <c r="B572" s="5" t="s">
        <v>45</v>
      </c>
      <c r="C572" s="6" t="s">
        <v>1772</v>
      </c>
      <c r="D572" s="5" t="s">
        <v>590</v>
      </c>
      <c r="E572" s="5" t="s">
        <v>154</v>
      </c>
      <c r="F572" s="5" t="s">
        <v>31</v>
      </c>
      <c r="G572" s="5" t="s">
        <v>33</v>
      </c>
      <c r="H572" s="5" t="s">
        <v>35</v>
      </c>
      <c r="I572" s="6">
        <v>1.0</v>
      </c>
      <c r="J572" s="8">
        <v>14.58</v>
      </c>
      <c r="K572" s="5" t="str">
        <f t="shared" si="1"/>
        <v>Hyderabad -&gt; Mumbai</v>
      </c>
    </row>
    <row r="573" ht="15.75" customHeight="1">
      <c r="A573" s="5" t="s">
        <v>1773</v>
      </c>
      <c r="B573" s="5" t="s">
        <v>58</v>
      </c>
      <c r="C573" s="6" t="s">
        <v>1774</v>
      </c>
      <c r="D573" s="5" t="s">
        <v>590</v>
      </c>
      <c r="E573" s="5" t="s">
        <v>154</v>
      </c>
      <c r="F573" s="5" t="s">
        <v>31</v>
      </c>
      <c r="G573" s="5" t="s">
        <v>33</v>
      </c>
      <c r="H573" s="5" t="s">
        <v>35</v>
      </c>
      <c r="I573" s="6">
        <v>1.0</v>
      </c>
      <c r="J573" s="8">
        <v>14.67</v>
      </c>
      <c r="K573" s="5" t="str">
        <f t="shared" si="1"/>
        <v>Hyderabad -&gt; Mumbai</v>
      </c>
    </row>
    <row r="574" ht="15.75" customHeight="1">
      <c r="A574" s="5" t="s">
        <v>1776</v>
      </c>
      <c r="B574" s="5" t="s">
        <v>43</v>
      </c>
      <c r="C574" s="6">
        <v>6.0E-132</v>
      </c>
      <c r="D574" s="5" t="s">
        <v>590</v>
      </c>
      <c r="E574" s="5" t="s">
        <v>154</v>
      </c>
      <c r="F574" s="5" t="s">
        <v>31</v>
      </c>
      <c r="G574" s="5" t="s">
        <v>33</v>
      </c>
      <c r="H574" s="5" t="s">
        <v>47</v>
      </c>
      <c r="I574" s="6">
        <v>0.0</v>
      </c>
      <c r="J574" s="8">
        <v>1.67</v>
      </c>
      <c r="K574" s="5" t="str">
        <f t="shared" si="1"/>
        <v>Hyderabad -&gt; Mumbai</v>
      </c>
    </row>
    <row r="575" ht="15.75" customHeight="1">
      <c r="A575" s="5" t="s">
        <v>1779</v>
      </c>
      <c r="B575" s="5" t="s">
        <v>20</v>
      </c>
      <c r="C575" s="6" t="s">
        <v>1747</v>
      </c>
      <c r="D575" s="5" t="s">
        <v>590</v>
      </c>
      <c r="E575" s="5" t="s">
        <v>154</v>
      </c>
      <c r="F575" s="5" t="s">
        <v>31</v>
      </c>
      <c r="G575" s="5" t="s">
        <v>35</v>
      </c>
      <c r="H575" s="5" t="s">
        <v>35</v>
      </c>
      <c r="I575" s="6">
        <v>1.0</v>
      </c>
      <c r="J575" s="8">
        <v>25.0</v>
      </c>
      <c r="K575" s="5" t="str">
        <f t="shared" si="1"/>
        <v>Hyderabad -&gt; Mumbai</v>
      </c>
    </row>
    <row r="576" ht="15.75" customHeight="1">
      <c r="A576" s="5" t="s">
        <v>1781</v>
      </c>
      <c r="B576" s="5" t="s">
        <v>45</v>
      </c>
      <c r="C576" s="6" t="s">
        <v>1782</v>
      </c>
      <c r="D576" s="5" t="s">
        <v>590</v>
      </c>
      <c r="E576" s="5" t="s">
        <v>154</v>
      </c>
      <c r="F576" s="5" t="s">
        <v>31</v>
      </c>
      <c r="G576" s="5" t="s">
        <v>33</v>
      </c>
      <c r="H576" s="5" t="s">
        <v>33</v>
      </c>
      <c r="I576" s="6">
        <v>1.0</v>
      </c>
      <c r="J576" s="8">
        <v>23.92</v>
      </c>
      <c r="K576" s="5" t="str">
        <f t="shared" si="1"/>
        <v>Hyderabad -&gt; Mumbai</v>
      </c>
    </row>
    <row r="577" ht="15.75" customHeight="1">
      <c r="A577" s="5" t="s">
        <v>1785</v>
      </c>
      <c r="B577" s="5" t="s">
        <v>58</v>
      </c>
      <c r="C577" s="6" t="s">
        <v>1786</v>
      </c>
      <c r="D577" s="5" t="s">
        <v>590</v>
      </c>
      <c r="E577" s="5" t="s">
        <v>154</v>
      </c>
      <c r="F577" s="5" t="s">
        <v>31</v>
      </c>
      <c r="G577" s="5" t="s">
        <v>33</v>
      </c>
      <c r="H577" s="5" t="s">
        <v>35</v>
      </c>
      <c r="I577" s="6">
        <v>1.0</v>
      </c>
      <c r="J577" s="8">
        <v>12.75</v>
      </c>
      <c r="K577" s="5" t="str">
        <f t="shared" si="1"/>
        <v>Hyderabad -&gt; Mumbai</v>
      </c>
    </row>
    <row r="578" ht="15.75" customHeight="1">
      <c r="A578" s="5" t="s">
        <v>1788</v>
      </c>
      <c r="B578" s="5" t="s">
        <v>20</v>
      </c>
      <c r="C578" s="6" t="s">
        <v>1762</v>
      </c>
      <c r="D578" s="5" t="s">
        <v>590</v>
      </c>
      <c r="E578" s="5" t="s">
        <v>154</v>
      </c>
      <c r="F578" s="5" t="s">
        <v>31</v>
      </c>
      <c r="G578" s="5" t="s">
        <v>33</v>
      </c>
      <c r="H578" s="5" t="s">
        <v>35</v>
      </c>
      <c r="I578" s="6">
        <v>1.0</v>
      </c>
      <c r="J578" s="8">
        <v>10.92</v>
      </c>
      <c r="K578" s="5" t="str">
        <f t="shared" si="1"/>
        <v>Hyderabad -&gt; Mumbai</v>
      </c>
    </row>
    <row r="579" ht="15.75" customHeight="1">
      <c r="A579" s="5" t="s">
        <v>1790</v>
      </c>
      <c r="B579" s="5" t="s">
        <v>45</v>
      </c>
      <c r="C579" s="6" t="s">
        <v>1791</v>
      </c>
      <c r="D579" s="5" t="s">
        <v>590</v>
      </c>
      <c r="E579" s="5" t="s">
        <v>154</v>
      </c>
      <c r="F579" s="5" t="s">
        <v>31</v>
      </c>
      <c r="G579" s="5" t="s">
        <v>35</v>
      </c>
      <c r="H579" s="5" t="s">
        <v>54</v>
      </c>
      <c r="I579" s="6">
        <v>1.0</v>
      </c>
      <c r="J579" s="8">
        <v>21.42</v>
      </c>
      <c r="K579" s="5" t="str">
        <f t="shared" si="1"/>
        <v>Hyderabad -&gt; Mumbai</v>
      </c>
    </row>
    <row r="580" ht="15.75" customHeight="1">
      <c r="A580" s="5" t="s">
        <v>1793</v>
      </c>
      <c r="B580" s="5" t="s">
        <v>20</v>
      </c>
      <c r="C580" s="6" t="s">
        <v>1794</v>
      </c>
      <c r="D580" s="5" t="s">
        <v>590</v>
      </c>
      <c r="E580" s="5" t="s">
        <v>154</v>
      </c>
      <c r="F580" s="5" t="s">
        <v>31</v>
      </c>
      <c r="G580" s="5" t="s">
        <v>54</v>
      </c>
      <c r="H580" s="5" t="s">
        <v>33</v>
      </c>
      <c r="I580" s="6">
        <v>1.0</v>
      </c>
      <c r="J580" s="8">
        <v>16.92</v>
      </c>
      <c r="K580" s="5" t="str">
        <f t="shared" si="1"/>
        <v>Hyderabad -&gt; Mumbai</v>
      </c>
    </row>
    <row r="581" ht="15.75" customHeight="1">
      <c r="A581" s="5" t="s">
        <v>1796</v>
      </c>
      <c r="B581" s="5" t="s">
        <v>20</v>
      </c>
      <c r="C581" s="6" t="s">
        <v>1752</v>
      </c>
      <c r="D581" s="5" t="s">
        <v>590</v>
      </c>
      <c r="E581" s="5" t="s">
        <v>154</v>
      </c>
      <c r="F581" s="5" t="s">
        <v>31</v>
      </c>
      <c r="G581" s="5" t="s">
        <v>54</v>
      </c>
      <c r="H581" s="5" t="s">
        <v>33</v>
      </c>
      <c r="I581" s="6" t="s">
        <v>66</v>
      </c>
      <c r="J581" s="8">
        <v>14.25</v>
      </c>
      <c r="K581" s="5" t="str">
        <f t="shared" si="1"/>
        <v>Hyderabad -&gt; Mumbai</v>
      </c>
    </row>
    <row r="582" ht="15.75" customHeight="1">
      <c r="A582" s="5" t="s">
        <v>1799</v>
      </c>
      <c r="B582" s="5" t="s">
        <v>20</v>
      </c>
      <c r="C582" s="6" t="s">
        <v>1767</v>
      </c>
      <c r="D582" s="5" t="s">
        <v>590</v>
      </c>
      <c r="E582" s="5" t="s">
        <v>154</v>
      </c>
      <c r="F582" s="5" t="s">
        <v>31</v>
      </c>
      <c r="G582" s="5" t="s">
        <v>47</v>
      </c>
      <c r="H582" s="5" t="s">
        <v>47</v>
      </c>
      <c r="I582" s="6">
        <v>1.0</v>
      </c>
      <c r="J582" s="8">
        <v>24.58</v>
      </c>
      <c r="K582" s="5" t="str">
        <f t="shared" si="1"/>
        <v>Hyderabad -&gt; Mumbai</v>
      </c>
    </row>
    <row r="583" ht="15.75" customHeight="1">
      <c r="A583" s="5" t="s">
        <v>1801</v>
      </c>
      <c r="B583" s="5" t="s">
        <v>43</v>
      </c>
      <c r="C583" s="6" t="s">
        <v>1802</v>
      </c>
      <c r="D583" s="5" t="s">
        <v>590</v>
      </c>
      <c r="E583" s="5" t="s">
        <v>154</v>
      </c>
      <c r="F583" s="5" t="s">
        <v>31</v>
      </c>
      <c r="G583" s="5" t="s">
        <v>47</v>
      </c>
      <c r="H583" s="5" t="s">
        <v>54</v>
      </c>
      <c r="I583" s="6">
        <v>1.0</v>
      </c>
      <c r="J583" s="8">
        <v>5.25</v>
      </c>
      <c r="K583" s="5" t="str">
        <f t="shared" si="1"/>
        <v>Hyderabad -&gt; Mumbai</v>
      </c>
    </row>
    <row r="584" ht="15.75" customHeight="1">
      <c r="A584" s="5" t="s">
        <v>1804</v>
      </c>
      <c r="B584" s="5" t="s">
        <v>20</v>
      </c>
      <c r="C584" s="6" t="s">
        <v>1670</v>
      </c>
      <c r="D584" s="5" t="s">
        <v>590</v>
      </c>
      <c r="E584" s="5" t="s">
        <v>154</v>
      </c>
      <c r="F584" s="5" t="s">
        <v>31</v>
      </c>
      <c r="G584" s="5" t="s">
        <v>33</v>
      </c>
      <c r="H584" s="5" t="s">
        <v>35</v>
      </c>
      <c r="I584" s="6">
        <v>1.0</v>
      </c>
      <c r="J584" s="8">
        <v>15.75</v>
      </c>
      <c r="K584" s="5" t="str">
        <f t="shared" si="1"/>
        <v>Hyderabad -&gt; Mumbai</v>
      </c>
    </row>
    <row r="585" ht="15.75" customHeight="1">
      <c r="A585" s="5" t="s">
        <v>1807</v>
      </c>
      <c r="B585" s="5" t="s">
        <v>45</v>
      </c>
      <c r="C585" s="6" t="s">
        <v>1711</v>
      </c>
      <c r="D585" s="5" t="s">
        <v>590</v>
      </c>
      <c r="E585" s="5" t="s">
        <v>154</v>
      </c>
      <c r="F585" s="5" t="s">
        <v>31</v>
      </c>
      <c r="G585" s="5" t="s">
        <v>35</v>
      </c>
      <c r="H585" s="5" t="s">
        <v>33</v>
      </c>
      <c r="I585" s="6">
        <v>1.0</v>
      </c>
      <c r="J585" s="8">
        <v>13.83</v>
      </c>
      <c r="K585" s="5" t="str">
        <f t="shared" si="1"/>
        <v>Hyderabad -&gt; Mumbai</v>
      </c>
    </row>
    <row r="586" ht="15.75" customHeight="1">
      <c r="A586" s="5" t="s">
        <v>1809</v>
      </c>
      <c r="B586" s="5" t="s">
        <v>20</v>
      </c>
      <c r="C586" s="6" t="s">
        <v>1670</v>
      </c>
      <c r="D586" s="5" t="s">
        <v>590</v>
      </c>
      <c r="E586" s="5" t="s">
        <v>154</v>
      </c>
      <c r="F586" s="5" t="s">
        <v>31</v>
      </c>
      <c r="G586" s="5" t="s">
        <v>33</v>
      </c>
      <c r="H586" s="5" t="s">
        <v>54</v>
      </c>
      <c r="I586" s="6">
        <v>1.0</v>
      </c>
      <c r="J586" s="8">
        <v>11.5</v>
      </c>
      <c r="K586" s="5" t="str">
        <f t="shared" si="1"/>
        <v>Hyderabad -&gt; Mumbai</v>
      </c>
    </row>
    <row r="587" ht="15.75" customHeight="1">
      <c r="A587" s="5" t="s">
        <v>1812</v>
      </c>
      <c r="B587" s="5" t="s">
        <v>45</v>
      </c>
      <c r="C587" s="6" t="s">
        <v>1734</v>
      </c>
      <c r="D587" s="5" t="s">
        <v>590</v>
      </c>
      <c r="E587" s="5" t="s">
        <v>154</v>
      </c>
      <c r="F587" s="5" t="s">
        <v>31</v>
      </c>
      <c r="G587" s="5" t="s">
        <v>54</v>
      </c>
      <c r="H587" s="5" t="s">
        <v>33</v>
      </c>
      <c r="I587" s="6" t="s">
        <v>180</v>
      </c>
      <c r="J587" s="8">
        <v>16.42</v>
      </c>
      <c r="K587" s="5" t="str">
        <f t="shared" si="1"/>
        <v>Hyderabad -&gt; Mumbai</v>
      </c>
    </row>
    <row r="588" ht="15.75" customHeight="1">
      <c r="A588" s="5" t="s">
        <v>1815</v>
      </c>
      <c r="B588" s="5" t="s">
        <v>29</v>
      </c>
      <c r="C588" s="6" t="s">
        <v>1816</v>
      </c>
      <c r="D588" s="5" t="s">
        <v>590</v>
      </c>
      <c r="E588" s="5" t="s">
        <v>154</v>
      </c>
      <c r="F588" s="5" t="s">
        <v>31</v>
      </c>
      <c r="G588" s="5" t="s">
        <v>47</v>
      </c>
      <c r="H588" s="5" t="s">
        <v>35</v>
      </c>
      <c r="I588" s="6">
        <v>1.0</v>
      </c>
      <c r="J588" s="8">
        <v>6.25</v>
      </c>
      <c r="K588" s="5" t="str">
        <f t="shared" si="1"/>
        <v>Hyderabad -&gt; Mumbai</v>
      </c>
    </row>
    <row r="589" ht="15.75" customHeight="1">
      <c r="A589" s="5" t="s">
        <v>1818</v>
      </c>
      <c r="B589" s="5" t="s">
        <v>45</v>
      </c>
      <c r="C589" s="6" t="s">
        <v>1819</v>
      </c>
      <c r="D589" s="5" t="s">
        <v>590</v>
      </c>
      <c r="E589" s="5" t="s">
        <v>154</v>
      </c>
      <c r="F589" s="5" t="s">
        <v>31</v>
      </c>
      <c r="G589" s="5" t="s">
        <v>33</v>
      </c>
      <c r="H589" s="5" t="s">
        <v>35</v>
      </c>
      <c r="I589" s="6" t="s">
        <v>180</v>
      </c>
      <c r="J589" s="8">
        <v>34.5</v>
      </c>
      <c r="K589" s="5" t="str">
        <f t="shared" si="1"/>
        <v>Hyderabad -&gt; Mumbai</v>
      </c>
    </row>
    <row r="590" ht="15.75" customHeight="1">
      <c r="A590" s="5" t="s">
        <v>1821</v>
      </c>
      <c r="B590" s="5" t="s">
        <v>20</v>
      </c>
      <c r="C590" s="6" t="s">
        <v>1651</v>
      </c>
      <c r="D590" s="5" t="s">
        <v>590</v>
      </c>
      <c r="E590" s="5" t="s">
        <v>154</v>
      </c>
      <c r="F590" s="5" t="s">
        <v>31</v>
      </c>
      <c r="G590" s="5" t="s">
        <v>33</v>
      </c>
      <c r="H590" s="5" t="s">
        <v>33</v>
      </c>
      <c r="I590" s="6">
        <v>0.0</v>
      </c>
      <c r="J590" s="8">
        <v>1.5</v>
      </c>
      <c r="K590" s="5" t="str">
        <f t="shared" si="1"/>
        <v>Hyderabad -&gt; Mumbai</v>
      </c>
    </row>
    <row r="591" ht="15.75" customHeight="1">
      <c r="A591" s="5" t="s">
        <v>1823</v>
      </c>
      <c r="B591" s="5" t="s">
        <v>43</v>
      </c>
      <c r="C591" s="6" t="s">
        <v>1802</v>
      </c>
      <c r="D591" s="5" t="s">
        <v>590</v>
      </c>
      <c r="E591" s="5" t="s">
        <v>154</v>
      </c>
      <c r="F591" s="5" t="s">
        <v>31</v>
      </c>
      <c r="G591" s="5" t="s">
        <v>47</v>
      </c>
      <c r="H591" s="5" t="s">
        <v>54</v>
      </c>
      <c r="I591" s="6">
        <v>1.0</v>
      </c>
      <c r="J591" s="8">
        <v>5.0</v>
      </c>
      <c r="K591" s="5" t="str">
        <f t="shared" si="1"/>
        <v>Hyderabad -&gt; Mumbai</v>
      </c>
    </row>
    <row r="592" ht="15.75" customHeight="1">
      <c r="A592" s="5" t="s">
        <v>1825</v>
      </c>
      <c r="B592" s="5" t="s">
        <v>58</v>
      </c>
      <c r="C592" s="6" t="s">
        <v>1725</v>
      </c>
      <c r="D592" s="5" t="s">
        <v>590</v>
      </c>
      <c r="E592" s="5" t="s">
        <v>154</v>
      </c>
      <c r="F592" s="5" t="s">
        <v>31</v>
      </c>
      <c r="G592" s="5" t="s">
        <v>47</v>
      </c>
      <c r="H592" s="5" t="s">
        <v>35</v>
      </c>
      <c r="I592" s="6">
        <v>1.0</v>
      </c>
      <c r="J592" s="8">
        <v>5.92</v>
      </c>
      <c r="K592" s="5" t="str">
        <f t="shared" si="1"/>
        <v>Hyderabad -&gt; Mumbai</v>
      </c>
    </row>
    <row r="593" ht="15.75" customHeight="1">
      <c r="A593" s="5" t="s">
        <v>1828</v>
      </c>
      <c r="B593" s="5" t="s">
        <v>45</v>
      </c>
      <c r="C593" s="6" t="s">
        <v>1819</v>
      </c>
      <c r="D593" s="5" t="s">
        <v>590</v>
      </c>
      <c r="E593" s="5" t="s">
        <v>154</v>
      </c>
      <c r="F593" s="5" t="s">
        <v>31</v>
      </c>
      <c r="G593" s="5" t="s">
        <v>33</v>
      </c>
      <c r="H593" s="5" t="s">
        <v>33</v>
      </c>
      <c r="I593" s="6" t="s">
        <v>180</v>
      </c>
      <c r="J593" s="8">
        <v>23.42</v>
      </c>
      <c r="K593" s="5" t="str">
        <f t="shared" si="1"/>
        <v>Hyderabad -&gt; Mumbai</v>
      </c>
    </row>
    <row r="594" ht="15.75" customHeight="1">
      <c r="A594" s="5" t="s">
        <v>1830</v>
      </c>
      <c r="B594" s="5" t="s">
        <v>58</v>
      </c>
      <c r="C594" s="6" t="s">
        <v>1774</v>
      </c>
      <c r="D594" s="5" t="s">
        <v>590</v>
      </c>
      <c r="E594" s="5" t="s">
        <v>154</v>
      </c>
      <c r="F594" s="5" t="s">
        <v>31</v>
      </c>
      <c r="G594" s="5" t="s">
        <v>33</v>
      </c>
      <c r="H594" s="5" t="s">
        <v>54</v>
      </c>
      <c r="I594" s="6">
        <v>1.0</v>
      </c>
      <c r="J594" s="8">
        <v>6.25</v>
      </c>
      <c r="K594" s="5" t="str">
        <f t="shared" si="1"/>
        <v>Hyderabad -&gt; Mumbai</v>
      </c>
    </row>
    <row r="595" ht="15.75" customHeight="1">
      <c r="A595" s="5" t="s">
        <v>1831</v>
      </c>
      <c r="B595" s="5" t="s">
        <v>45</v>
      </c>
      <c r="C595" s="6" t="s">
        <v>1791</v>
      </c>
      <c r="D595" s="5" t="s">
        <v>590</v>
      </c>
      <c r="E595" s="5" t="s">
        <v>154</v>
      </c>
      <c r="F595" s="5" t="s">
        <v>31</v>
      </c>
      <c r="G595" s="5" t="s">
        <v>35</v>
      </c>
      <c r="H595" s="5" t="s">
        <v>33</v>
      </c>
      <c r="I595" s="6">
        <v>1.0</v>
      </c>
      <c r="J595" s="8">
        <v>14.42</v>
      </c>
      <c r="K595" s="5" t="str">
        <f t="shared" si="1"/>
        <v>Hyderabad -&gt; Mumbai</v>
      </c>
    </row>
    <row r="596" ht="15.75" customHeight="1">
      <c r="A596" s="5" t="s">
        <v>1833</v>
      </c>
      <c r="B596" s="5" t="s">
        <v>45</v>
      </c>
      <c r="C596" s="6" t="s">
        <v>1819</v>
      </c>
      <c r="D596" s="5" t="s">
        <v>590</v>
      </c>
      <c r="E596" s="5" t="s">
        <v>154</v>
      </c>
      <c r="F596" s="5" t="s">
        <v>31</v>
      </c>
      <c r="G596" s="5" t="s">
        <v>33</v>
      </c>
      <c r="H596" s="5" t="s">
        <v>33</v>
      </c>
      <c r="I596" s="6">
        <v>1.0</v>
      </c>
      <c r="J596" s="8">
        <v>23.42</v>
      </c>
      <c r="K596" s="5" t="str">
        <f t="shared" si="1"/>
        <v>Hyderabad -&gt; Mumbai</v>
      </c>
    </row>
    <row r="597" ht="15.75" customHeight="1">
      <c r="A597" s="5" t="s">
        <v>1835</v>
      </c>
      <c r="B597" s="5" t="s">
        <v>45</v>
      </c>
      <c r="C597" s="6" t="s">
        <v>1772</v>
      </c>
      <c r="D597" s="5" t="s">
        <v>590</v>
      </c>
      <c r="E597" s="5" t="s">
        <v>154</v>
      </c>
      <c r="F597" s="5" t="s">
        <v>31</v>
      </c>
      <c r="G597" s="5" t="s">
        <v>33</v>
      </c>
      <c r="H597" s="5" t="s">
        <v>33</v>
      </c>
      <c r="I597" s="6">
        <v>1.0</v>
      </c>
      <c r="J597" s="8">
        <v>26.58</v>
      </c>
      <c r="K597" s="5" t="str">
        <f t="shared" si="1"/>
        <v>Hyderabad -&gt; Mumbai</v>
      </c>
    </row>
    <row r="598" ht="15.75" customHeight="1">
      <c r="A598" s="5" t="s">
        <v>1837</v>
      </c>
      <c r="B598" s="5" t="s">
        <v>58</v>
      </c>
      <c r="C598" s="6" t="s">
        <v>1838</v>
      </c>
      <c r="D598" s="5" t="s">
        <v>590</v>
      </c>
      <c r="E598" s="5" t="s">
        <v>154</v>
      </c>
      <c r="F598" s="5" t="s">
        <v>31</v>
      </c>
      <c r="G598" s="5" t="s">
        <v>47</v>
      </c>
      <c r="H598" s="5" t="s">
        <v>35</v>
      </c>
      <c r="I598" s="6">
        <v>1.0</v>
      </c>
      <c r="J598" s="8">
        <v>5.67</v>
      </c>
      <c r="K598" s="5" t="str">
        <f t="shared" si="1"/>
        <v>Hyderabad -&gt; Mumbai</v>
      </c>
    </row>
    <row r="599" ht="15.75" customHeight="1">
      <c r="A599" s="5" t="s">
        <v>1841</v>
      </c>
      <c r="B599" s="5" t="s">
        <v>20</v>
      </c>
      <c r="C599" s="6" t="s">
        <v>1842</v>
      </c>
      <c r="D599" s="5" t="s">
        <v>590</v>
      </c>
      <c r="E599" s="5" t="s">
        <v>154</v>
      </c>
      <c r="F599" s="5" t="s">
        <v>31</v>
      </c>
      <c r="G599" s="5" t="s">
        <v>33</v>
      </c>
      <c r="H599" s="5" t="s">
        <v>33</v>
      </c>
      <c r="I599" s="6">
        <v>1.0</v>
      </c>
      <c r="J599" s="8">
        <v>26.08</v>
      </c>
      <c r="K599" s="5" t="str">
        <f t="shared" si="1"/>
        <v>Hyderabad -&gt; Mumbai</v>
      </c>
    </row>
    <row r="600" ht="15.75" customHeight="1">
      <c r="A600" s="5" t="s">
        <v>1844</v>
      </c>
      <c r="B600" s="5" t="s">
        <v>45</v>
      </c>
      <c r="C600" s="6" t="s">
        <v>1648</v>
      </c>
      <c r="D600" s="5" t="s">
        <v>590</v>
      </c>
      <c r="E600" s="5" t="s">
        <v>154</v>
      </c>
      <c r="F600" s="5" t="s">
        <v>31</v>
      </c>
      <c r="G600" s="5" t="s">
        <v>33</v>
      </c>
      <c r="H600" s="5" t="s">
        <v>33</v>
      </c>
      <c r="I600" s="6">
        <v>1.0</v>
      </c>
      <c r="J600" s="8">
        <v>23.25</v>
      </c>
      <c r="K600" s="5" t="str">
        <f t="shared" si="1"/>
        <v>Hyderabad -&gt; Mumbai</v>
      </c>
    </row>
    <row r="601" ht="15.75" customHeight="1">
      <c r="A601" s="5" t="s">
        <v>1846</v>
      </c>
      <c r="B601" s="5" t="s">
        <v>45</v>
      </c>
      <c r="C601" s="6" t="s">
        <v>1819</v>
      </c>
      <c r="D601" s="5" t="s">
        <v>590</v>
      </c>
      <c r="E601" s="5" t="s">
        <v>154</v>
      </c>
      <c r="F601" s="5" t="s">
        <v>31</v>
      </c>
      <c r="G601" s="5" t="s">
        <v>33</v>
      </c>
      <c r="H601" s="5" t="s">
        <v>54</v>
      </c>
      <c r="I601" s="6">
        <v>1.0</v>
      </c>
      <c r="J601" s="8">
        <v>31.25</v>
      </c>
      <c r="K601" s="5" t="str">
        <f t="shared" si="1"/>
        <v>Hyderabad -&gt; Mumbai</v>
      </c>
    </row>
    <row r="602" ht="15.75" customHeight="1">
      <c r="A602" s="5" t="s">
        <v>1848</v>
      </c>
      <c r="B602" s="5" t="s">
        <v>20</v>
      </c>
      <c r="C602" s="6" t="s">
        <v>1762</v>
      </c>
      <c r="D602" s="5" t="s">
        <v>616</v>
      </c>
      <c r="E602" s="5" t="s">
        <v>154</v>
      </c>
      <c r="F602" s="5" t="s">
        <v>109</v>
      </c>
      <c r="G602" s="5" t="s">
        <v>33</v>
      </c>
      <c r="H602" s="5" t="s">
        <v>54</v>
      </c>
      <c r="I602" s="6" t="s">
        <v>180</v>
      </c>
      <c r="J602" s="8">
        <v>7.0</v>
      </c>
      <c r="K602" s="5" t="str">
        <f t="shared" si="1"/>
        <v>Hyderabad -&gt; Bengaluru</v>
      </c>
    </row>
    <row r="603" ht="15.75" customHeight="1">
      <c r="A603" s="5" t="s">
        <v>1850</v>
      </c>
      <c r="B603" s="5" t="s">
        <v>45</v>
      </c>
      <c r="C603" s="6" t="s">
        <v>1689</v>
      </c>
      <c r="D603" s="5" t="s">
        <v>616</v>
      </c>
      <c r="E603" s="5" t="s">
        <v>154</v>
      </c>
      <c r="F603" s="5" t="s">
        <v>109</v>
      </c>
      <c r="G603" s="5" t="s">
        <v>33</v>
      </c>
      <c r="H603" s="5" t="s">
        <v>35</v>
      </c>
      <c r="I603" s="6">
        <v>1.0</v>
      </c>
      <c r="J603" s="8">
        <v>14.83</v>
      </c>
      <c r="K603" s="5" t="str">
        <f t="shared" si="1"/>
        <v>Hyderabad -&gt; Bengaluru</v>
      </c>
    </row>
    <row r="604" ht="15.75" customHeight="1">
      <c r="A604" s="5" t="s">
        <v>1853</v>
      </c>
      <c r="B604" s="5" t="s">
        <v>20</v>
      </c>
      <c r="C604" s="6" t="s">
        <v>1663</v>
      </c>
      <c r="D604" s="5" t="s">
        <v>616</v>
      </c>
      <c r="E604" s="5" t="s">
        <v>154</v>
      </c>
      <c r="F604" s="5" t="s">
        <v>109</v>
      </c>
      <c r="G604" s="5" t="s">
        <v>35</v>
      </c>
      <c r="H604" s="5" t="s">
        <v>47</v>
      </c>
      <c r="I604" s="6">
        <v>1.0</v>
      </c>
      <c r="J604" s="8">
        <v>18.42</v>
      </c>
      <c r="K604" s="5" t="str">
        <f t="shared" si="1"/>
        <v>Hyderabad -&gt; Bengaluru</v>
      </c>
    </row>
    <row r="605" ht="15.75" customHeight="1">
      <c r="A605" s="5" t="s">
        <v>1856</v>
      </c>
      <c r="B605" s="5" t="s">
        <v>20</v>
      </c>
      <c r="C605" s="6" t="s">
        <v>1752</v>
      </c>
      <c r="D605" s="5" t="s">
        <v>616</v>
      </c>
      <c r="E605" s="5" t="s">
        <v>154</v>
      </c>
      <c r="F605" s="5" t="s">
        <v>109</v>
      </c>
      <c r="G605" s="5" t="s">
        <v>54</v>
      </c>
      <c r="H605" s="5" t="s">
        <v>35</v>
      </c>
      <c r="I605" s="6">
        <v>1.0</v>
      </c>
      <c r="J605" s="8">
        <v>26.75</v>
      </c>
      <c r="K605" s="5" t="str">
        <f t="shared" si="1"/>
        <v>Hyderabad -&gt; Bengaluru</v>
      </c>
    </row>
    <row r="606" ht="15.75" customHeight="1">
      <c r="A606" s="5" t="s">
        <v>1858</v>
      </c>
      <c r="B606" s="5" t="s">
        <v>20</v>
      </c>
      <c r="C606" s="6" t="s">
        <v>1651</v>
      </c>
      <c r="D606" s="5" t="s">
        <v>616</v>
      </c>
      <c r="E606" s="5" t="s">
        <v>154</v>
      </c>
      <c r="F606" s="5" t="s">
        <v>109</v>
      </c>
      <c r="G606" s="5" t="s">
        <v>33</v>
      </c>
      <c r="H606" s="5" t="s">
        <v>35</v>
      </c>
      <c r="I606" s="6">
        <v>1.0</v>
      </c>
      <c r="J606" s="8">
        <v>14.33</v>
      </c>
      <c r="K606" s="5" t="str">
        <f t="shared" si="1"/>
        <v>Hyderabad -&gt; Bengaluru</v>
      </c>
    </row>
    <row r="607" ht="15.75" customHeight="1">
      <c r="A607" s="5" t="s">
        <v>1861</v>
      </c>
      <c r="B607" s="5" t="s">
        <v>29</v>
      </c>
      <c r="C607" s="6" t="s">
        <v>1862</v>
      </c>
      <c r="D607" s="5" t="s">
        <v>616</v>
      </c>
      <c r="E607" s="5" t="s">
        <v>154</v>
      </c>
      <c r="F607" s="5" t="s">
        <v>109</v>
      </c>
      <c r="G607" s="5" t="s">
        <v>54</v>
      </c>
      <c r="H607" s="5" t="s">
        <v>33</v>
      </c>
      <c r="I607" s="6">
        <v>1.0</v>
      </c>
      <c r="J607" s="8">
        <v>14.17</v>
      </c>
      <c r="K607" s="5" t="str">
        <f t="shared" si="1"/>
        <v>Hyderabad -&gt; Bengaluru</v>
      </c>
    </row>
    <row r="608" ht="15.75" customHeight="1">
      <c r="A608" s="5" t="s">
        <v>1864</v>
      </c>
      <c r="B608" s="5" t="s">
        <v>58</v>
      </c>
      <c r="C608" s="6" t="s">
        <v>1659</v>
      </c>
      <c r="D608" s="5" t="s">
        <v>616</v>
      </c>
      <c r="E608" s="5" t="s">
        <v>154</v>
      </c>
      <c r="F608" s="5" t="s">
        <v>109</v>
      </c>
      <c r="G608" s="5" t="s">
        <v>33</v>
      </c>
      <c r="H608" s="5" t="s">
        <v>54</v>
      </c>
      <c r="I608" s="6">
        <v>1.0</v>
      </c>
      <c r="J608" s="8">
        <v>7.17</v>
      </c>
      <c r="K608" s="5" t="str">
        <f t="shared" si="1"/>
        <v>Hyderabad -&gt; Bengaluru</v>
      </c>
    </row>
    <row r="609" ht="15.75" customHeight="1">
      <c r="A609" s="5" t="s">
        <v>1866</v>
      </c>
      <c r="B609" s="5" t="s">
        <v>45</v>
      </c>
      <c r="C609" s="6" t="s">
        <v>1689</v>
      </c>
      <c r="D609" s="5" t="s">
        <v>616</v>
      </c>
      <c r="E609" s="5" t="s">
        <v>154</v>
      </c>
      <c r="F609" s="5" t="s">
        <v>109</v>
      </c>
      <c r="G609" s="5" t="s">
        <v>33</v>
      </c>
      <c r="H609" s="5" t="s">
        <v>35</v>
      </c>
      <c r="I609" s="6">
        <v>1.0</v>
      </c>
      <c r="J609" s="8">
        <v>17.33</v>
      </c>
      <c r="K609" s="5" t="str">
        <f t="shared" si="1"/>
        <v>Hyderabad -&gt; Bengaluru</v>
      </c>
    </row>
    <row r="610" ht="15.75" customHeight="1">
      <c r="A610" s="5" t="s">
        <v>1869</v>
      </c>
      <c r="B610" s="5" t="s">
        <v>20</v>
      </c>
      <c r="C610" s="6" t="s">
        <v>1762</v>
      </c>
      <c r="D610" s="5" t="s">
        <v>616</v>
      </c>
      <c r="E610" s="5" t="s">
        <v>154</v>
      </c>
      <c r="F610" s="5" t="s">
        <v>109</v>
      </c>
      <c r="G610" s="5" t="s">
        <v>33</v>
      </c>
      <c r="H610" s="5" t="s">
        <v>35</v>
      </c>
      <c r="I610" s="6">
        <v>1.0</v>
      </c>
      <c r="J610" s="8">
        <v>13.25</v>
      </c>
      <c r="K610" s="5" t="str">
        <f t="shared" si="1"/>
        <v>Hyderabad -&gt; Bengaluru</v>
      </c>
    </row>
    <row r="611" ht="15.75" customHeight="1">
      <c r="A611" s="5" t="s">
        <v>1872</v>
      </c>
      <c r="B611" s="5" t="s">
        <v>45</v>
      </c>
      <c r="C611" s="6" t="s">
        <v>1873</v>
      </c>
      <c r="D611" s="5" t="s">
        <v>616</v>
      </c>
      <c r="E611" s="5" t="s">
        <v>154</v>
      </c>
      <c r="F611" s="5" t="s">
        <v>109</v>
      </c>
      <c r="G611" s="5" t="s">
        <v>35</v>
      </c>
      <c r="H611" s="5" t="s">
        <v>35</v>
      </c>
      <c r="I611" s="6" t="s">
        <v>180</v>
      </c>
      <c r="J611" s="8">
        <v>25.92</v>
      </c>
      <c r="K611" s="5" t="str">
        <f t="shared" si="1"/>
        <v>Hyderabad -&gt; Bengaluru</v>
      </c>
    </row>
    <row r="612" ht="15.75" customHeight="1">
      <c r="A612" s="5" t="s">
        <v>1875</v>
      </c>
      <c r="B612" s="5" t="s">
        <v>20</v>
      </c>
      <c r="C612" s="6" t="s">
        <v>1651</v>
      </c>
      <c r="D612" s="5" t="s">
        <v>616</v>
      </c>
      <c r="E612" s="5" t="s">
        <v>154</v>
      </c>
      <c r="F612" s="5" t="s">
        <v>109</v>
      </c>
      <c r="G612" s="5" t="s">
        <v>33</v>
      </c>
      <c r="H612" s="5" t="s">
        <v>54</v>
      </c>
      <c r="I612" s="6">
        <v>1.0</v>
      </c>
      <c r="J612" s="8">
        <v>10.75</v>
      </c>
      <c r="K612" s="5" t="str">
        <f t="shared" si="1"/>
        <v>Hyderabad -&gt; Bengaluru</v>
      </c>
    </row>
    <row r="613" ht="15.75" customHeight="1">
      <c r="A613" s="5" t="s">
        <v>1877</v>
      </c>
      <c r="B613" s="5" t="s">
        <v>43</v>
      </c>
      <c r="C613" s="6" t="s">
        <v>1878</v>
      </c>
      <c r="D613" s="5" t="s">
        <v>616</v>
      </c>
      <c r="E613" s="5" t="s">
        <v>154</v>
      </c>
      <c r="F613" s="5" t="s">
        <v>109</v>
      </c>
      <c r="G613" s="5" t="s">
        <v>33</v>
      </c>
      <c r="H613" s="5" t="s">
        <v>54</v>
      </c>
      <c r="I613" s="6">
        <v>1.0</v>
      </c>
      <c r="J613" s="8">
        <v>7.83</v>
      </c>
      <c r="K613" s="5" t="str">
        <f t="shared" si="1"/>
        <v>Hyderabad -&gt; Bengaluru</v>
      </c>
    </row>
    <row r="614" ht="15.75" customHeight="1">
      <c r="A614" s="5" t="s">
        <v>1881</v>
      </c>
      <c r="B614" s="5" t="s">
        <v>43</v>
      </c>
      <c r="C614" s="6">
        <v>6.0E-151</v>
      </c>
      <c r="D614" s="5" t="s">
        <v>616</v>
      </c>
      <c r="E614" s="5" t="s">
        <v>154</v>
      </c>
      <c r="F614" s="5" t="s">
        <v>109</v>
      </c>
      <c r="G614" s="5" t="s">
        <v>33</v>
      </c>
      <c r="H614" s="5" t="s">
        <v>33</v>
      </c>
      <c r="I614" s="6">
        <v>0.0</v>
      </c>
      <c r="J614" s="8">
        <v>1.25</v>
      </c>
      <c r="K614" s="5" t="str">
        <f t="shared" si="1"/>
        <v>Hyderabad -&gt; Bengaluru</v>
      </c>
    </row>
    <row r="615" ht="15.75" customHeight="1">
      <c r="A615" s="5" t="s">
        <v>1883</v>
      </c>
      <c r="B615" s="5" t="s">
        <v>43</v>
      </c>
      <c r="C615" s="6" t="s">
        <v>1885</v>
      </c>
      <c r="D615" s="5" t="s">
        <v>616</v>
      </c>
      <c r="E615" s="5" t="s">
        <v>154</v>
      </c>
      <c r="F615" s="5" t="s">
        <v>109</v>
      </c>
      <c r="G615" s="5" t="s">
        <v>47</v>
      </c>
      <c r="H615" s="5" t="s">
        <v>35</v>
      </c>
      <c r="I615" s="6">
        <v>1.0</v>
      </c>
      <c r="J615" s="8">
        <v>0.0</v>
      </c>
      <c r="K615" s="5" t="str">
        <f t="shared" si="1"/>
        <v>Hyderabad -&gt; Bengaluru</v>
      </c>
    </row>
    <row r="616" ht="15.75" customHeight="1">
      <c r="A616" s="5" t="s">
        <v>1887</v>
      </c>
      <c r="B616" s="5" t="s">
        <v>45</v>
      </c>
      <c r="C616" s="6" t="s">
        <v>1791</v>
      </c>
      <c r="D616" s="5" t="s">
        <v>616</v>
      </c>
      <c r="E616" s="5" t="s">
        <v>154</v>
      </c>
      <c r="F616" s="5" t="s">
        <v>109</v>
      </c>
      <c r="G616" s="5" t="s">
        <v>35</v>
      </c>
      <c r="H616" s="5" t="s">
        <v>35</v>
      </c>
      <c r="I616" s="6" t="s">
        <v>180</v>
      </c>
      <c r="J616" s="8">
        <v>23.25</v>
      </c>
      <c r="K616" s="5" t="str">
        <f t="shared" si="1"/>
        <v>Hyderabad -&gt; Bengaluru</v>
      </c>
    </row>
    <row r="617" ht="15.75" customHeight="1">
      <c r="A617" s="5" t="s">
        <v>1890</v>
      </c>
      <c r="B617" s="5" t="s">
        <v>45</v>
      </c>
      <c r="C617" s="6" t="s">
        <v>595</v>
      </c>
      <c r="D617" s="5" t="s">
        <v>616</v>
      </c>
      <c r="E617" s="5" t="s">
        <v>154</v>
      </c>
      <c r="F617" s="5" t="s">
        <v>109</v>
      </c>
      <c r="G617" s="5" t="s">
        <v>33</v>
      </c>
      <c r="H617" s="5" t="s">
        <v>54</v>
      </c>
      <c r="I617" s="6" t="s">
        <v>180</v>
      </c>
      <c r="J617" s="8">
        <v>33.83</v>
      </c>
      <c r="K617" s="5" t="str">
        <f t="shared" si="1"/>
        <v>Hyderabad -&gt; Bengaluru</v>
      </c>
    </row>
    <row r="618" ht="15.75" customHeight="1">
      <c r="A618" s="5" t="s">
        <v>1892</v>
      </c>
      <c r="B618" s="5" t="s">
        <v>20</v>
      </c>
      <c r="C618" s="6" t="s">
        <v>1842</v>
      </c>
      <c r="D618" s="5" t="s">
        <v>616</v>
      </c>
      <c r="E618" s="5" t="s">
        <v>154</v>
      </c>
      <c r="F618" s="5" t="s">
        <v>109</v>
      </c>
      <c r="G618" s="5" t="s">
        <v>33</v>
      </c>
      <c r="H618" s="5" t="s">
        <v>33</v>
      </c>
      <c r="I618" s="6">
        <v>0.0</v>
      </c>
      <c r="J618" s="8">
        <v>1.17</v>
      </c>
      <c r="K618" s="5" t="str">
        <f t="shared" si="1"/>
        <v>Hyderabad -&gt; Bengaluru</v>
      </c>
    </row>
    <row r="619" ht="15.75" customHeight="1">
      <c r="A619" s="5" t="s">
        <v>1895</v>
      </c>
      <c r="B619" s="5" t="s">
        <v>45</v>
      </c>
      <c r="C619" s="6" t="s">
        <v>1896</v>
      </c>
      <c r="D619" s="5" t="s">
        <v>616</v>
      </c>
      <c r="E619" s="5" t="s">
        <v>154</v>
      </c>
      <c r="F619" s="5" t="s">
        <v>109</v>
      </c>
      <c r="G619" s="5" t="s">
        <v>33</v>
      </c>
      <c r="H619" s="5" t="s">
        <v>35</v>
      </c>
      <c r="I619" s="6">
        <v>1.0</v>
      </c>
      <c r="J619" s="8">
        <v>18.0</v>
      </c>
      <c r="K619" s="5" t="str">
        <f t="shared" si="1"/>
        <v>Hyderabad -&gt; Bengaluru</v>
      </c>
    </row>
    <row r="620" ht="15.75" customHeight="1">
      <c r="A620" s="5" t="s">
        <v>1899</v>
      </c>
      <c r="B620" s="5" t="s">
        <v>43</v>
      </c>
      <c r="C620" s="6" t="s">
        <v>1878</v>
      </c>
      <c r="D620" s="5" t="s">
        <v>616</v>
      </c>
      <c r="E620" s="5" t="s">
        <v>154</v>
      </c>
      <c r="F620" s="5" t="s">
        <v>109</v>
      </c>
      <c r="G620" s="5" t="s">
        <v>33</v>
      </c>
      <c r="H620" s="5" t="s">
        <v>54</v>
      </c>
      <c r="I620" s="6">
        <v>1.0</v>
      </c>
      <c r="J620" s="8">
        <v>7.67</v>
      </c>
      <c r="K620" s="5" t="str">
        <f t="shared" si="1"/>
        <v>Hyderabad -&gt; Bengaluru</v>
      </c>
    </row>
    <row r="621" ht="15.75" customHeight="1">
      <c r="A621" s="5" t="s">
        <v>1901</v>
      </c>
      <c r="B621" s="5" t="s">
        <v>45</v>
      </c>
      <c r="C621" s="6" t="s">
        <v>1902</v>
      </c>
      <c r="D621" s="5" t="s">
        <v>616</v>
      </c>
      <c r="E621" s="5" t="s">
        <v>154</v>
      </c>
      <c r="F621" s="5" t="s">
        <v>109</v>
      </c>
      <c r="G621" s="5" t="s">
        <v>47</v>
      </c>
      <c r="H621" s="5" t="s">
        <v>35</v>
      </c>
      <c r="I621" s="6">
        <v>1.0</v>
      </c>
      <c r="J621" s="8">
        <v>9.25</v>
      </c>
      <c r="K621" s="5" t="str">
        <f t="shared" si="1"/>
        <v>Hyderabad -&gt; Bengaluru</v>
      </c>
    </row>
    <row r="622" ht="15.75" customHeight="1">
      <c r="A622" s="5" t="s">
        <v>1905</v>
      </c>
      <c r="B622" s="5" t="s">
        <v>45</v>
      </c>
      <c r="C622" s="6" t="s">
        <v>1740</v>
      </c>
      <c r="D622" s="5" t="s">
        <v>616</v>
      </c>
      <c r="E622" s="5" t="s">
        <v>154</v>
      </c>
      <c r="F622" s="5" t="s">
        <v>109</v>
      </c>
      <c r="G622" s="5" t="s">
        <v>47</v>
      </c>
      <c r="H622" s="5" t="s">
        <v>35</v>
      </c>
      <c r="I622" s="6">
        <v>1.0</v>
      </c>
      <c r="J622" s="8">
        <v>10.25</v>
      </c>
      <c r="K622" s="5" t="str">
        <f t="shared" si="1"/>
        <v>Hyderabad -&gt; Bengaluru</v>
      </c>
    </row>
    <row r="623" ht="15.75" customHeight="1">
      <c r="A623" s="5" t="s">
        <v>1907</v>
      </c>
      <c r="B623" s="5" t="s">
        <v>45</v>
      </c>
      <c r="C623" s="6" t="s">
        <v>1791</v>
      </c>
      <c r="D623" s="5" t="s">
        <v>616</v>
      </c>
      <c r="E623" s="5" t="s">
        <v>154</v>
      </c>
      <c r="F623" s="5" t="s">
        <v>109</v>
      </c>
      <c r="G623" s="5" t="s">
        <v>35</v>
      </c>
      <c r="H623" s="5" t="s">
        <v>35</v>
      </c>
      <c r="I623" s="6">
        <v>1.0</v>
      </c>
      <c r="J623" s="8">
        <v>27.33</v>
      </c>
      <c r="K623" s="5" t="str">
        <f t="shared" si="1"/>
        <v>Hyderabad -&gt; Bengaluru</v>
      </c>
    </row>
    <row r="624" ht="15.75" customHeight="1">
      <c r="A624" s="5" t="s">
        <v>1910</v>
      </c>
      <c r="B624" s="5" t="s">
        <v>45</v>
      </c>
      <c r="C624" s="6" t="s">
        <v>1873</v>
      </c>
      <c r="D624" s="5" t="s">
        <v>616</v>
      </c>
      <c r="E624" s="5" t="s">
        <v>154</v>
      </c>
      <c r="F624" s="5" t="s">
        <v>109</v>
      </c>
      <c r="G624" s="5" t="s">
        <v>35</v>
      </c>
      <c r="H624" s="5" t="s">
        <v>33</v>
      </c>
      <c r="I624" s="6">
        <v>1.0</v>
      </c>
      <c r="J624" s="8">
        <v>12.92</v>
      </c>
      <c r="K624" s="5" t="str">
        <f t="shared" si="1"/>
        <v>Hyderabad -&gt; Bengaluru</v>
      </c>
    </row>
    <row r="625" ht="15.75" customHeight="1">
      <c r="A625" s="5" t="s">
        <v>1913</v>
      </c>
      <c r="B625" s="5" t="s">
        <v>58</v>
      </c>
      <c r="C625" s="6" t="s">
        <v>1774</v>
      </c>
      <c r="D625" s="5" t="s">
        <v>616</v>
      </c>
      <c r="E625" s="5" t="s">
        <v>154</v>
      </c>
      <c r="F625" s="5" t="s">
        <v>109</v>
      </c>
      <c r="G625" s="5" t="s">
        <v>33</v>
      </c>
      <c r="H625" s="5" t="s">
        <v>47</v>
      </c>
      <c r="I625" s="6" t="s">
        <v>180</v>
      </c>
      <c r="J625" s="8">
        <v>8.67</v>
      </c>
      <c r="K625" s="5" t="str">
        <f t="shared" si="1"/>
        <v>Hyderabad -&gt; Bengaluru</v>
      </c>
    </row>
    <row r="626" ht="15.75" customHeight="1">
      <c r="A626" s="5" t="s">
        <v>1915</v>
      </c>
      <c r="B626" s="5" t="s">
        <v>20</v>
      </c>
      <c r="C626" s="6" t="s">
        <v>1917</v>
      </c>
      <c r="D626" s="5" t="s">
        <v>616</v>
      </c>
      <c r="E626" s="5" t="s">
        <v>154</v>
      </c>
      <c r="F626" s="5" t="s">
        <v>109</v>
      </c>
      <c r="G626" s="5" t="s">
        <v>33</v>
      </c>
      <c r="H626" s="5" t="s">
        <v>54</v>
      </c>
      <c r="I626" s="6">
        <v>1.0</v>
      </c>
      <c r="J626" s="8">
        <v>7.25</v>
      </c>
      <c r="K626" s="5" t="str">
        <f t="shared" si="1"/>
        <v>Hyderabad -&gt; Bengaluru</v>
      </c>
    </row>
    <row r="627" ht="15.75" customHeight="1">
      <c r="A627" s="5" t="s">
        <v>1919</v>
      </c>
      <c r="B627" s="5" t="s">
        <v>45</v>
      </c>
      <c r="C627" s="6" t="s">
        <v>1734</v>
      </c>
      <c r="D627" s="5" t="s">
        <v>616</v>
      </c>
      <c r="E627" s="5" t="s">
        <v>154</v>
      </c>
      <c r="F627" s="5" t="s">
        <v>109</v>
      </c>
      <c r="G627" s="5" t="s">
        <v>54</v>
      </c>
      <c r="H627" s="5" t="s">
        <v>33</v>
      </c>
      <c r="I627" s="6">
        <v>1.0</v>
      </c>
      <c r="J627" s="8">
        <v>18.92</v>
      </c>
      <c r="K627" s="5" t="str">
        <f t="shared" si="1"/>
        <v>Hyderabad -&gt; Bengaluru</v>
      </c>
    </row>
    <row r="628" ht="15.75" customHeight="1">
      <c r="A628" s="5" t="s">
        <v>1921</v>
      </c>
      <c r="B628" s="5" t="s">
        <v>45</v>
      </c>
      <c r="C628" s="6" t="s">
        <v>1791</v>
      </c>
      <c r="D628" s="5" t="s">
        <v>616</v>
      </c>
      <c r="E628" s="5" t="s">
        <v>154</v>
      </c>
      <c r="F628" s="5" t="s">
        <v>109</v>
      </c>
      <c r="G628" s="5" t="s">
        <v>35</v>
      </c>
      <c r="H628" s="5" t="s">
        <v>47</v>
      </c>
      <c r="I628" s="6" t="s">
        <v>180</v>
      </c>
      <c r="J628" s="8">
        <v>15.42</v>
      </c>
      <c r="K628" s="5" t="str">
        <f t="shared" si="1"/>
        <v>Hyderabad -&gt; Bengaluru</v>
      </c>
    </row>
    <row r="629" ht="15.75" customHeight="1">
      <c r="A629" s="5" t="s">
        <v>1924</v>
      </c>
      <c r="B629" s="5" t="s">
        <v>20</v>
      </c>
      <c r="C629" s="6" t="s">
        <v>1762</v>
      </c>
      <c r="D629" s="5" t="s">
        <v>616</v>
      </c>
      <c r="E629" s="5" t="s">
        <v>154</v>
      </c>
      <c r="F629" s="5" t="s">
        <v>109</v>
      </c>
      <c r="G629" s="5" t="s">
        <v>33</v>
      </c>
      <c r="H629" s="5" t="s">
        <v>35</v>
      </c>
      <c r="I629" s="6" t="s">
        <v>180</v>
      </c>
      <c r="J629" s="8">
        <v>10.08</v>
      </c>
      <c r="K629" s="5" t="str">
        <f t="shared" si="1"/>
        <v>Hyderabad -&gt; Bengaluru</v>
      </c>
    </row>
    <row r="630" ht="15.75" customHeight="1">
      <c r="A630" s="5" t="s">
        <v>1928</v>
      </c>
      <c r="B630" s="5" t="s">
        <v>20</v>
      </c>
      <c r="C630" s="6" t="s">
        <v>1767</v>
      </c>
      <c r="D630" s="5" t="s">
        <v>616</v>
      </c>
      <c r="E630" s="5" t="s">
        <v>154</v>
      </c>
      <c r="F630" s="5" t="s">
        <v>109</v>
      </c>
      <c r="G630" s="5" t="s">
        <v>47</v>
      </c>
      <c r="H630" s="5" t="s">
        <v>35</v>
      </c>
      <c r="I630" s="6">
        <v>1.0</v>
      </c>
      <c r="J630" s="8">
        <v>9.42</v>
      </c>
      <c r="K630" s="5" t="str">
        <f t="shared" si="1"/>
        <v>Hyderabad -&gt; Bengaluru</v>
      </c>
    </row>
    <row r="631" ht="15.75" customHeight="1">
      <c r="A631" s="5" t="s">
        <v>1930</v>
      </c>
      <c r="B631" s="5" t="s">
        <v>45</v>
      </c>
      <c r="C631" s="6" t="s">
        <v>1648</v>
      </c>
      <c r="D631" s="5" t="s">
        <v>616</v>
      </c>
      <c r="E631" s="5" t="s">
        <v>154</v>
      </c>
      <c r="F631" s="5" t="s">
        <v>109</v>
      </c>
      <c r="G631" s="5" t="s">
        <v>33</v>
      </c>
      <c r="H631" s="5" t="s">
        <v>33</v>
      </c>
      <c r="I631" s="6">
        <v>0.0</v>
      </c>
      <c r="J631" s="8">
        <v>1.08</v>
      </c>
      <c r="K631" s="5" t="str">
        <f t="shared" si="1"/>
        <v>Hyderabad -&gt; Bengaluru</v>
      </c>
    </row>
    <row r="632" ht="15.75" customHeight="1">
      <c r="A632" s="5" t="s">
        <v>1933</v>
      </c>
      <c r="B632" s="5" t="s">
        <v>45</v>
      </c>
      <c r="C632" s="6" t="s">
        <v>1934</v>
      </c>
      <c r="D632" s="5" t="s">
        <v>616</v>
      </c>
      <c r="E632" s="5" t="s">
        <v>154</v>
      </c>
      <c r="F632" s="5" t="s">
        <v>109</v>
      </c>
      <c r="G632" s="5" t="s">
        <v>54</v>
      </c>
      <c r="H632" s="5" t="s">
        <v>54</v>
      </c>
      <c r="I632" s="6" t="s">
        <v>180</v>
      </c>
      <c r="J632" s="8">
        <v>24.83</v>
      </c>
      <c r="K632" s="5" t="str">
        <f t="shared" si="1"/>
        <v>Hyderabad -&gt; Bengaluru</v>
      </c>
    </row>
    <row r="633" ht="15.75" customHeight="1">
      <c r="A633" s="5" t="s">
        <v>1936</v>
      </c>
      <c r="B633" s="5" t="s">
        <v>20</v>
      </c>
      <c r="C633" s="6" t="s">
        <v>1752</v>
      </c>
      <c r="D633" s="5" t="s">
        <v>616</v>
      </c>
      <c r="E633" s="5" t="s">
        <v>154</v>
      </c>
      <c r="F633" s="5" t="s">
        <v>109</v>
      </c>
      <c r="G633" s="5" t="s">
        <v>54</v>
      </c>
      <c r="H633" s="5" t="s">
        <v>35</v>
      </c>
      <c r="I633" s="6">
        <v>1.0</v>
      </c>
      <c r="J633" s="8">
        <v>29.0</v>
      </c>
      <c r="K633" s="5" t="str">
        <f t="shared" si="1"/>
        <v>Hyderabad -&gt; Bengaluru</v>
      </c>
    </row>
    <row r="634" ht="15.75" customHeight="1">
      <c r="A634" s="5" t="s">
        <v>1938</v>
      </c>
      <c r="B634" s="5" t="s">
        <v>45</v>
      </c>
      <c r="C634" s="6" t="s">
        <v>1939</v>
      </c>
      <c r="D634" s="5" t="s">
        <v>616</v>
      </c>
      <c r="E634" s="5" t="s">
        <v>154</v>
      </c>
      <c r="F634" s="5" t="s">
        <v>109</v>
      </c>
      <c r="G634" s="5" t="s">
        <v>47</v>
      </c>
      <c r="H634" s="5" t="s">
        <v>33</v>
      </c>
      <c r="I634" s="6">
        <v>1.0</v>
      </c>
      <c r="J634" s="8">
        <v>19.92</v>
      </c>
      <c r="K634" s="5" t="str">
        <f t="shared" si="1"/>
        <v>Hyderabad -&gt; Bengaluru</v>
      </c>
    </row>
    <row r="635" ht="15.75" customHeight="1">
      <c r="A635" s="5" t="s">
        <v>1942</v>
      </c>
      <c r="B635" s="5" t="s">
        <v>45</v>
      </c>
      <c r="C635" s="6" t="s">
        <v>1943</v>
      </c>
      <c r="D635" s="5" t="s">
        <v>616</v>
      </c>
      <c r="E635" s="5" t="s">
        <v>154</v>
      </c>
      <c r="F635" s="5" t="s">
        <v>109</v>
      </c>
      <c r="G635" s="5" t="s">
        <v>33</v>
      </c>
      <c r="H635" s="5" t="s">
        <v>33</v>
      </c>
      <c r="I635" s="6">
        <v>1.0</v>
      </c>
      <c r="J635" s="8">
        <v>5.67</v>
      </c>
      <c r="K635" s="5" t="str">
        <f t="shared" si="1"/>
        <v>Hyderabad -&gt; Bengaluru</v>
      </c>
    </row>
    <row r="636" ht="15.75" customHeight="1">
      <c r="A636" s="5" t="s">
        <v>1945</v>
      </c>
      <c r="B636" s="5" t="s">
        <v>45</v>
      </c>
      <c r="C636" s="6" t="s">
        <v>1648</v>
      </c>
      <c r="D636" s="5" t="s">
        <v>616</v>
      </c>
      <c r="E636" s="5" t="s">
        <v>154</v>
      </c>
      <c r="F636" s="5" t="s">
        <v>109</v>
      </c>
      <c r="G636" s="5" t="s">
        <v>33</v>
      </c>
      <c r="H636" s="5" t="s">
        <v>33</v>
      </c>
      <c r="I636" s="6">
        <v>0.0</v>
      </c>
      <c r="J636" s="8">
        <v>1.17</v>
      </c>
      <c r="K636" s="5" t="str">
        <f t="shared" si="1"/>
        <v>Hyderabad -&gt; Bengaluru</v>
      </c>
    </row>
    <row r="637" ht="15.75" customHeight="1">
      <c r="A637" s="5" t="s">
        <v>1947</v>
      </c>
      <c r="B637" s="5" t="s">
        <v>43</v>
      </c>
      <c r="C637" s="6" t="s">
        <v>1948</v>
      </c>
      <c r="D637" s="5" t="s">
        <v>616</v>
      </c>
      <c r="E637" s="5" t="s">
        <v>154</v>
      </c>
      <c r="F637" s="5" t="s">
        <v>109</v>
      </c>
      <c r="G637" s="5" t="s">
        <v>54</v>
      </c>
      <c r="H637" s="5" t="s">
        <v>54</v>
      </c>
      <c r="I637" s="6">
        <v>0.0</v>
      </c>
      <c r="J637" s="8">
        <v>1.33</v>
      </c>
      <c r="K637" s="5" t="str">
        <f t="shared" si="1"/>
        <v>Hyderabad -&gt; Bengaluru</v>
      </c>
    </row>
    <row r="638" ht="15.75" customHeight="1">
      <c r="A638" s="5" t="s">
        <v>1950</v>
      </c>
      <c r="B638" s="5" t="s">
        <v>58</v>
      </c>
      <c r="C638" s="6" t="s">
        <v>1774</v>
      </c>
      <c r="D638" s="5" t="s">
        <v>616</v>
      </c>
      <c r="E638" s="5" t="s">
        <v>154</v>
      </c>
      <c r="F638" s="5" t="s">
        <v>109</v>
      </c>
      <c r="G638" s="5" t="s">
        <v>33</v>
      </c>
      <c r="H638" s="5" t="s">
        <v>35</v>
      </c>
      <c r="I638" s="6">
        <v>1.0</v>
      </c>
      <c r="J638" s="8">
        <v>13.0</v>
      </c>
      <c r="K638" s="5" t="str">
        <f t="shared" si="1"/>
        <v>Hyderabad -&gt; Bengaluru</v>
      </c>
    </row>
    <row r="639" ht="15.75" customHeight="1">
      <c r="A639" s="5" t="s">
        <v>1952</v>
      </c>
      <c r="B639" s="5" t="s">
        <v>45</v>
      </c>
      <c r="C639" s="6" t="s">
        <v>1939</v>
      </c>
      <c r="D639" s="5" t="s">
        <v>616</v>
      </c>
      <c r="E639" s="5" t="s">
        <v>154</v>
      </c>
      <c r="F639" s="5" t="s">
        <v>109</v>
      </c>
      <c r="G639" s="5" t="s">
        <v>47</v>
      </c>
      <c r="H639" s="5" t="s">
        <v>47</v>
      </c>
      <c r="I639" s="6">
        <v>1.0</v>
      </c>
      <c r="J639" s="8">
        <v>23.25</v>
      </c>
      <c r="K639" s="5" t="str">
        <f t="shared" si="1"/>
        <v>Hyderabad -&gt; Bengaluru</v>
      </c>
    </row>
    <row r="640" ht="15.75" customHeight="1">
      <c r="A640" s="5" t="s">
        <v>1955</v>
      </c>
      <c r="B640" s="5" t="s">
        <v>20</v>
      </c>
      <c r="C640" s="6" t="s">
        <v>1663</v>
      </c>
      <c r="D640" s="5" t="s">
        <v>616</v>
      </c>
      <c r="E640" s="5" t="s">
        <v>154</v>
      </c>
      <c r="F640" s="5" t="s">
        <v>109</v>
      </c>
      <c r="G640" s="5" t="s">
        <v>35</v>
      </c>
      <c r="H640" s="5" t="s">
        <v>33</v>
      </c>
      <c r="I640" s="6">
        <v>1.0</v>
      </c>
      <c r="J640" s="8">
        <v>14.25</v>
      </c>
      <c r="K640" s="5" t="str">
        <f t="shared" si="1"/>
        <v>Hyderabad -&gt; Bengaluru</v>
      </c>
    </row>
    <row r="641" ht="15.75" customHeight="1">
      <c r="A641" s="5" t="s">
        <v>1957</v>
      </c>
      <c r="B641" s="5" t="s">
        <v>45</v>
      </c>
      <c r="C641" s="6" t="s">
        <v>1782</v>
      </c>
      <c r="D641" s="5" t="s">
        <v>616</v>
      </c>
      <c r="E641" s="5" t="s">
        <v>154</v>
      </c>
      <c r="F641" s="5" t="s">
        <v>109</v>
      </c>
      <c r="G641" s="5" t="s">
        <v>33</v>
      </c>
      <c r="H641" s="5" t="s">
        <v>35</v>
      </c>
      <c r="I641" s="6" t="s">
        <v>180</v>
      </c>
      <c r="J641" s="8">
        <v>8.75</v>
      </c>
      <c r="K641" s="5" t="str">
        <f t="shared" si="1"/>
        <v>Hyderabad -&gt; Bengaluru</v>
      </c>
    </row>
    <row r="642" ht="15.75" customHeight="1">
      <c r="A642" s="5" t="s">
        <v>1960</v>
      </c>
      <c r="B642" s="5" t="s">
        <v>45</v>
      </c>
      <c r="C642" s="6" t="s">
        <v>1896</v>
      </c>
      <c r="D642" s="5" t="s">
        <v>640</v>
      </c>
      <c r="E642" s="5" t="s">
        <v>154</v>
      </c>
      <c r="F642" s="5" t="s">
        <v>132</v>
      </c>
      <c r="G642" s="5" t="s">
        <v>33</v>
      </c>
      <c r="H642" s="5" t="s">
        <v>54</v>
      </c>
      <c r="I642" s="6">
        <v>1.0</v>
      </c>
      <c r="J642" s="8">
        <v>12.67</v>
      </c>
      <c r="K642" s="5" t="str">
        <f t="shared" si="1"/>
        <v>Hyderabad -&gt; Kolkata</v>
      </c>
    </row>
    <row r="643" ht="15.75" customHeight="1">
      <c r="A643" s="5" t="s">
        <v>1962</v>
      </c>
      <c r="B643" s="5" t="s">
        <v>20</v>
      </c>
      <c r="C643" s="6" t="s">
        <v>1762</v>
      </c>
      <c r="D643" s="5" t="s">
        <v>640</v>
      </c>
      <c r="E643" s="5" t="s">
        <v>154</v>
      </c>
      <c r="F643" s="5" t="s">
        <v>132</v>
      </c>
      <c r="G643" s="5" t="s">
        <v>33</v>
      </c>
      <c r="H643" s="5" t="s">
        <v>35</v>
      </c>
      <c r="I643" s="6">
        <v>1.0</v>
      </c>
      <c r="J643" s="8">
        <v>10.42</v>
      </c>
      <c r="K643" s="5" t="str">
        <f t="shared" si="1"/>
        <v>Hyderabad -&gt; Kolkata</v>
      </c>
    </row>
    <row r="644" ht="15.75" customHeight="1">
      <c r="A644" s="5" t="s">
        <v>1965</v>
      </c>
      <c r="B644" s="5" t="s">
        <v>43</v>
      </c>
      <c r="C644" s="6" t="s">
        <v>1966</v>
      </c>
      <c r="D644" s="5" t="s">
        <v>640</v>
      </c>
      <c r="E644" s="5" t="s">
        <v>154</v>
      </c>
      <c r="F644" s="5" t="s">
        <v>132</v>
      </c>
      <c r="G644" s="5" t="s">
        <v>33</v>
      </c>
      <c r="H644" s="5" t="s">
        <v>54</v>
      </c>
      <c r="I644" s="6">
        <v>1.0</v>
      </c>
      <c r="J644" s="8">
        <v>7.25</v>
      </c>
      <c r="K644" s="5" t="str">
        <f t="shared" si="1"/>
        <v>Hyderabad -&gt; Kolkata</v>
      </c>
    </row>
    <row r="645" ht="15.75" customHeight="1">
      <c r="A645" s="5" t="s">
        <v>1968</v>
      </c>
      <c r="B645" s="5" t="s">
        <v>43</v>
      </c>
      <c r="C645" s="6" t="s">
        <v>1970</v>
      </c>
      <c r="D645" s="5" t="s">
        <v>640</v>
      </c>
      <c r="E645" s="5" t="s">
        <v>154</v>
      </c>
      <c r="F645" s="5" t="s">
        <v>132</v>
      </c>
      <c r="G645" s="5" t="s">
        <v>54</v>
      </c>
      <c r="H645" s="5" t="s">
        <v>35</v>
      </c>
      <c r="I645" s="6">
        <v>1.0</v>
      </c>
      <c r="J645" s="8">
        <v>7.83</v>
      </c>
      <c r="K645" s="5" t="str">
        <f t="shared" si="1"/>
        <v>Hyderabad -&gt; Kolkata</v>
      </c>
    </row>
    <row r="646" ht="15.75" customHeight="1">
      <c r="A646" s="5" t="s">
        <v>1972</v>
      </c>
      <c r="B646" s="5" t="s">
        <v>45</v>
      </c>
      <c r="C646" s="6" t="s">
        <v>1685</v>
      </c>
      <c r="D646" s="5" t="s">
        <v>640</v>
      </c>
      <c r="E646" s="5" t="s">
        <v>154</v>
      </c>
      <c r="F646" s="5" t="s">
        <v>132</v>
      </c>
      <c r="G646" s="5" t="s">
        <v>54</v>
      </c>
      <c r="H646" s="5" t="s">
        <v>54</v>
      </c>
      <c r="I646" s="6">
        <v>1.0</v>
      </c>
      <c r="J646" s="8">
        <v>22.08</v>
      </c>
      <c r="K646" s="5" t="str">
        <f t="shared" si="1"/>
        <v>Hyderabad -&gt; Kolkata</v>
      </c>
    </row>
    <row r="647" ht="15.75" customHeight="1">
      <c r="A647" s="5" t="s">
        <v>1975</v>
      </c>
      <c r="B647" s="5" t="s">
        <v>58</v>
      </c>
      <c r="C647" s="6" t="s">
        <v>1774</v>
      </c>
      <c r="D647" s="5" t="s">
        <v>640</v>
      </c>
      <c r="E647" s="5" t="s">
        <v>154</v>
      </c>
      <c r="F647" s="5" t="s">
        <v>132</v>
      </c>
      <c r="G647" s="5" t="s">
        <v>33</v>
      </c>
      <c r="H647" s="5" t="s">
        <v>35</v>
      </c>
      <c r="I647" s="6">
        <v>1.0</v>
      </c>
      <c r="J647" s="8">
        <v>15.25</v>
      </c>
      <c r="K647" s="5" t="str">
        <f t="shared" si="1"/>
        <v>Hyderabad -&gt; Kolkata</v>
      </c>
    </row>
    <row r="648" ht="15.75" customHeight="1">
      <c r="A648" s="5" t="s">
        <v>1977</v>
      </c>
      <c r="B648" s="5" t="s">
        <v>20</v>
      </c>
      <c r="C648" s="6" t="s">
        <v>1794</v>
      </c>
      <c r="D648" s="5" t="s">
        <v>640</v>
      </c>
      <c r="E648" s="5" t="s">
        <v>154</v>
      </c>
      <c r="F648" s="5" t="s">
        <v>132</v>
      </c>
      <c r="G648" s="5" t="s">
        <v>54</v>
      </c>
      <c r="H648" s="5" t="s">
        <v>54</v>
      </c>
      <c r="I648" s="6" t="s">
        <v>180</v>
      </c>
      <c r="J648" s="8">
        <v>22.42</v>
      </c>
      <c r="K648" s="5" t="str">
        <f t="shared" si="1"/>
        <v>Hyderabad -&gt; Kolkata</v>
      </c>
    </row>
    <row r="649" ht="15.75" customHeight="1">
      <c r="A649" s="5" t="s">
        <v>1979</v>
      </c>
      <c r="B649" s="5" t="s">
        <v>45</v>
      </c>
      <c r="C649" s="6" t="s">
        <v>1782</v>
      </c>
      <c r="D649" s="5" t="s">
        <v>640</v>
      </c>
      <c r="E649" s="5" t="s">
        <v>154</v>
      </c>
      <c r="F649" s="5" t="s">
        <v>132</v>
      </c>
      <c r="G649" s="5" t="s">
        <v>33</v>
      </c>
      <c r="H649" s="5" t="s">
        <v>35</v>
      </c>
      <c r="I649" s="6" t="s">
        <v>180</v>
      </c>
      <c r="J649" s="8">
        <v>33.17</v>
      </c>
      <c r="K649" s="5" t="str">
        <f t="shared" si="1"/>
        <v>Hyderabad -&gt; Kolkata</v>
      </c>
    </row>
    <row r="650" ht="15.75" customHeight="1">
      <c r="A650" s="5" t="s">
        <v>1982</v>
      </c>
      <c r="B650" s="5" t="s">
        <v>45</v>
      </c>
      <c r="C650" s="6" t="s">
        <v>1782</v>
      </c>
      <c r="D650" s="5" t="s">
        <v>640</v>
      </c>
      <c r="E650" s="5" t="s">
        <v>154</v>
      </c>
      <c r="F650" s="5" t="s">
        <v>132</v>
      </c>
      <c r="G650" s="5" t="s">
        <v>33</v>
      </c>
      <c r="H650" s="5" t="s">
        <v>54</v>
      </c>
      <c r="I650" s="6" t="s">
        <v>66</v>
      </c>
      <c r="J650" s="8">
        <v>30.25</v>
      </c>
      <c r="K650" s="5" t="str">
        <f t="shared" si="1"/>
        <v>Hyderabad -&gt; Kolkata</v>
      </c>
    </row>
    <row r="651" ht="15.75" customHeight="1">
      <c r="A651" s="5" t="s">
        <v>1984</v>
      </c>
      <c r="B651" s="5" t="s">
        <v>43</v>
      </c>
      <c r="C651" s="6" t="s">
        <v>1986</v>
      </c>
      <c r="D651" s="5" t="s">
        <v>640</v>
      </c>
      <c r="E651" s="5" t="s">
        <v>154</v>
      </c>
      <c r="F651" s="5" t="s">
        <v>132</v>
      </c>
      <c r="G651" s="5" t="s">
        <v>33</v>
      </c>
      <c r="H651" s="5" t="s">
        <v>35</v>
      </c>
      <c r="I651" s="6">
        <v>1.0</v>
      </c>
      <c r="J651" s="8">
        <v>8.67</v>
      </c>
      <c r="K651" s="5" t="str">
        <f t="shared" si="1"/>
        <v>Hyderabad -&gt; Kolkata</v>
      </c>
    </row>
    <row r="652" ht="15.75" customHeight="1">
      <c r="A652" s="5" t="s">
        <v>1988</v>
      </c>
      <c r="B652" s="5" t="s">
        <v>45</v>
      </c>
      <c r="C652" s="6" t="s">
        <v>1791</v>
      </c>
      <c r="D652" s="5" t="s">
        <v>640</v>
      </c>
      <c r="E652" s="5" t="s">
        <v>154</v>
      </c>
      <c r="F652" s="5" t="s">
        <v>132</v>
      </c>
      <c r="G652" s="5" t="s">
        <v>35</v>
      </c>
      <c r="H652" s="5" t="s">
        <v>54</v>
      </c>
      <c r="I652" s="6">
        <v>1.0</v>
      </c>
      <c r="J652" s="8">
        <v>22.33</v>
      </c>
      <c r="K652" s="5" t="str">
        <f t="shared" si="1"/>
        <v>Hyderabad -&gt; Kolkata</v>
      </c>
    </row>
    <row r="653" ht="15.75" customHeight="1">
      <c r="A653" s="5" t="s">
        <v>1991</v>
      </c>
      <c r="B653" s="5" t="s">
        <v>45</v>
      </c>
      <c r="C653" s="6" t="s">
        <v>1782</v>
      </c>
      <c r="D653" s="5" t="s">
        <v>640</v>
      </c>
      <c r="E653" s="5" t="s">
        <v>154</v>
      </c>
      <c r="F653" s="5" t="s">
        <v>132</v>
      </c>
      <c r="G653" s="5" t="s">
        <v>33</v>
      </c>
      <c r="H653" s="5" t="s">
        <v>54</v>
      </c>
      <c r="I653" s="6">
        <v>1.0</v>
      </c>
      <c r="J653" s="8">
        <v>32.83</v>
      </c>
      <c r="K653" s="5" t="str">
        <f t="shared" si="1"/>
        <v>Hyderabad -&gt; Kolkata</v>
      </c>
    </row>
    <row r="654" ht="15.75" customHeight="1">
      <c r="A654" s="5" t="s">
        <v>1993</v>
      </c>
      <c r="B654" s="5" t="s">
        <v>20</v>
      </c>
      <c r="C654" s="6" t="s">
        <v>1670</v>
      </c>
      <c r="D654" s="5" t="s">
        <v>640</v>
      </c>
      <c r="E654" s="5" t="s">
        <v>154</v>
      </c>
      <c r="F654" s="5" t="s">
        <v>132</v>
      </c>
      <c r="G654" s="5" t="s">
        <v>33</v>
      </c>
      <c r="H654" s="5" t="s">
        <v>54</v>
      </c>
      <c r="I654" s="6">
        <v>1.0</v>
      </c>
      <c r="J654" s="8">
        <v>11.25</v>
      </c>
      <c r="K654" s="5" t="str">
        <f t="shared" si="1"/>
        <v>Hyderabad -&gt; Kolkata</v>
      </c>
    </row>
    <row r="655" ht="15.75" customHeight="1">
      <c r="A655" s="5" t="s">
        <v>1996</v>
      </c>
      <c r="B655" s="5" t="s">
        <v>29</v>
      </c>
      <c r="C655" s="6" t="s">
        <v>1675</v>
      </c>
      <c r="D655" s="5" t="s">
        <v>640</v>
      </c>
      <c r="E655" s="5" t="s">
        <v>154</v>
      </c>
      <c r="F655" s="5" t="s">
        <v>132</v>
      </c>
      <c r="G655" s="5" t="s">
        <v>54</v>
      </c>
      <c r="H655" s="5" t="s">
        <v>33</v>
      </c>
      <c r="I655" s="6">
        <v>1.0</v>
      </c>
      <c r="J655" s="8">
        <v>13.25</v>
      </c>
      <c r="K655" s="5" t="str">
        <f t="shared" si="1"/>
        <v>Hyderabad -&gt; Kolkata</v>
      </c>
    </row>
    <row r="656" ht="15.75" customHeight="1">
      <c r="A656" s="5" t="s">
        <v>1998</v>
      </c>
      <c r="B656" s="5" t="s">
        <v>43</v>
      </c>
      <c r="C656" s="6" t="s">
        <v>1999</v>
      </c>
      <c r="D656" s="5" t="s">
        <v>640</v>
      </c>
      <c r="E656" s="5" t="s">
        <v>154</v>
      </c>
      <c r="F656" s="5" t="s">
        <v>132</v>
      </c>
      <c r="G656" s="5" t="s">
        <v>33</v>
      </c>
      <c r="H656" s="5" t="s">
        <v>47</v>
      </c>
      <c r="I656" s="6">
        <v>1.0</v>
      </c>
      <c r="J656" s="8">
        <v>7.08</v>
      </c>
      <c r="K656" s="5" t="str">
        <f t="shared" si="1"/>
        <v>Hyderabad -&gt; Kolkata</v>
      </c>
    </row>
    <row r="657" ht="15.75" customHeight="1">
      <c r="A657" s="5" t="s">
        <v>2001</v>
      </c>
      <c r="B657" s="5" t="s">
        <v>43</v>
      </c>
      <c r="C657" s="6" t="s">
        <v>2002</v>
      </c>
      <c r="D657" s="5" t="s">
        <v>640</v>
      </c>
      <c r="E657" s="5" t="s">
        <v>154</v>
      </c>
      <c r="F657" s="5" t="s">
        <v>132</v>
      </c>
      <c r="G657" s="5" t="s">
        <v>33</v>
      </c>
      <c r="H657" s="5" t="s">
        <v>54</v>
      </c>
      <c r="I657" s="6">
        <v>1.0</v>
      </c>
      <c r="J657" s="8">
        <v>10.08</v>
      </c>
      <c r="K657" s="5" t="str">
        <f t="shared" si="1"/>
        <v>Hyderabad -&gt; Kolkata</v>
      </c>
    </row>
    <row r="658" ht="15.75" customHeight="1">
      <c r="A658" s="5" t="s">
        <v>2004</v>
      </c>
      <c r="B658" s="5" t="s">
        <v>45</v>
      </c>
      <c r="C658" s="6" t="s">
        <v>1782</v>
      </c>
      <c r="D658" s="5" t="s">
        <v>640</v>
      </c>
      <c r="E658" s="5" t="s">
        <v>154</v>
      </c>
      <c r="F658" s="5" t="s">
        <v>132</v>
      </c>
      <c r="G658" s="5" t="s">
        <v>33</v>
      </c>
      <c r="H658" s="5" t="s">
        <v>54</v>
      </c>
      <c r="I658" s="6">
        <v>1.0</v>
      </c>
      <c r="J658" s="8">
        <v>8.83</v>
      </c>
      <c r="K658" s="5" t="str">
        <f t="shared" si="1"/>
        <v>Hyderabad -&gt; Kolkata</v>
      </c>
    </row>
    <row r="659" ht="15.75" customHeight="1">
      <c r="A659" s="5" t="s">
        <v>2006</v>
      </c>
      <c r="B659" s="5" t="s">
        <v>45</v>
      </c>
      <c r="C659" s="6" t="s">
        <v>1782</v>
      </c>
      <c r="D659" s="5" t="s">
        <v>640</v>
      </c>
      <c r="E659" s="5" t="s">
        <v>154</v>
      </c>
      <c r="F659" s="5" t="s">
        <v>132</v>
      </c>
      <c r="G659" s="5" t="s">
        <v>33</v>
      </c>
      <c r="H659" s="5" t="s">
        <v>54</v>
      </c>
      <c r="I659" s="6">
        <v>1.0</v>
      </c>
      <c r="J659" s="8">
        <v>28.75</v>
      </c>
      <c r="K659" s="5" t="str">
        <f t="shared" si="1"/>
        <v>Hyderabad -&gt; Kolkata</v>
      </c>
    </row>
    <row r="660" ht="15.75" customHeight="1">
      <c r="A660" s="5" t="s">
        <v>2008</v>
      </c>
      <c r="B660" s="5" t="s">
        <v>43</v>
      </c>
      <c r="C660" s="6" t="s">
        <v>2009</v>
      </c>
      <c r="D660" s="5" t="s">
        <v>640</v>
      </c>
      <c r="E660" s="5" t="s">
        <v>154</v>
      </c>
      <c r="F660" s="5" t="s">
        <v>132</v>
      </c>
      <c r="G660" s="5" t="s">
        <v>33</v>
      </c>
      <c r="H660" s="5" t="s">
        <v>54</v>
      </c>
      <c r="I660" s="6">
        <v>1.0</v>
      </c>
      <c r="J660" s="8">
        <v>9.0</v>
      </c>
      <c r="K660" s="5" t="str">
        <f t="shared" si="1"/>
        <v>Hyderabad -&gt; Kolkata</v>
      </c>
    </row>
    <row r="661" ht="15.75" customHeight="1">
      <c r="A661" s="5" t="s">
        <v>2012</v>
      </c>
      <c r="B661" s="5" t="s">
        <v>43</v>
      </c>
      <c r="C661" s="6" t="s">
        <v>2013</v>
      </c>
      <c r="D661" s="5" t="s">
        <v>640</v>
      </c>
      <c r="E661" s="5" t="s">
        <v>154</v>
      </c>
      <c r="F661" s="5" t="s">
        <v>132</v>
      </c>
      <c r="G661" s="5" t="s">
        <v>33</v>
      </c>
      <c r="H661" s="5" t="s">
        <v>47</v>
      </c>
      <c r="I661" s="6">
        <v>1.0</v>
      </c>
      <c r="J661" s="8">
        <v>8.0</v>
      </c>
      <c r="K661" s="5" t="str">
        <f t="shared" si="1"/>
        <v>Hyderabad -&gt; Kolkata</v>
      </c>
    </row>
    <row r="662" ht="15.75" customHeight="1">
      <c r="A662" s="5" t="s">
        <v>2015</v>
      </c>
      <c r="B662" s="5" t="s">
        <v>45</v>
      </c>
      <c r="C662" s="6" t="s">
        <v>1717</v>
      </c>
      <c r="D662" s="5" t="s">
        <v>640</v>
      </c>
      <c r="E662" s="5" t="s">
        <v>154</v>
      </c>
      <c r="F662" s="5" t="s">
        <v>132</v>
      </c>
      <c r="G662" s="5" t="s">
        <v>47</v>
      </c>
      <c r="H662" s="5" t="s">
        <v>54</v>
      </c>
      <c r="I662" s="6">
        <v>1.0</v>
      </c>
      <c r="J662" s="8">
        <v>28.5</v>
      </c>
      <c r="K662" s="5" t="str">
        <f t="shared" si="1"/>
        <v>Hyderabad -&gt; Kolkata</v>
      </c>
    </row>
    <row r="663" ht="15.75" customHeight="1">
      <c r="A663" s="5" t="s">
        <v>2018</v>
      </c>
      <c r="B663" s="5" t="s">
        <v>43</v>
      </c>
      <c r="C663" s="6" t="s">
        <v>2019</v>
      </c>
      <c r="D663" s="5" t="s">
        <v>640</v>
      </c>
      <c r="E663" s="5" t="s">
        <v>154</v>
      </c>
      <c r="F663" s="5" t="s">
        <v>132</v>
      </c>
      <c r="G663" s="5" t="s">
        <v>54</v>
      </c>
      <c r="H663" s="5" t="s">
        <v>35</v>
      </c>
      <c r="I663" s="6">
        <v>1.0</v>
      </c>
      <c r="J663" s="8">
        <v>5.5</v>
      </c>
      <c r="K663" s="5" t="str">
        <f t="shared" si="1"/>
        <v>Hyderabad -&gt; Kolkata</v>
      </c>
    </row>
    <row r="664" ht="15.75" customHeight="1">
      <c r="A664" s="5" t="s">
        <v>2021</v>
      </c>
      <c r="B664" s="5" t="s">
        <v>45</v>
      </c>
      <c r="C664" s="6" t="s">
        <v>1782</v>
      </c>
      <c r="D664" s="5" t="s">
        <v>640</v>
      </c>
      <c r="E664" s="5" t="s">
        <v>154</v>
      </c>
      <c r="F664" s="5" t="s">
        <v>132</v>
      </c>
      <c r="G664" s="5" t="s">
        <v>33</v>
      </c>
      <c r="H664" s="5" t="s">
        <v>47</v>
      </c>
      <c r="I664" s="6">
        <v>1.0</v>
      </c>
      <c r="J664" s="8">
        <v>28.75</v>
      </c>
      <c r="K664" s="5" t="str">
        <f t="shared" si="1"/>
        <v>Hyderabad -&gt; Kolkata</v>
      </c>
    </row>
    <row r="665" ht="15.75" customHeight="1">
      <c r="A665" s="5" t="s">
        <v>2023</v>
      </c>
      <c r="B665" s="5" t="s">
        <v>58</v>
      </c>
      <c r="C665" s="6" t="s">
        <v>2024</v>
      </c>
      <c r="D665" s="5" t="s">
        <v>640</v>
      </c>
      <c r="E665" s="5" t="s">
        <v>154</v>
      </c>
      <c r="F665" s="5" t="s">
        <v>132</v>
      </c>
      <c r="G665" s="5" t="s">
        <v>35</v>
      </c>
      <c r="H665" s="5" t="s">
        <v>33</v>
      </c>
      <c r="I665" s="6">
        <v>1.0</v>
      </c>
      <c r="J665" s="8">
        <v>9.67</v>
      </c>
      <c r="K665" s="5" t="str">
        <f t="shared" si="1"/>
        <v>Hyderabad -&gt; Kolkata</v>
      </c>
    </row>
    <row r="666" ht="15.75" customHeight="1">
      <c r="A666" s="5" t="s">
        <v>2027</v>
      </c>
      <c r="B666" s="5" t="s">
        <v>43</v>
      </c>
      <c r="C666" s="6" t="s">
        <v>2028</v>
      </c>
      <c r="D666" s="5" t="s">
        <v>640</v>
      </c>
      <c r="E666" s="5" t="s">
        <v>154</v>
      </c>
      <c r="F666" s="5" t="s">
        <v>132</v>
      </c>
      <c r="G666" s="5" t="s">
        <v>47</v>
      </c>
      <c r="H666" s="5" t="s">
        <v>35</v>
      </c>
      <c r="I666" s="6">
        <v>1.0</v>
      </c>
      <c r="J666" s="8">
        <v>5.08</v>
      </c>
      <c r="K666" s="5" t="str">
        <f t="shared" si="1"/>
        <v>Hyderabad -&gt; Kolkata</v>
      </c>
    </row>
    <row r="667" ht="15.75" customHeight="1">
      <c r="A667" s="5" t="s">
        <v>2030</v>
      </c>
      <c r="B667" s="5" t="s">
        <v>20</v>
      </c>
      <c r="C667" s="6" t="s">
        <v>1752</v>
      </c>
      <c r="D667" s="5" t="s">
        <v>640</v>
      </c>
      <c r="E667" s="5" t="s">
        <v>154</v>
      </c>
      <c r="F667" s="5" t="s">
        <v>132</v>
      </c>
      <c r="G667" s="5" t="s">
        <v>54</v>
      </c>
      <c r="H667" s="5" t="s">
        <v>35</v>
      </c>
      <c r="I667" s="6" t="s">
        <v>180</v>
      </c>
      <c r="J667" s="8">
        <v>27.08</v>
      </c>
      <c r="K667" s="5" t="str">
        <f t="shared" si="1"/>
        <v>Hyderabad -&gt; Kolkata</v>
      </c>
    </row>
    <row r="668" ht="15.75" customHeight="1">
      <c r="A668" s="5" t="s">
        <v>2033</v>
      </c>
      <c r="B668" s="5" t="s">
        <v>45</v>
      </c>
      <c r="C668" s="6" t="s">
        <v>2034</v>
      </c>
      <c r="D668" s="5" t="s">
        <v>640</v>
      </c>
      <c r="E668" s="5" t="s">
        <v>154</v>
      </c>
      <c r="F668" s="5" t="s">
        <v>132</v>
      </c>
      <c r="G668" s="5" t="s">
        <v>47</v>
      </c>
      <c r="H668" s="5" t="s">
        <v>47</v>
      </c>
      <c r="I668" s="6" t="s">
        <v>66</v>
      </c>
      <c r="J668" s="8">
        <v>20.5</v>
      </c>
      <c r="K668" s="5" t="str">
        <f t="shared" si="1"/>
        <v>Hyderabad -&gt; Kolkata</v>
      </c>
    </row>
    <row r="669" ht="15.75" customHeight="1">
      <c r="A669" s="5" t="s">
        <v>2036</v>
      </c>
      <c r="B669" s="5" t="s">
        <v>20</v>
      </c>
      <c r="C669" s="6" t="s">
        <v>1670</v>
      </c>
      <c r="D669" s="5" t="s">
        <v>640</v>
      </c>
      <c r="E669" s="5" t="s">
        <v>154</v>
      </c>
      <c r="F669" s="5" t="s">
        <v>132</v>
      </c>
      <c r="G669" s="5" t="s">
        <v>33</v>
      </c>
      <c r="H669" s="5" t="s">
        <v>33</v>
      </c>
      <c r="I669" s="6">
        <v>1.0</v>
      </c>
      <c r="J669" s="8">
        <v>26.75</v>
      </c>
      <c r="K669" s="5" t="str">
        <f t="shared" si="1"/>
        <v>Hyderabad -&gt; Kolkata</v>
      </c>
    </row>
    <row r="670" ht="15.75" customHeight="1">
      <c r="A670" s="5" t="s">
        <v>2038</v>
      </c>
      <c r="B670" s="5" t="s">
        <v>45</v>
      </c>
      <c r="C670" s="6" t="s">
        <v>1731</v>
      </c>
      <c r="D670" s="5" t="s">
        <v>640</v>
      </c>
      <c r="E670" s="5" t="s">
        <v>154</v>
      </c>
      <c r="F670" s="5" t="s">
        <v>132</v>
      </c>
      <c r="G670" s="5" t="s">
        <v>33</v>
      </c>
      <c r="H670" s="5" t="s">
        <v>33</v>
      </c>
      <c r="I670" s="6">
        <v>1.0</v>
      </c>
      <c r="J670" s="8">
        <v>24.42</v>
      </c>
      <c r="K670" s="5" t="str">
        <f t="shared" si="1"/>
        <v>Hyderabad -&gt; Kolkata</v>
      </c>
    </row>
    <row r="671" ht="15.75" customHeight="1">
      <c r="A671" s="5" t="s">
        <v>2040</v>
      </c>
      <c r="B671" s="5" t="s">
        <v>20</v>
      </c>
      <c r="C671" s="6" t="s">
        <v>1762</v>
      </c>
      <c r="D671" s="5" t="s">
        <v>640</v>
      </c>
      <c r="E671" s="5" t="s">
        <v>154</v>
      </c>
      <c r="F671" s="5" t="s">
        <v>132</v>
      </c>
      <c r="G671" s="5" t="s">
        <v>33</v>
      </c>
      <c r="H671" s="5" t="s">
        <v>33</v>
      </c>
      <c r="I671" s="6" t="s">
        <v>180</v>
      </c>
      <c r="J671" s="8">
        <v>23.25</v>
      </c>
      <c r="K671" s="5" t="str">
        <f t="shared" si="1"/>
        <v>Hyderabad -&gt; Kolkata</v>
      </c>
    </row>
    <row r="672" ht="15.75" customHeight="1">
      <c r="A672" s="5" t="s">
        <v>2042</v>
      </c>
      <c r="B672" s="5" t="s">
        <v>20</v>
      </c>
      <c r="C672" s="6" t="s">
        <v>1670</v>
      </c>
      <c r="D672" s="5" t="s">
        <v>640</v>
      </c>
      <c r="E672" s="5" t="s">
        <v>154</v>
      </c>
      <c r="F672" s="5" t="s">
        <v>132</v>
      </c>
      <c r="G672" s="5" t="s">
        <v>33</v>
      </c>
      <c r="H672" s="5" t="s">
        <v>35</v>
      </c>
      <c r="I672" s="6">
        <v>1.0</v>
      </c>
      <c r="J672" s="8">
        <v>37.92</v>
      </c>
      <c r="K672" s="5" t="str">
        <f t="shared" si="1"/>
        <v>Hyderabad -&gt; Kolkata</v>
      </c>
    </row>
    <row r="673" ht="15.75" customHeight="1">
      <c r="A673" s="5" t="s">
        <v>2045</v>
      </c>
      <c r="B673" s="5" t="s">
        <v>43</v>
      </c>
      <c r="C673" s="6">
        <v>6.0E-283</v>
      </c>
      <c r="D673" s="5" t="s">
        <v>640</v>
      </c>
      <c r="E673" s="5" t="s">
        <v>154</v>
      </c>
      <c r="F673" s="5" t="s">
        <v>132</v>
      </c>
      <c r="G673" s="5" t="s">
        <v>54</v>
      </c>
      <c r="H673" s="5" t="s">
        <v>54</v>
      </c>
      <c r="I673" s="6">
        <v>0.0</v>
      </c>
      <c r="J673" s="8">
        <v>2.25</v>
      </c>
      <c r="K673" s="5" t="str">
        <f t="shared" si="1"/>
        <v>Hyderabad -&gt; Kolkata</v>
      </c>
    </row>
    <row r="674" ht="15.75" customHeight="1">
      <c r="A674" s="5" t="s">
        <v>2047</v>
      </c>
      <c r="B674" s="5" t="s">
        <v>20</v>
      </c>
      <c r="C674" s="6" t="s">
        <v>1697</v>
      </c>
      <c r="D674" s="5" t="s">
        <v>640</v>
      </c>
      <c r="E674" s="5" t="s">
        <v>154</v>
      </c>
      <c r="F674" s="5" t="s">
        <v>132</v>
      </c>
      <c r="G674" s="5" t="s">
        <v>47</v>
      </c>
      <c r="H674" s="5" t="s">
        <v>54</v>
      </c>
      <c r="I674" s="6">
        <v>1.0</v>
      </c>
      <c r="J674" s="8">
        <v>28.0</v>
      </c>
      <c r="K674" s="5" t="str">
        <f t="shared" si="1"/>
        <v>Hyderabad -&gt; Kolkata</v>
      </c>
    </row>
    <row r="675" ht="15.75" customHeight="1">
      <c r="A675" s="5" t="s">
        <v>2049</v>
      </c>
      <c r="B675" s="5" t="s">
        <v>43</v>
      </c>
      <c r="C675" s="6">
        <v>6.0E-149</v>
      </c>
      <c r="D675" s="5" t="s">
        <v>640</v>
      </c>
      <c r="E675" s="5" t="s">
        <v>154</v>
      </c>
      <c r="F675" s="5" t="s">
        <v>132</v>
      </c>
      <c r="G675" s="5" t="s">
        <v>33</v>
      </c>
      <c r="H675" s="5" t="s">
        <v>54</v>
      </c>
      <c r="I675" s="6">
        <v>1.0</v>
      </c>
      <c r="J675" s="8">
        <v>8.0</v>
      </c>
      <c r="K675" s="5" t="str">
        <f t="shared" si="1"/>
        <v>Hyderabad -&gt; Kolkata</v>
      </c>
    </row>
    <row r="676" ht="15.75" customHeight="1">
      <c r="A676" s="5" t="s">
        <v>2051</v>
      </c>
      <c r="B676" s="5" t="s">
        <v>45</v>
      </c>
      <c r="C676" s="6" t="s">
        <v>1678</v>
      </c>
      <c r="D676" s="5" t="s">
        <v>640</v>
      </c>
      <c r="E676" s="5" t="s">
        <v>154</v>
      </c>
      <c r="F676" s="5" t="s">
        <v>132</v>
      </c>
      <c r="G676" s="5" t="s">
        <v>35</v>
      </c>
      <c r="H676" s="5" t="s">
        <v>47</v>
      </c>
      <c r="I676" s="6">
        <v>1.0</v>
      </c>
      <c r="J676" s="8">
        <v>16.67</v>
      </c>
      <c r="K676" s="5" t="str">
        <f t="shared" si="1"/>
        <v>Hyderabad -&gt; Kolkata</v>
      </c>
    </row>
    <row r="677" ht="15.75" customHeight="1">
      <c r="A677" s="5" t="s">
        <v>2053</v>
      </c>
      <c r="B677" s="5" t="s">
        <v>45</v>
      </c>
      <c r="C677" s="6" t="s">
        <v>1791</v>
      </c>
      <c r="D677" s="5" t="s">
        <v>640</v>
      </c>
      <c r="E677" s="5" t="s">
        <v>154</v>
      </c>
      <c r="F677" s="5" t="s">
        <v>132</v>
      </c>
      <c r="G677" s="5" t="s">
        <v>35</v>
      </c>
      <c r="H677" s="5" t="s">
        <v>47</v>
      </c>
      <c r="I677" s="6">
        <v>1.0</v>
      </c>
      <c r="J677" s="8">
        <v>15.67</v>
      </c>
      <c r="K677" s="5" t="str">
        <f t="shared" si="1"/>
        <v>Hyderabad -&gt; Kolkata</v>
      </c>
    </row>
    <row r="678" ht="15.75" customHeight="1">
      <c r="A678" s="5" t="s">
        <v>2056</v>
      </c>
      <c r="B678" s="5" t="s">
        <v>43</v>
      </c>
      <c r="C678" s="6" t="s">
        <v>2057</v>
      </c>
      <c r="D678" s="5" t="s">
        <v>640</v>
      </c>
      <c r="E678" s="5" t="s">
        <v>154</v>
      </c>
      <c r="F678" s="5" t="s">
        <v>132</v>
      </c>
      <c r="G678" s="5" t="s">
        <v>54</v>
      </c>
      <c r="H678" s="5" t="s">
        <v>35</v>
      </c>
      <c r="I678" s="6">
        <v>1.0</v>
      </c>
      <c r="J678" s="8">
        <v>7.25</v>
      </c>
      <c r="K678" s="5" t="str">
        <f t="shared" si="1"/>
        <v>Hyderabad -&gt; Kolkata</v>
      </c>
    </row>
    <row r="679" ht="15.75" customHeight="1">
      <c r="A679" s="5" t="s">
        <v>2059</v>
      </c>
      <c r="B679" s="5" t="s">
        <v>43</v>
      </c>
      <c r="C679" s="6" t="s">
        <v>2061</v>
      </c>
      <c r="D679" s="5" t="s">
        <v>640</v>
      </c>
      <c r="E679" s="5" t="s">
        <v>154</v>
      </c>
      <c r="F679" s="5" t="s">
        <v>132</v>
      </c>
      <c r="G679" s="5" t="s">
        <v>33</v>
      </c>
      <c r="H679" s="5" t="s">
        <v>33</v>
      </c>
      <c r="I679" s="6" t="s">
        <v>180</v>
      </c>
      <c r="J679" s="8">
        <v>6.67</v>
      </c>
      <c r="K679" s="5" t="str">
        <f t="shared" si="1"/>
        <v>Hyderabad -&gt; Kolkata</v>
      </c>
    </row>
    <row r="680" ht="15.75" customHeight="1">
      <c r="A680" s="5" t="s">
        <v>2063</v>
      </c>
      <c r="B680" s="5" t="s">
        <v>72</v>
      </c>
      <c r="C680" s="6" t="s">
        <v>2064</v>
      </c>
      <c r="D680" s="5" t="s">
        <v>640</v>
      </c>
      <c r="E680" s="5" t="s">
        <v>154</v>
      </c>
      <c r="F680" s="5" t="s">
        <v>132</v>
      </c>
      <c r="G680" s="5" t="s">
        <v>54</v>
      </c>
      <c r="H680" s="5" t="s">
        <v>35</v>
      </c>
      <c r="I680" s="6">
        <v>0.0</v>
      </c>
      <c r="J680" s="8">
        <v>1.75</v>
      </c>
      <c r="K680" s="5" t="str">
        <f t="shared" si="1"/>
        <v>Hyderabad -&gt; Kolkata</v>
      </c>
    </row>
    <row r="681" ht="15.75" customHeight="1">
      <c r="A681" s="5" t="s">
        <v>2066</v>
      </c>
      <c r="B681" s="5" t="s">
        <v>45</v>
      </c>
      <c r="C681" s="6" t="s">
        <v>1939</v>
      </c>
      <c r="D681" s="5" t="s">
        <v>640</v>
      </c>
      <c r="E681" s="5" t="s">
        <v>154</v>
      </c>
      <c r="F681" s="5" t="s">
        <v>132</v>
      </c>
      <c r="G681" s="5" t="s">
        <v>47</v>
      </c>
      <c r="H681" s="5" t="s">
        <v>35</v>
      </c>
      <c r="I681" s="6">
        <v>1.0</v>
      </c>
      <c r="J681" s="8">
        <v>9.33</v>
      </c>
      <c r="K681" s="5" t="str">
        <f t="shared" si="1"/>
        <v>Hyderabad -&gt; Kolkata</v>
      </c>
    </row>
    <row r="682" ht="15.75" customHeight="1">
      <c r="A682" s="5" t="s">
        <v>2069</v>
      </c>
      <c r="B682" s="5" t="s">
        <v>20</v>
      </c>
      <c r="C682" s="6" t="s">
        <v>1767</v>
      </c>
      <c r="D682" s="5" t="s">
        <v>671</v>
      </c>
      <c r="E682" s="5" t="s">
        <v>154</v>
      </c>
      <c r="F682" s="5" t="s">
        <v>164</v>
      </c>
      <c r="G682" s="5" t="s">
        <v>47</v>
      </c>
      <c r="H682" s="5" t="s">
        <v>54</v>
      </c>
      <c r="I682" s="6">
        <v>1.0</v>
      </c>
      <c r="J682" s="8">
        <v>26.92</v>
      </c>
      <c r="K682" s="5" t="str">
        <f t="shared" si="1"/>
        <v>Hyderabad -&gt; Chennai</v>
      </c>
    </row>
    <row r="683" ht="15.75" customHeight="1">
      <c r="A683" s="5" t="s">
        <v>2072</v>
      </c>
      <c r="B683" s="5" t="s">
        <v>20</v>
      </c>
      <c r="C683" s="6" t="s">
        <v>1697</v>
      </c>
      <c r="D683" s="5" t="s">
        <v>671</v>
      </c>
      <c r="E683" s="5" t="s">
        <v>154</v>
      </c>
      <c r="F683" s="5" t="s">
        <v>164</v>
      </c>
      <c r="G683" s="5" t="s">
        <v>47</v>
      </c>
      <c r="H683" s="5" t="s">
        <v>54</v>
      </c>
      <c r="I683" s="6">
        <v>1.0</v>
      </c>
      <c r="J683" s="8">
        <v>7.0</v>
      </c>
      <c r="K683" s="5" t="str">
        <f t="shared" si="1"/>
        <v>Hyderabad -&gt; Chennai</v>
      </c>
    </row>
    <row r="684" ht="15.75" customHeight="1">
      <c r="A684" s="5" t="s">
        <v>2074</v>
      </c>
      <c r="B684" s="5" t="s">
        <v>43</v>
      </c>
      <c r="C684" s="6" t="s">
        <v>2019</v>
      </c>
      <c r="D684" s="5" t="s">
        <v>671</v>
      </c>
      <c r="E684" s="5" t="s">
        <v>154</v>
      </c>
      <c r="F684" s="5" t="s">
        <v>164</v>
      </c>
      <c r="G684" s="5" t="s">
        <v>54</v>
      </c>
      <c r="H684" s="5" t="s">
        <v>35</v>
      </c>
      <c r="I684" s="6">
        <v>1.0</v>
      </c>
      <c r="J684" s="8">
        <v>6.5</v>
      </c>
      <c r="K684" s="5" t="str">
        <f t="shared" si="1"/>
        <v>Hyderabad -&gt; Chennai</v>
      </c>
    </row>
    <row r="685" ht="15.75" customHeight="1">
      <c r="A685" s="5" t="s">
        <v>2076</v>
      </c>
      <c r="B685" s="5" t="s">
        <v>45</v>
      </c>
      <c r="C685" s="6" t="s">
        <v>595</v>
      </c>
      <c r="D685" s="5" t="s">
        <v>671</v>
      </c>
      <c r="E685" s="5" t="s">
        <v>154</v>
      </c>
      <c r="F685" s="5" t="s">
        <v>164</v>
      </c>
      <c r="G685" s="5" t="s">
        <v>33</v>
      </c>
      <c r="H685" s="5" t="s">
        <v>33</v>
      </c>
      <c r="I685" s="6" t="s">
        <v>180</v>
      </c>
      <c r="J685" s="8">
        <v>26.25</v>
      </c>
      <c r="K685" s="5" t="str">
        <f t="shared" si="1"/>
        <v>Hyderabad -&gt; Chennai</v>
      </c>
    </row>
    <row r="686" ht="15.75" customHeight="1">
      <c r="A686" s="5" t="s">
        <v>2078</v>
      </c>
      <c r="B686" s="5" t="s">
        <v>45</v>
      </c>
      <c r="C686" s="6" t="s">
        <v>1678</v>
      </c>
      <c r="D686" s="5" t="s">
        <v>671</v>
      </c>
      <c r="E686" s="5" t="s">
        <v>154</v>
      </c>
      <c r="F686" s="5" t="s">
        <v>164</v>
      </c>
      <c r="G686" s="5" t="s">
        <v>35</v>
      </c>
      <c r="H686" s="5" t="s">
        <v>35</v>
      </c>
      <c r="I686" s="6">
        <v>0.0</v>
      </c>
      <c r="J686" s="8">
        <v>1.25</v>
      </c>
      <c r="K686" s="5" t="str">
        <f t="shared" si="1"/>
        <v>Hyderabad -&gt; Chennai</v>
      </c>
    </row>
    <row r="687" ht="15.75" customHeight="1">
      <c r="A687" s="5" t="s">
        <v>2081</v>
      </c>
      <c r="B687" s="5" t="s">
        <v>43</v>
      </c>
      <c r="C687" s="6" t="s">
        <v>2057</v>
      </c>
      <c r="D687" s="5" t="s">
        <v>671</v>
      </c>
      <c r="E687" s="5" t="s">
        <v>154</v>
      </c>
      <c r="F687" s="5" t="s">
        <v>164</v>
      </c>
      <c r="G687" s="5" t="s">
        <v>54</v>
      </c>
      <c r="H687" s="5" t="s">
        <v>35</v>
      </c>
      <c r="I687" s="6" t="s">
        <v>66</v>
      </c>
      <c r="J687" s="8">
        <v>6.83</v>
      </c>
      <c r="K687" s="5" t="str">
        <f t="shared" si="1"/>
        <v>Hyderabad -&gt; Chennai</v>
      </c>
    </row>
    <row r="688" ht="15.75" customHeight="1">
      <c r="A688" s="5" t="s">
        <v>2083</v>
      </c>
      <c r="B688" s="5" t="s">
        <v>45</v>
      </c>
      <c r="C688" s="6" t="s">
        <v>595</v>
      </c>
      <c r="D688" s="5" t="s">
        <v>671</v>
      </c>
      <c r="E688" s="5" t="s">
        <v>154</v>
      </c>
      <c r="F688" s="5" t="s">
        <v>164</v>
      </c>
      <c r="G688" s="5" t="s">
        <v>33</v>
      </c>
      <c r="H688" s="5" t="s">
        <v>35</v>
      </c>
      <c r="I688" s="6" t="s">
        <v>180</v>
      </c>
      <c r="J688" s="8">
        <v>14.5</v>
      </c>
      <c r="K688" s="5" t="str">
        <f t="shared" si="1"/>
        <v>Hyderabad -&gt; Chennai</v>
      </c>
    </row>
    <row r="689" ht="15.75" customHeight="1">
      <c r="A689" s="5" t="s">
        <v>2086</v>
      </c>
      <c r="B689" s="5" t="s">
        <v>45</v>
      </c>
      <c r="C689" s="6" t="s">
        <v>1896</v>
      </c>
      <c r="D689" s="5" t="s">
        <v>671</v>
      </c>
      <c r="E689" s="5" t="s">
        <v>154</v>
      </c>
      <c r="F689" s="5" t="s">
        <v>164</v>
      </c>
      <c r="G689" s="5" t="s">
        <v>33</v>
      </c>
      <c r="H689" s="5" t="s">
        <v>54</v>
      </c>
      <c r="I689" s="6">
        <v>1.0</v>
      </c>
      <c r="J689" s="8">
        <v>12.5</v>
      </c>
      <c r="K689" s="5" t="str">
        <f t="shared" si="1"/>
        <v>Hyderabad -&gt; Chennai</v>
      </c>
    </row>
    <row r="690" ht="15.75" customHeight="1">
      <c r="A690" s="5" t="s">
        <v>2089</v>
      </c>
      <c r="B690" s="5" t="s">
        <v>43</v>
      </c>
      <c r="C690" s="6">
        <v>6.0E-208</v>
      </c>
      <c r="D690" s="5" t="s">
        <v>671</v>
      </c>
      <c r="E690" s="5" t="s">
        <v>154</v>
      </c>
      <c r="F690" s="5" t="s">
        <v>164</v>
      </c>
      <c r="G690" s="5" t="s">
        <v>54</v>
      </c>
      <c r="H690" s="5" t="s">
        <v>35</v>
      </c>
      <c r="I690" s="6">
        <v>1.0</v>
      </c>
      <c r="J690" s="8">
        <v>6.67</v>
      </c>
      <c r="K690" s="5" t="str">
        <f t="shared" si="1"/>
        <v>Hyderabad -&gt; Chennai</v>
      </c>
    </row>
    <row r="691" ht="15.75" customHeight="1">
      <c r="A691" s="5" t="s">
        <v>2091</v>
      </c>
      <c r="B691" s="5" t="s">
        <v>43</v>
      </c>
      <c r="C691" s="6" t="s">
        <v>1885</v>
      </c>
      <c r="D691" s="5" t="s">
        <v>671</v>
      </c>
      <c r="E691" s="5" t="s">
        <v>154</v>
      </c>
      <c r="F691" s="5" t="s">
        <v>164</v>
      </c>
      <c r="G691" s="5" t="s">
        <v>47</v>
      </c>
      <c r="H691" s="5" t="s">
        <v>47</v>
      </c>
      <c r="I691" s="6">
        <v>0.0</v>
      </c>
      <c r="J691" s="8">
        <v>1.25</v>
      </c>
      <c r="K691" s="5" t="str">
        <f t="shared" si="1"/>
        <v>Hyderabad -&gt; Chennai</v>
      </c>
    </row>
    <row r="692" ht="15.75" customHeight="1">
      <c r="A692" s="5" t="s">
        <v>2094</v>
      </c>
      <c r="B692" s="5" t="s">
        <v>20</v>
      </c>
      <c r="C692" s="6" t="s">
        <v>1747</v>
      </c>
      <c r="D692" s="5" t="s">
        <v>671</v>
      </c>
      <c r="E692" s="5" t="s">
        <v>154</v>
      </c>
      <c r="F692" s="5" t="s">
        <v>164</v>
      </c>
      <c r="G692" s="5" t="s">
        <v>35</v>
      </c>
      <c r="H692" s="5" t="s">
        <v>35</v>
      </c>
      <c r="I692" s="6">
        <v>1.0</v>
      </c>
      <c r="J692" s="8">
        <v>23.67</v>
      </c>
      <c r="K692" s="5" t="str">
        <f t="shared" si="1"/>
        <v>Hyderabad -&gt; Chennai</v>
      </c>
    </row>
    <row r="693" ht="15.75" customHeight="1">
      <c r="A693" s="5" t="s">
        <v>2096</v>
      </c>
      <c r="B693" s="5" t="s">
        <v>45</v>
      </c>
      <c r="C693" s="6" t="s">
        <v>1791</v>
      </c>
      <c r="D693" s="5" t="s">
        <v>671</v>
      </c>
      <c r="E693" s="5" t="s">
        <v>154</v>
      </c>
      <c r="F693" s="5" t="s">
        <v>164</v>
      </c>
      <c r="G693" s="5" t="s">
        <v>35</v>
      </c>
      <c r="H693" s="5" t="s">
        <v>47</v>
      </c>
      <c r="I693" s="6">
        <v>1.0</v>
      </c>
      <c r="J693" s="8">
        <v>15.83</v>
      </c>
      <c r="K693" s="5" t="str">
        <f t="shared" si="1"/>
        <v>Hyderabad -&gt; Chennai</v>
      </c>
    </row>
    <row r="694" ht="15.75" customHeight="1">
      <c r="A694" s="5" t="s">
        <v>2099</v>
      </c>
      <c r="B694" s="5" t="s">
        <v>20</v>
      </c>
      <c r="C694" s="6" t="s">
        <v>1670</v>
      </c>
      <c r="D694" s="5" t="s">
        <v>671</v>
      </c>
      <c r="E694" s="5" t="s">
        <v>154</v>
      </c>
      <c r="F694" s="5" t="s">
        <v>164</v>
      </c>
      <c r="G694" s="5" t="s">
        <v>33</v>
      </c>
      <c r="H694" s="5" t="s">
        <v>35</v>
      </c>
      <c r="I694" s="6">
        <v>1.0</v>
      </c>
      <c r="J694" s="8">
        <v>13.25</v>
      </c>
      <c r="K694" s="5" t="str">
        <f t="shared" si="1"/>
        <v>Hyderabad -&gt; Chennai</v>
      </c>
    </row>
    <row r="695" ht="15.75" customHeight="1">
      <c r="A695" s="5" t="s">
        <v>2102</v>
      </c>
      <c r="B695" s="5" t="s">
        <v>43</v>
      </c>
      <c r="C695" s="6" t="s">
        <v>2103</v>
      </c>
      <c r="D695" s="5" t="s">
        <v>671</v>
      </c>
      <c r="E695" s="5" t="s">
        <v>154</v>
      </c>
      <c r="F695" s="5" t="s">
        <v>164</v>
      </c>
      <c r="G695" s="5" t="s">
        <v>33</v>
      </c>
      <c r="H695" s="5" t="s">
        <v>54</v>
      </c>
      <c r="I695" s="6">
        <v>1.0</v>
      </c>
      <c r="J695" s="8">
        <v>10.0</v>
      </c>
      <c r="K695" s="5" t="str">
        <f t="shared" si="1"/>
        <v>Hyderabad -&gt; Chennai</v>
      </c>
    </row>
    <row r="696" ht="15.75" customHeight="1">
      <c r="A696" s="5" t="s">
        <v>2105</v>
      </c>
      <c r="B696" s="5" t="s">
        <v>43</v>
      </c>
      <c r="C696" s="6" t="s">
        <v>2107</v>
      </c>
      <c r="D696" s="5" t="s">
        <v>671</v>
      </c>
      <c r="E696" s="5" t="s">
        <v>154</v>
      </c>
      <c r="F696" s="5" t="s">
        <v>164</v>
      </c>
      <c r="G696" s="5" t="s">
        <v>47</v>
      </c>
      <c r="H696" s="5" t="s">
        <v>35</v>
      </c>
      <c r="I696" s="6">
        <v>1.0</v>
      </c>
      <c r="J696" s="8">
        <v>6.0</v>
      </c>
      <c r="K696" s="5" t="str">
        <f t="shared" si="1"/>
        <v>Hyderabad -&gt; Chennai</v>
      </c>
    </row>
    <row r="697" ht="15.75" customHeight="1">
      <c r="A697" s="5" t="s">
        <v>2109</v>
      </c>
      <c r="B697" s="5" t="s">
        <v>45</v>
      </c>
      <c r="C697" s="6" t="s">
        <v>1819</v>
      </c>
      <c r="D697" s="5" t="s">
        <v>671</v>
      </c>
      <c r="E697" s="5" t="s">
        <v>154</v>
      </c>
      <c r="F697" s="5" t="s">
        <v>164</v>
      </c>
      <c r="G697" s="5" t="s">
        <v>33</v>
      </c>
      <c r="H697" s="5" t="s">
        <v>33</v>
      </c>
      <c r="I697" s="6" t="s">
        <v>180</v>
      </c>
      <c r="J697" s="8">
        <v>22.17</v>
      </c>
      <c r="K697" s="5" t="str">
        <f t="shared" si="1"/>
        <v>Hyderabad -&gt; Chennai</v>
      </c>
    </row>
    <row r="698" ht="15.75" customHeight="1">
      <c r="A698" s="5" t="s">
        <v>2111</v>
      </c>
      <c r="B698" s="5" t="s">
        <v>43</v>
      </c>
      <c r="C698" s="6">
        <v>6.0E-121</v>
      </c>
      <c r="D698" s="5" t="s">
        <v>671</v>
      </c>
      <c r="E698" s="5" t="s">
        <v>154</v>
      </c>
      <c r="F698" s="5" t="s">
        <v>164</v>
      </c>
      <c r="G698" s="5" t="s">
        <v>33</v>
      </c>
      <c r="H698" s="5" t="s">
        <v>33</v>
      </c>
      <c r="I698" s="6">
        <v>0.0</v>
      </c>
      <c r="J698" s="8">
        <v>1.25</v>
      </c>
      <c r="K698" s="5" t="str">
        <f t="shared" si="1"/>
        <v>Hyderabad -&gt; Chennai</v>
      </c>
    </row>
    <row r="699" ht="15.75" customHeight="1">
      <c r="A699" s="5" t="s">
        <v>2114</v>
      </c>
      <c r="B699" s="5" t="s">
        <v>20</v>
      </c>
      <c r="C699" s="6" t="s">
        <v>1697</v>
      </c>
      <c r="D699" s="5" t="s">
        <v>671</v>
      </c>
      <c r="E699" s="5" t="s">
        <v>154</v>
      </c>
      <c r="F699" s="5" t="s">
        <v>164</v>
      </c>
      <c r="G699" s="5" t="s">
        <v>47</v>
      </c>
      <c r="H699" s="5" t="s">
        <v>33</v>
      </c>
      <c r="I699" s="6">
        <v>1.0</v>
      </c>
      <c r="J699" s="8">
        <v>19.92</v>
      </c>
      <c r="K699" s="5" t="str">
        <f t="shared" si="1"/>
        <v>Hyderabad -&gt; Chennai</v>
      </c>
    </row>
    <row r="700" ht="15.75" customHeight="1">
      <c r="A700" s="5" t="s">
        <v>2116</v>
      </c>
      <c r="B700" s="5" t="s">
        <v>45</v>
      </c>
      <c r="C700" s="6" t="s">
        <v>2034</v>
      </c>
      <c r="D700" s="5" t="s">
        <v>671</v>
      </c>
      <c r="E700" s="5" t="s">
        <v>154</v>
      </c>
      <c r="F700" s="5" t="s">
        <v>164</v>
      </c>
      <c r="G700" s="5" t="s">
        <v>47</v>
      </c>
      <c r="H700" s="5" t="s">
        <v>47</v>
      </c>
      <c r="I700" s="6">
        <v>1.0</v>
      </c>
      <c r="J700" s="8">
        <v>20.67</v>
      </c>
      <c r="K700" s="5" t="str">
        <f t="shared" si="1"/>
        <v>Hyderabad -&gt; Chennai</v>
      </c>
    </row>
    <row r="701" ht="15.75" customHeight="1">
      <c r="A701" s="5" t="s">
        <v>2119</v>
      </c>
      <c r="B701" s="5" t="s">
        <v>20</v>
      </c>
      <c r="C701" s="6" t="s">
        <v>1651</v>
      </c>
      <c r="D701" s="5" t="s">
        <v>671</v>
      </c>
      <c r="E701" s="5" t="s">
        <v>154</v>
      </c>
      <c r="F701" s="5" t="s">
        <v>164</v>
      </c>
      <c r="G701" s="5" t="s">
        <v>33</v>
      </c>
      <c r="H701" s="5" t="s">
        <v>35</v>
      </c>
      <c r="I701" s="6">
        <v>1.0</v>
      </c>
      <c r="J701" s="8">
        <v>14.58</v>
      </c>
      <c r="K701" s="5" t="str">
        <f t="shared" si="1"/>
        <v>Hyderabad -&gt; Chennai</v>
      </c>
    </row>
    <row r="702" ht="15.75" customHeight="1">
      <c r="A702" s="5" t="s">
        <v>2121</v>
      </c>
      <c r="B702" s="5" t="s">
        <v>20</v>
      </c>
      <c r="C702" s="6" t="s">
        <v>1762</v>
      </c>
      <c r="D702" s="5" t="s">
        <v>671</v>
      </c>
      <c r="E702" s="5" t="s">
        <v>154</v>
      </c>
      <c r="F702" s="5" t="s">
        <v>164</v>
      </c>
      <c r="G702" s="5" t="s">
        <v>33</v>
      </c>
      <c r="H702" s="5" t="s">
        <v>54</v>
      </c>
      <c r="I702" s="6">
        <v>1.0</v>
      </c>
      <c r="J702" s="8">
        <v>9.58</v>
      </c>
      <c r="K702" s="5" t="str">
        <f t="shared" si="1"/>
        <v>Hyderabad -&gt; Chennai</v>
      </c>
    </row>
    <row r="703" ht="15.75" customHeight="1">
      <c r="A703" s="5" t="s">
        <v>2122</v>
      </c>
      <c r="B703" s="5" t="s">
        <v>45</v>
      </c>
      <c r="C703" s="6" t="s">
        <v>1772</v>
      </c>
      <c r="D703" s="5" t="s">
        <v>671</v>
      </c>
      <c r="E703" s="5" t="s">
        <v>154</v>
      </c>
      <c r="F703" s="5" t="s">
        <v>164</v>
      </c>
      <c r="G703" s="5" t="s">
        <v>33</v>
      </c>
      <c r="H703" s="5" t="s">
        <v>33</v>
      </c>
      <c r="I703" s="6">
        <v>0.0</v>
      </c>
      <c r="J703" s="8">
        <v>1.5</v>
      </c>
      <c r="K703" s="5" t="str">
        <f t="shared" si="1"/>
        <v>Hyderabad -&gt; Chennai</v>
      </c>
    </row>
    <row r="704" ht="15.75" customHeight="1">
      <c r="A704" s="5" t="s">
        <v>2124</v>
      </c>
      <c r="B704" s="5" t="s">
        <v>43</v>
      </c>
      <c r="C704" s="6" t="s">
        <v>2125</v>
      </c>
      <c r="D704" s="5" t="s">
        <v>671</v>
      </c>
      <c r="E704" s="5" t="s">
        <v>154</v>
      </c>
      <c r="F704" s="5" t="s">
        <v>164</v>
      </c>
      <c r="G704" s="5" t="s">
        <v>33</v>
      </c>
      <c r="H704" s="5" t="s">
        <v>33</v>
      </c>
      <c r="I704" s="6">
        <v>1.0</v>
      </c>
      <c r="J704" s="8">
        <v>3.25</v>
      </c>
      <c r="K704" s="5" t="str">
        <f t="shared" si="1"/>
        <v>Hyderabad -&gt; Chennai</v>
      </c>
    </row>
    <row r="705" ht="15.75" customHeight="1">
      <c r="A705" s="5" t="s">
        <v>2127</v>
      </c>
      <c r="B705" s="5" t="s">
        <v>45</v>
      </c>
      <c r="C705" s="6" t="s">
        <v>1896</v>
      </c>
      <c r="D705" s="5" t="s">
        <v>671</v>
      </c>
      <c r="E705" s="5" t="s">
        <v>154</v>
      </c>
      <c r="F705" s="5" t="s">
        <v>164</v>
      </c>
      <c r="G705" s="5" t="s">
        <v>33</v>
      </c>
      <c r="H705" s="5" t="s">
        <v>35</v>
      </c>
      <c r="I705" s="6" t="s">
        <v>180</v>
      </c>
      <c r="J705" s="8">
        <v>14.83</v>
      </c>
      <c r="K705" s="5" t="str">
        <f t="shared" si="1"/>
        <v>Hyderabad -&gt; Chennai</v>
      </c>
    </row>
    <row r="706" ht="15.75" customHeight="1">
      <c r="A706" s="5" t="s">
        <v>2128</v>
      </c>
      <c r="B706" s="5" t="s">
        <v>45</v>
      </c>
      <c r="C706" s="6" t="s">
        <v>1782</v>
      </c>
      <c r="D706" s="5" t="s">
        <v>671</v>
      </c>
      <c r="E706" s="5" t="s">
        <v>154</v>
      </c>
      <c r="F706" s="5" t="s">
        <v>164</v>
      </c>
      <c r="G706" s="5" t="s">
        <v>33</v>
      </c>
      <c r="H706" s="5" t="s">
        <v>33</v>
      </c>
      <c r="I706" s="6" t="s">
        <v>180</v>
      </c>
      <c r="J706" s="8">
        <v>23.58</v>
      </c>
      <c r="K706" s="5" t="str">
        <f t="shared" si="1"/>
        <v>Hyderabad -&gt; Chennai</v>
      </c>
    </row>
    <row r="707" ht="15.75" customHeight="1">
      <c r="A707" s="5" t="s">
        <v>2130</v>
      </c>
      <c r="B707" s="5" t="s">
        <v>43</v>
      </c>
      <c r="C707" s="6" t="s">
        <v>2131</v>
      </c>
      <c r="D707" s="5" t="s">
        <v>671</v>
      </c>
      <c r="E707" s="5" t="s">
        <v>154</v>
      </c>
      <c r="F707" s="5" t="s">
        <v>164</v>
      </c>
      <c r="G707" s="5" t="s">
        <v>33</v>
      </c>
      <c r="H707" s="5" t="s">
        <v>54</v>
      </c>
      <c r="I707" s="6">
        <v>1.0</v>
      </c>
      <c r="J707" s="8">
        <v>8.33</v>
      </c>
      <c r="K707" s="5" t="str">
        <f t="shared" si="1"/>
        <v>Hyderabad -&gt; Chennai</v>
      </c>
    </row>
    <row r="708" ht="15.75" customHeight="1">
      <c r="A708" s="5" t="s">
        <v>2133</v>
      </c>
      <c r="B708" s="5" t="s">
        <v>20</v>
      </c>
      <c r="C708" s="6" t="s">
        <v>1670</v>
      </c>
      <c r="D708" s="5" t="s">
        <v>671</v>
      </c>
      <c r="E708" s="5" t="s">
        <v>154</v>
      </c>
      <c r="F708" s="5" t="s">
        <v>164</v>
      </c>
      <c r="G708" s="5" t="s">
        <v>33</v>
      </c>
      <c r="H708" s="5" t="s">
        <v>33</v>
      </c>
      <c r="I708" s="6">
        <v>1.0</v>
      </c>
      <c r="J708" s="8">
        <v>26.92</v>
      </c>
      <c r="K708" s="5" t="str">
        <f t="shared" si="1"/>
        <v>Hyderabad -&gt; Chennai</v>
      </c>
    </row>
    <row r="709" ht="15.75" customHeight="1">
      <c r="A709" s="5" t="s">
        <v>2142</v>
      </c>
      <c r="B709" s="5" t="s">
        <v>20</v>
      </c>
      <c r="C709" s="6" t="s">
        <v>1762</v>
      </c>
      <c r="D709" s="5" t="s">
        <v>671</v>
      </c>
      <c r="E709" s="5" t="s">
        <v>154</v>
      </c>
      <c r="F709" s="5" t="s">
        <v>164</v>
      </c>
      <c r="G709" s="5" t="s">
        <v>33</v>
      </c>
      <c r="H709" s="5" t="s">
        <v>33</v>
      </c>
      <c r="I709" s="6">
        <v>1.0</v>
      </c>
      <c r="J709" s="8">
        <v>23.58</v>
      </c>
      <c r="K709" s="5" t="str">
        <f t="shared" si="1"/>
        <v>Hyderabad -&gt; Chennai</v>
      </c>
    </row>
    <row r="710" ht="15.75" customHeight="1">
      <c r="A710" s="5" t="s">
        <v>2143</v>
      </c>
      <c r="B710" s="5" t="s">
        <v>72</v>
      </c>
      <c r="C710" s="6" t="s">
        <v>2145</v>
      </c>
      <c r="D710" s="5" t="s">
        <v>671</v>
      </c>
      <c r="E710" s="5" t="s">
        <v>154</v>
      </c>
      <c r="F710" s="5" t="s">
        <v>164</v>
      </c>
      <c r="G710" s="5" t="s">
        <v>47</v>
      </c>
      <c r="H710" s="5" t="s">
        <v>47</v>
      </c>
      <c r="I710" s="6">
        <v>0.0</v>
      </c>
      <c r="J710" s="8">
        <v>1.25</v>
      </c>
      <c r="K710" s="5" t="str">
        <f t="shared" si="1"/>
        <v>Hyderabad -&gt; Chennai</v>
      </c>
    </row>
    <row r="711" ht="15.75" customHeight="1">
      <c r="A711" s="5" t="s">
        <v>2146</v>
      </c>
      <c r="B711" s="5" t="s">
        <v>20</v>
      </c>
      <c r="C711" s="6" t="s">
        <v>1794</v>
      </c>
      <c r="D711" s="5" t="s">
        <v>671</v>
      </c>
      <c r="E711" s="5" t="s">
        <v>154</v>
      </c>
      <c r="F711" s="5" t="s">
        <v>164</v>
      </c>
      <c r="G711" s="5" t="s">
        <v>54</v>
      </c>
      <c r="H711" s="5" t="s">
        <v>33</v>
      </c>
      <c r="I711" s="6" t="s">
        <v>180</v>
      </c>
      <c r="J711" s="8">
        <v>14.33</v>
      </c>
      <c r="K711" s="5" t="str">
        <f t="shared" si="1"/>
        <v>Hyderabad -&gt; Chennai</v>
      </c>
    </row>
    <row r="712" ht="15.75" customHeight="1">
      <c r="A712" s="5" t="s">
        <v>2148</v>
      </c>
      <c r="B712" s="5" t="s">
        <v>45</v>
      </c>
      <c r="C712" s="6" t="s">
        <v>1740</v>
      </c>
      <c r="D712" s="5" t="s">
        <v>671</v>
      </c>
      <c r="E712" s="5" t="s">
        <v>154</v>
      </c>
      <c r="F712" s="5" t="s">
        <v>164</v>
      </c>
      <c r="G712" s="5" t="s">
        <v>47</v>
      </c>
      <c r="H712" s="5" t="s">
        <v>54</v>
      </c>
      <c r="I712" s="6">
        <v>1.0</v>
      </c>
      <c r="J712" s="8">
        <v>28.0</v>
      </c>
      <c r="K712" s="5" t="str">
        <f t="shared" si="1"/>
        <v>Hyderabad -&gt; Chennai</v>
      </c>
    </row>
    <row r="713" ht="15.75" customHeight="1">
      <c r="A713" s="5" t="s">
        <v>2150</v>
      </c>
      <c r="B713" s="5" t="s">
        <v>45</v>
      </c>
      <c r="C713" s="6" t="s">
        <v>1782</v>
      </c>
      <c r="D713" s="5" t="s">
        <v>671</v>
      </c>
      <c r="E713" s="5" t="s">
        <v>154</v>
      </c>
      <c r="F713" s="5" t="s">
        <v>164</v>
      </c>
      <c r="G713" s="5" t="s">
        <v>33</v>
      </c>
      <c r="H713" s="5" t="s">
        <v>54</v>
      </c>
      <c r="I713" s="6">
        <v>1.0</v>
      </c>
      <c r="J713" s="8">
        <v>7.67</v>
      </c>
      <c r="K713" s="5" t="str">
        <f t="shared" si="1"/>
        <v>Hyderabad -&gt; Chennai</v>
      </c>
    </row>
    <row r="714" ht="15.75" customHeight="1">
      <c r="A714" s="5" t="s">
        <v>2152</v>
      </c>
      <c r="B714" s="5" t="s">
        <v>45</v>
      </c>
      <c r="C714" s="6" t="s">
        <v>1791</v>
      </c>
      <c r="D714" s="5" t="s">
        <v>671</v>
      </c>
      <c r="E714" s="5" t="s">
        <v>154</v>
      </c>
      <c r="F714" s="5" t="s">
        <v>164</v>
      </c>
      <c r="G714" s="5" t="s">
        <v>35</v>
      </c>
      <c r="H714" s="5" t="s">
        <v>35</v>
      </c>
      <c r="I714" s="6">
        <v>1.0</v>
      </c>
      <c r="J714" s="8">
        <v>24.5</v>
      </c>
      <c r="K714" s="5" t="str">
        <f t="shared" si="1"/>
        <v>Hyderabad -&gt; Chennai</v>
      </c>
    </row>
    <row r="715" ht="15.75" customHeight="1">
      <c r="A715" s="5" t="s">
        <v>2154</v>
      </c>
      <c r="B715" s="5" t="s">
        <v>20</v>
      </c>
      <c r="C715" s="6" t="s">
        <v>1747</v>
      </c>
      <c r="D715" s="5" t="s">
        <v>671</v>
      </c>
      <c r="E715" s="5" t="s">
        <v>154</v>
      </c>
      <c r="F715" s="5" t="s">
        <v>164</v>
      </c>
      <c r="G715" s="5" t="s">
        <v>35</v>
      </c>
      <c r="H715" s="5" t="s">
        <v>33</v>
      </c>
      <c r="I715" s="6">
        <v>1.0</v>
      </c>
      <c r="J715" s="8">
        <v>13.5</v>
      </c>
      <c r="K715" s="5" t="str">
        <f t="shared" si="1"/>
        <v>Hyderabad -&gt; Chennai</v>
      </c>
    </row>
    <row r="716" ht="15.75" customHeight="1">
      <c r="A716" s="5" t="s">
        <v>2157</v>
      </c>
      <c r="B716" s="5" t="s">
        <v>20</v>
      </c>
      <c r="C716" s="6" t="s">
        <v>1670</v>
      </c>
      <c r="D716" s="5" t="s">
        <v>671</v>
      </c>
      <c r="E716" s="5" t="s">
        <v>154</v>
      </c>
      <c r="F716" s="5" t="s">
        <v>164</v>
      </c>
      <c r="G716" s="5" t="s">
        <v>33</v>
      </c>
      <c r="H716" s="5" t="s">
        <v>35</v>
      </c>
      <c r="I716" s="6">
        <v>1.0</v>
      </c>
      <c r="J716" s="8">
        <v>16.25</v>
      </c>
      <c r="K716" s="5" t="str">
        <f t="shared" si="1"/>
        <v>Hyderabad -&gt; Chennai</v>
      </c>
    </row>
    <row r="717" ht="15.75" customHeight="1">
      <c r="A717" s="5" t="s">
        <v>2165</v>
      </c>
      <c r="B717" s="5" t="s">
        <v>43</v>
      </c>
      <c r="C717" s="6" t="s">
        <v>2125</v>
      </c>
      <c r="D717" s="5" t="s">
        <v>671</v>
      </c>
      <c r="E717" s="5" t="s">
        <v>154</v>
      </c>
      <c r="F717" s="5" t="s">
        <v>164</v>
      </c>
      <c r="G717" s="5" t="s">
        <v>33</v>
      </c>
      <c r="H717" s="5" t="s">
        <v>47</v>
      </c>
      <c r="I717" s="6">
        <v>1.0</v>
      </c>
      <c r="J717" s="8">
        <v>7.5</v>
      </c>
      <c r="K717" s="5" t="str">
        <f t="shared" si="1"/>
        <v>Hyderabad -&gt; Chennai</v>
      </c>
    </row>
    <row r="718" ht="15.75" customHeight="1">
      <c r="A718" s="5" t="s">
        <v>2167</v>
      </c>
      <c r="B718" s="5" t="s">
        <v>43</v>
      </c>
      <c r="C718" s="6">
        <v>6.0E-102</v>
      </c>
      <c r="D718" s="5" t="s">
        <v>671</v>
      </c>
      <c r="E718" s="5" t="s">
        <v>154</v>
      </c>
      <c r="F718" s="5" t="s">
        <v>164</v>
      </c>
      <c r="G718" s="5" t="s">
        <v>54</v>
      </c>
      <c r="H718" s="5" t="s">
        <v>54</v>
      </c>
      <c r="I718" s="6">
        <v>0.0</v>
      </c>
      <c r="J718" s="8">
        <v>1.25</v>
      </c>
      <c r="K718" s="5" t="str">
        <f t="shared" si="1"/>
        <v>Hyderabad -&gt; Chennai</v>
      </c>
    </row>
    <row r="719" ht="15.75" customHeight="1">
      <c r="A719" s="5" t="s">
        <v>2170</v>
      </c>
      <c r="B719" s="5" t="s">
        <v>43</v>
      </c>
      <c r="C719" s="6">
        <v>6.0E-285</v>
      </c>
      <c r="D719" s="5" t="s">
        <v>671</v>
      </c>
      <c r="E719" s="5" t="s">
        <v>154</v>
      </c>
      <c r="F719" s="5" t="s">
        <v>164</v>
      </c>
      <c r="G719" s="5" t="s">
        <v>54</v>
      </c>
      <c r="H719" s="5" t="s">
        <v>35</v>
      </c>
      <c r="I719" s="6">
        <v>1.0</v>
      </c>
      <c r="J719" s="8">
        <v>4.08</v>
      </c>
      <c r="K719" s="5" t="str">
        <f t="shared" si="1"/>
        <v>Hyderabad -&gt; Chennai</v>
      </c>
    </row>
    <row r="720" ht="15.75" customHeight="1">
      <c r="A720" s="5" t="s">
        <v>2172</v>
      </c>
      <c r="B720" s="5" t="s">
        <v>20</v>
      </c>
      <c r="C720" s="6" t="s">
        <v>1762</v>
      </c>
      <c r="D720" s="5" t="s">
        <v>671</v>
      </c>
      <c r="E720" s="5" t="s">
        <v>154</v>
      </c>
      <c r="F720" s="5" t="s">
        <v>164</v>
      </c>
      <c r="G720" s="5" t="s">
        <v>33</v>
      </c>
      <c r="H720" s="5" t="s">
        <v>54</v>
      </c>
      <c r="I720" s="6">
        <v>1.0</v>
      </c>
      <c r="J720" s="8">
        <v>6.0</v>
      </c>
      <c r="K720" s="5" t="str">
        <f t="shared" si="1"/>
        <v>Hyderabad -&gt; Chennai</v>
      </c>
    </row>
    <row r="721" ht="15.75" customHeight="1">
      <c r="A721" s="5" t="s">
        <v>2175</v>
      </c>
      <c r="B721" s="5" t="s">
        <v>43</v>
      </c>
      <c r="C721" s="6" t="s">
        <v>2131</v>
      </c>
      <c r="D721" s="5" t="s">
        <v>671</v>
      </c>
      <c r="E721" s="5" t="s">
        <v>154</v>
      </c>
      <c r="F721" s="5" t="s">
        <v>164</v>
      </c>
      <c r="G721" s="5" t="s">
        <v>33</v>
      </c>
      <c r="H721" s="5" t="s">
        <v>54</v>
      </c>
      <c r="I721" s="6">
        <v>1.0</v>
      </c>
      <c r="J721" s="8">
        <v>7.67</v>
      </c>
      <c r="K721" s="5" t="str">
        <f t="shared" si="1"/>
        <v>Hyderabad -&gt; Chennai</v>
      </c>
    </row>
    <row r="722" ht="15.75" customHeight="1">
      <c r="A722" s="5" t="s">
        <v>2177</v>
      </c>
      <c r="B722" s="5" t="s">
        <v>45</v>
      </c>
      <c r="C722" s="6" t="s">
        <v>2179</v>
      </c>
      <c r="D722" s="5" t="s">
        <v>699</v>
      </c>
      <c r="E722" s="5" t="s">
        <v>164</v>
      </c>
      <c r="F722" s="5" t="s">
        <v>27</v>
      </c>
      <c r="G722" s="5" t="s">
        <v>47</v>
      </c>
      <c r="H722" s="5" t="s">
        <v>35</v>
      </c>
      <c r="I722" s="6">
        <v>1.0</v>
      </c>
      <c r="J722" s="8">
        <v>32.83</v>
      </c>
      <c r="K722" s="5" t="str">
        <f t="shared" si="1"/>
        <v>Chennai -&gt; Delhi</v>
      </c>
    </row>
    <row r="723" ht="15.75" customHeight="1">
      <c r="A723" s="5" t="s">
        <v>2181</v>
      </c>
      <c r="B723" s="5" t="s">
        <v>45</v>
      </c>
      <c r="C723" s="6" t="s">
        <v>2182</v>
      </c>
      <c r="D723" s="5" t="s">
        <v>699</v>
      </c>
      <c r="E723" s="5" t="s">
        <v>164</v>
      </c>
      <c r="F723" s="5" t="s">
        <v>27</v>
      </c>
      <c r="G723" s="5" t="s">
        <v>33</v>
      </c>
      <c r="H723" s="5" t="s">
        <v>33</v>
      </c>
      <c r="I723" s="6">
        <v>1.0</v>
      </c>
      <c r="J723" s="8">
        <v>28.42</v>
      </c>
      <c r="K723" s="5" t="str">
        <f t="shared" si="1"/>
        <v>Chennai -&gt; Delhi</v>
      </c>
    </row>
    <row r="724" ht="15.75" customHeight="1">
      <c r="A724" s="5" t="s">
        <v>2185</v>
      </c>
      <c r="B724" s="5" t="s">
        <v>43</v>
      </c>
      <c r="C724" s="6" t="s">
        <v>2186</v>
      </c>
      <c r="D724" s="5" t="s">
        <v>699</v>
      </c>
      <c r="E724" s="5" t="s">
        <v>164</v>
      </c>
      <c r="F724" s="5" t="s">
        <v>27</v>
      </c>
      <c r="G724" s="5" t="s">
        <v>47</v>
      </c>
      <c r="H724" s="5" t="s">
        <v>35</v>
      </c>
      <c r="I724" s="6">
        <v>1.0</v>
      </c>
      <c r="J724" s="8">
        <v>10.0</v>
      </c>
      <c r="K724" s="5" t="str">
        <f t="shared" si="1"/>
        <v>Chennai -&gt; Delhi</v>
      </c>
    </row>
    <row r="725" ht="15.75" customHeight="1">
      <c r="A725" s="5" t="s">
        <v>2188</v>
      </c>
      <c r="B725" s="5" t="s">
        <v>45</v>
      </c>
      <c r="C725" s="6" t="s">
        <v>2190</v>
      </c>
      <c r="D725" s="5" t="s">
        <v>699</v>
      </c>
      <c r="E725" s="5" t="s">
        <v>164</v>
      </c>
      <c r="F725" s="5" t="s">
        <v>27</v>
      </c>
      <c r="G725" s="5" t="s">
        <v>33</v>
      </c>
      <c r="H725" s="5" t="s">
        <v>33</v>
      </c>
      <c r="I725" s="6">
        <v>0.0</v>
      </c>
      <c r="J725" s="8">
        <v>2.75</v>
      </c>
      <c r="K725" s="5" t="str">
        <f t="shared" si="1"/>
        <v>Chennai -&gt; Delhi</v>
      </c>
    </row>
    <row r="726" ht="15.75" customHeight="1">
      <c r="A726" s="5" t="s">
        <v>2192</v>
      </c>
      <c r="B726" s="5" t="s">
        <v>43</v>
      </c>
      <c r="C726" s="6" t="s">
        <v>2193</v>
      </c>
      <c r="D726" s="5" t="s">
        <v>699</v>
      </c>
      <c r="E726" s="5" t="s">
        <v>164</v>
      </c>
      <c r="F726" s="5" t="s">
        <v>27</v>
      </c>
      <c r="G726" s="5" t="s">
        <v>54</v>
      </c>
      <c r="H726" s="5" t="s">
        <v>35</v>
      </c>
      <c r="I726" s="6">
        <v>1.0</v>
      </c>
      <c r="J726" s="8">
        <v>6.08</v>
      </c>
      <c r="K726" s="5" t="str">
        <f t="shared" si="1"/>
        <v>Chennai -&gt; Delhi</v>
      </c>
    </row>
    <row r="727" ht="15.75" customHeight="1">
      <c r="A727" s="5" t="s">
        <v>2195</v>
      </c>
      <c r="B727" s="5" t="s">
        <v>45</v>
      </c>
      <c r="C727" s="6" t="s">
        <v>2197</v>
      </c>
      <c r="D727" s="5" t="s">
        <v>699</v>
      </c>
      <c r="E727" s="5" t="s">
        <v>164</v>
      </c>
      <c r="F727" s="5" t="s">
        <v>27</v>
      </c>
      <c r="G727" s="5" t="s">
        <v>33</v>
      </c>
      <c r="H727" s="5" t="s">
        <v>33</v>
      </c>
      <c r="I727" s="6">
        <v>1.0</v>
      </c>
      <c r="J727" s="8">
        <v>24.42</v>
      </c>
      <c r="K727" s="5" t="str">
        <f t="shared" si="1"/>
        <v>Chennai -&gt; Delhi</v>
      </c>
    </row>
    <row r="728" ht="15.75" customHeight="1">
      <c r="A728" s="5" t="s">
        <v>2199</v>
      </c>
      <c r="B728" s="5" t="s">
        <v>58</v>
      </c>
      <c r="C728" s="6" t="s">
        <v>2201</v>
      </c>
      <c r="D728" s="5" t="s">
        <v>699</v>
      </c>
      <c r="E728" s="5" t="s">
        <v>164</v>
      </c>
      <c r="F728" s="5" t="s">
        <v>27</v>
      </c>
      <c r="G728" s="5" t="s">
        <v>33</v>
      </c>
      <c r="H728" s="5" t="s">
        <v>35</v>
      </c>
      <c r="I728" s="6">
        <v>1.0</v>
      </c>
      <c r="J728" s="8">
        <v>15.17</v>
      </c>
      <c r="K728" s="5" t="str">
        <f t="shared" si="1"/>
        <v>Chennai -&gt; Delhi</v>
      </c>
    </row>
    <row r="729" ht="15.75" customHeight="1">
      <c r="A729" s="5" t="s">
        <v>2203</v>
      </c>
      <c r="B729" s="5" t="s">
        <v>20</v>
      </c>
      <c r="C729" s="6" t="s">
        <v>2204</v>
      </c>
      <c r="D729" s="5" t="s">
        <v>699</v>
      </c>
      <c r="E729" s="5" t="s">
        <v>164</v>
      </c>
      <c r="F729" s="5" t="s">
        <v>27</v>
      </c>
      <c r="G729" s="5" t="s">
        <v>33</v>
      </c>
      <c r="H729" s="5" t="s">
        <v>35</v>
      </c>
      <c r="I729" s="6">
        <v>1.0</v>
      </c>
      <c r="J729" s="8">
        <v>10.92</v>
      </c>
      <c r="K729" s="5" t="str">
        <f t="shared" si="1"/>
        <v>Chennai -&gt; Delhi</v>
      </c>
    </row>
    <row r="730" ht="15.75" customHeight="1">
      <c r="A730" s="5" t="s">
        <v>2207</v>
      </c>
      <c r="B730" s="5" t="s">
        <v>20</v>
      </c>
      <c r="C730" s="6" t="s">
        <v>2208</v>
      </c>
      <c r="D730" s="5" t="s">
        <v>699</v>
      </c>
      <c r="E730" s="5" t="s">
        <v>164</v>
      </c>
      <c r="F730" s="5" t="s">
        <v>27</v>
      </c>
      <c r="G730" s="5" t="s">
        <v>33</v>
      </c>
      <c r="H730" s="5" t="s">
        <v>47</v>
      </c>
      <c r="I730" s="6" t="s">
        <v>180</v>
      </c>
      <c r="J730" s="8">
        <v>8.67</v>
      </c>
      <c r="K730" s="5" t="str">
        <f t="shared" si="1"/>
        <v>Chennai -&gt; Delhi</v>
      </c>
    </row>
    <row r="731" ht="15.75" customHeight="1">
      <c r="A731" s="5" t="s">
        <v>2210</v>
      </c>
      <c r="B731" s="5" t="s">
        <v>45</v>
      </c>
      <c r="C731" s="6" t="s">
        <v>2211</v>
      </c>
      <c r="D731" s="5" t="s">
        <v>699</v>
      </c>
      <c r="E731" s="5" t="s">
        <v>164</v>
      </c>
      <c r="F731" s="5" t="s">
        <v>27</v>
      </c>
      <c r="G731" s="5" t="s">
        <v>47</v>
      </c>
      <c r="H731" s="5" t="s">
        <v>47</v>
      </c>
      <c r="I731" s="6">
        <v>1.0</v>
      </c>
      <c r="J731" s="8">
        <v>22.67</v>
      </c>
      <c r="K731" s="5" t="str">
        <f t="shared" si="1"/>
        <v>Chennai -&gt; Delhi</v>
      </c>
    </row>
    <row r="732" ht="15.75" customHeight="1">
      <c r="A732" s="5" t="s">
        <v>2213</v>
      </c>
      <c r="B732" s="5" t="s">
        <v>45</v>
      </c>
      <c r="C732" s="6" t="s">
        <v>2179</v>
      </c>
      <c r="D732" s="5" t="s">
        <v>699</v>
      </c>
      <c r="E732" s="5" t="s">
        <v>164</v>
      </c>
      <c r="F732" s="5" t="s">
        <v>27</v>
      </c>
      <c r="G732" s="5" t="s">
        <v>54</v>
      </c>
      <c r="H732" s="5" t="s">
        <v>33</v>
      </c>
      <c r="I732" s="6">
        <v>1.0</v>
      </c>
      <c r="J732" s="8">
        <v>19.08</v>
      </c>
      <c r="K732" s="5" t="str">
        <f t="shared" si="1"/>
        <v>Chennai -&gt; Delhi</v>
      </c>
    </row>
    <row r="733" ht="15.75" customHeight="1">
      <c r="A733" s="5" t="s">
        <v>2215</v>
      </c>
      <c r="B733" s="5" t="s">
        <v>45</v>
      </c>
      <c r="C733" s="6" t="s">
        <v>2182</v>
      </c>
      <c r="D733" s="5" t="s">
        <v>699</v>
      </c>
      <c r="E733" s="5" t="s">
        <v>164</v>
      </c>
      <c r="F733" s="5" t="s">
        <v>27</v>
      </c>
      <c r="G733" s="5" t="s">
        <v>33</v>
      </c>
      <c r="H733" s="5" t="s">
        <v>35</v>
      </c>
      <c r="I733" s="6" t="s">
        <v>66</v>
      </c>
      <c r="J733" s="8">
        <v>14.92</v>
      </c>
      <c r="K733" s="5" t="str">
        <f t="shared" si="1"/>
        <v>Chennai -&gt; Delhi</v>
      </c>
    </row>
    <row r="734" ht="15.75" customHeight="1">
      <c r="A734" s="5" t="s">
        <v>2217</v>
      </c>
      <c r="B734" s="5" t="s">
        <v>58</v>
      </c>
      <c r="C734" s="6" t="s">
        <v>2219</v>
      </c>
      <c r="D734" s="5" t="s">
        <v>699</v>
      </c>
      <c r="E734" s="5" t="s">
        <v>164</v>
      </c>
      <c r="F734" s="5" t="s">
        <v>27</v>
      </c>
      <c r="G734" s="5" t="s">
        <v>54</v>
      </c>
      <c r="H734" s="5" t="s">
        <v>33</v>
      </c>
      <c r="I734" s="6">
        <v>1.0</v>
      </c>
      <c r="J734" s="8">
        <v>14.83</v>
      </c>
      <c r="K734" s="5" t="str">
        <f t="shared" si="1"/>
        <v>Chennai -&gt; Delhi</v>
      </c>
    </row>
    <row r="735" ht="15.75" customHeight="1">
      <c r="A735" s="5" t="s">
        <v>2221</v>
      </c>
      <c r="B735" s="5" t="s">
        <v>45</v>
      </c>
      <c r="C735" s="6" t="s">
        <v>2179</v>
      </c>
      <c r="D735" s="5" t="s">
        <v>699</v>
      </c>
      <c r="E735" s="5" t="s">
        <v>164</v>
      </c>
      <c r="F735" s="5" t="s">
        <v>27</v>
      </c>
      <c r="G735" s="5" t="s">
        <v>47</v>
      </c>
      <c r="H735" s="5" t="s">
        <v>35</v>
      </c>
      <c r="I735" s="6">
        <v>1.0</v>
      </c>
      <c r="J735" s="8">
        <v>8.5</v>
      </c>
      <c r="K735" s="5" t="str">
        <f t="shared" si="1"/>
        <v>Chennai -&gt; Delhi</v>
      </c>
    </row>
    <row r="736" ht="15.75" customHeight="1">
      <c r="A736" s="5" t="s">
        <v>2232</v>
      </c>
      <c r="B736" s="5" t="s">
        <v>20</v>
      </c>
      <c r="C736" s="6" t="s">
        <v>2234</v>
      </c>
      <c r="D736" s="5" t="s">
        <v>699</v>
      </c>
      <c r="E736" s="5" t="s">
        <v>164</v>
      </c>
      <c r="F736" s="5" t="s">
        <v>27</v>
      </c>
      <c r="G736" s="5" t="s">
        <v>47</v>
      </c>
      <c r="H736" s="5" t="s">
        <v>35</v>
      </c>
      <c r="I736" s="6">
        <v>1.0</v>
      </c>
      <c r="J736" s="8">
        <v>9.08</v>
      </c>
      <c r="K736" s="5" t="str">
        <f t="shared" si="1"/>
        <v>Chennai -&gt; Delhi</v>
      </c>
    </row>
    <row r="737" ht="15.75" customHeight="1">
      <c r="A737" s="5" t="s">
        <v>2236</v>
      </c>
      <c r="B737" s="5" t="s">
        <v>45</v>
      </c>
      <c r="C737" s="6" t="s">
        <v>2182</v>
      </c>
      <c r="D737" s="5" t="s">
        <v>699</v>
      </c>
      <c r="E737" s="5" t="s">
        <v>164</v>
      </c>
      <c r="F737" s="5" t="s">
        <v>27</v>
      </c>
      <c r="G737" s="5" t="s">
        <v>33</v>
      </c>
      <c r="H737" s="5" t="s">
        <v>35</v>
      </c>
      <c r="I737" s="6">
        <v>1.0</v>
      </c>
      <c r="J737" s="8">
        <v>17.42</v>
      </c>
      <c r="K737" s="5" t="str">
        <f t="shared" si="1"/>
        <v>Chennai -&gt; Delhi</v>
      </c>
    </row>
    <row r="738" ht="15.75" customHeight="1">
      <c r="A738" s="5" t="s">
        <v>2238</v>
      </c>
      <c r="B738" s="5" t="s">
        <v>20</v>
      </c>
      <c r="C738" s="6" t="s">
        <v>2208</v>
      </c>
      <c r="D738" s="5" t="s">
        <v>699</v>
      </c>
      <c r="E738" s="5" t="s">
        <v>164</v>
      </c>
      <c r="F738" s="5" t="s">
        <v>27</v>
      </c>
      <c r="G738" s="5" t="s">
        <v>33</v>
      </c>
      <c r="H738" s="5" t="s">
        <v>35</v>
      </c>
      <c r="I738" s="6" t="s">
        <v>180</v>
      </c>
      <c r="J738" s="8">
        <v>14.92</v>
      </c>
      <c r="K738" s="5" t="str">
        <f t="shared" si="1"/>
        <v>Chennai -&gt; Delhi</v>
      </c>
    </row>
    <row r="739" ht="15.75" customHeight="1">
      <c r="A739" s="5" t="s">
        <v>2241</v>
      </c>
      <c r="B739" s="5" t="s">
        <v>43</v>
      </c>
      <c r="C739" s="6" t="s">
        <v>2242</v>
      </c>
      <c r="D739" s="5" t="s">
        <v>699</v>
      </c>
      <c r="E739" s="5" t="s">
        <v>164</v>
      </c>
      <c r="F739" s="5" t="s">
        <v>27</v>
      </c>
      <c r="G739" s="5" t="s">
        <v>33</v>
      </c>
      <c r="H739" s="5" t="s">
        <v>54</v>
      </c>
      <c r="I739" s="6">
        <v>1.0</v>
      </c>
      <c r="J739" s="8">
        <v>8.33</v>
      </c>
      <c r="K739" s="5" t="str">
        <f t="shared" si="1"/>
        <v>Chennai -&gt; Delhi</v>
      </c>
    </row>
    <row r="740" ht="15.75" customHeight="1">
      <c r="A740" s="5" t="s">
        <v>2244</v>
      </c>
      <c r="B740" s="5" t="s">
        <v>45</v>
      </c>
      <c r="C740" s="6" t="s">
        <v>2182</v>
      </c>
      <c r="D740" s="5" t="s">
        <v>699</v>
      </c>
      <c r="E740" s="5" t="s">
        <v>164</v>
      </c>
      <c r="F740" s="5" t="s">
        <v>27</v>
      </c>
      <c r="G740" s="5" t="s">
        <v>33</v>
      </c>
      <c r="H740" s="5" t="s">
        <v>54</v>
      </c>
      <c r="I740" s="6">
        <v>1.0</v>
      </c>
      <c r="J740" s="8">
        <v>11.92</v>
      </c>
      <c r="K740" s="5" t="str">
        <f t="shared" si="1"/>
        <v>Chennai -&gt; Delhi</v>
      </c>
    </row>
    <row r="741" ht="15.75" customHeight="1">
      <c r="A741" s="5" t="s">
        <v>2246</v>
      </c>
      <c r="B741" s="5" t="s">
        <v>20</v>
      </c>
      <c r="C741" s="6" t="s">
        <v>2208</v>
      </c>
      <c r="D741" s="5" t="s">
        <v>699</v>
      </c>
      <c r="E741" s="5" t="s">
        <v>164</v>
      </c>
      <c r="F741" s="5" t="s">
        <v>27</v>
      </c>
      <c r="G741" s="5" t="s">
        <v>33</v>
      </c>
      <c r="H741" s="5" t="s">
        <v>54</v>
      </c>
      <c r="I741" s="6">
        <v>1.0</v>
      </c>
      <c r="J741" s="8">
        <v>33.5</v>
      </c>
      <c r="K741" s="5" t="str">
        <f t="shared" si="1"/>
        <v>Chennai -&gt; Delhi</v>
      </c>
    </row>
    <row r="742" ht="15.75" customHeight="1">
      <c r="A742" s="5" t="s">
        <v>2248</v>
      </c>
      <c r="B742" s="5" t="s">
        <v>43</v>
      </c>
      <c r="C742" s="6" t="s">
        <v>2249</v>
      </c>
      <c r="D742" s="5" t="s">
        <v>699</v>
      </c>
      <c r="E742" s="5" t="s">
        <v>164</v>
      </c>
      <c r="F742" s="5" t="s">
        <v>27</v>
      </c>
      <c r="G742" s="5" t="s">
        <v>54</v>
      </c>
      <c r="H742" s="5" t="s">
        <v>35</v>
      </c>
      <c r="I742" s="6">
        <v>1.0</v>
      </c>
      <c r="J742" s="8">
        <v>5.67</v>
      </c>
      <c r="K742" s="5" t="str">
        <f t="shared" si="1"/>
        <v>Chennai -&gt; Delhi</v>
      </c>
    </row>
    <row r="743" ht="15.75" customHeight="1">
      <c r="A743" s="5" t="s">
        <v>2252</v>
      </c>
      <c r="B743" s="5" t="s">
        <v>45</v>
      </c>
      <c r="C743" s="6" t="s">
        <v>2182</v>
      </c>
      <c r="D743" s="5" t="s">
        <v>699</v>
      </c>
      <c r="E743" s="5" t="s">
        <v>164</v>
      </c>
      <c r="F743" s="5" t="s">
        <v>27</v>
      </c>
      <c r="G743" s="5" t="s">
        <v>33</v>
      </c>
      <c r="H743" s="5" t="s">
        <v>47</v>
      </c>
      <c r="I743" s="6">
        <v>1.0</v>
      </c>
      <c r="J743" s="8">
        <v>33.58</v>
      </c>
      <c r="K743" s="5" t="str">
        <f t="shared" si="1"/>
        <v>Chennai -&gt; Delhi</v>
      </c>
    </row>
    <row r="744" ht="15.75" customHeight="1">
      <c r="A744" s="5" t="s">
        <v>2254</v>
      </c>
      <c r="B744" s="5" t="s">
        <v>72</v>
      </c>
      <c r="C744" s="6" t="s">
        <v>2255</v>
      </c>
      <c r="D744" s="5" t="s">
        <v>699</v>
      </c>
      <c r="E744" s="5" t="s">
        <v>164</v>
      </c>
      <c r="F744" s="5" t="s">
        <v>27</v>
      </c>
      <c r="G744" s="5" t="s">
        <v>47</v>
      </c>
      <c r="H744" s="5" t="s">
        <v>35</v>
      </c>
      <c r="I744" s="6">
        <v>1.0</v>
      </c>
      <c r="J744" s="8">
        <v>7.0</v>
      </c>
      <c r="K744" s="5" t="str">
        <f t="shared" si="1"/>
        <v>Chennai -&gt; Delhi</v>
      </c>
    </row>
    <row r="745" ht="15.75" customHeight="1">
      <c r="A745" s="5" t="s">
        <v>2257</v>
      </c>
      <c r="B745" s="5" t="s">
        <v>45</v>
      </c>
      <c r="C745" s="6" t="s">
        <v>2182</v>
      </c>
      <c r="D745" s="5" t="s">
        <v>699</v>
      </c>
      <c r="E745" s="5" t="s">
        <v>164</v>
      </c>
      <c r="F745" s="5" t="s">
        <v>27</v>
      </c>
      <c r="G745" s="5" t="s">
        <v>33</v>
      </c>
      <c r="H745" s="5" t="s">
        <v>35</v>
      </c>
      <c r="I745" s="6">
        <v>1.0</v>
      </c>
      <c r="J745" s="8">
        <v>41.08</v>
      </c>
      <c r="K745" s="5" t="str">
        <f t="shared" si="1"/>
        <v>Chennai -&gt; Delhi</v>
      </c>
    </row>
    <row r="746" ht="15.75" customHeight="1">
      <c r="A746" s="5" t="s">
        <v>2258</v>
      </c>
      <c r="B746" s="5" t="s">
        <v>45</v>
      </c>
      <c r="C746" s="6" t="s">
        <v>2259</v>
      </c>
      <c r="D746" s="5" t="s">
        <v>699</v>
      </c>
      <c r="E746" s="5" t="s">
        <v>164</v>
      </c>
      <c r="F746" s="5" t="s">
        <v>27</v>
      </c>
      <c r="G746" s="5" t="s">
        <v>33</v>
      </c>
      <c r="H746" s="5" t="s">
        <v>35</v>
      </c>
      <c r="I746" s="6">
        <v>1.0</v>
      </c>
      <c r="J746" s="8">
        <v>16.0</v>
      </c>
      <c r="K746" s="5" t="str">
        <f t="shared" si="1"/>
        <v>Chennai -&gt; Delhi</v>
      </c>
    </row>
    <row r="747" ht="15.75" customHeight="1">
      <c r="A747" s="5" t="s">
        <v>2261</v>
      </c>
      <c r="B747" s="5" t="s">
        <v>72</v>
      </c>
      <c r="C747" s="6" t="s">
        <v>2262</v>
      </c>
      <c r="D747" s="5" t="s">
        <v>699</v>
      </c>
      <c r="E747" s="5" t="s">
        <v>164</v>
      </c>
      <c r="F747" s="5" t="s">
        <v>27</v>
      </c>
      <c r="G747" s="5" t="s">
        <v>35</v>
      </c>
      <c r="H747" s="5" t="s">
        <v>35</v>
      </c>
      <c r="I747" s="6">
        <v>0.0</v>
      </c>
      <c r="J747" s="8">
        <v>2.75</v>
      </c>
      <c r="K747" s="5" t="str">
        <f t="shared" si="1"/>
        <v>Chennai -&gt; Delhi</v>
      </c>
    </row>
    <row r="748" ht="15.75" customHeight="1">
      <c r="A748" s="5" t="s">
        <v>2264</v>
      </c>
      <c r="B748" s="5" t="s">
        <v>45</v>
      </c>
      <c r="C748" s="6" t="s">
        <v>2259</v>
      </c>
      <c r="D748" s="5" t="s">
        <v>699</v>
      </c>
      <c r="E748" s="5" t="s">
        <v>164</v>
      </c>
      <c r="F748" s="5" t="s">
        <v>27</v>
      </c>
      <c r="G748" s="5" t="s">
        <v>33</v>
      </c>
      <c r="H748" s="5" t="s">
        <v>35</v>
      </c>
      <c r="I748" s="6">
        <v>1.0</v>
      </c>
      <c r="J748" s="8">
        <v>14.75</v>
      </c>
      <c r="K748" s="5" t="str">
        <f t="shared" si="1"/>
        <v>Chennai -&gt; Delhi</v>
      </c>
    </row>
    <row r="749" ht="15.75" customHeight="1">
      <c r="A749" s="5" t="s">
        <v>2266</v>
      </c>
      <c r="B749" s="5" t="s">
        <v>72</v>
      </c>
      <c r="C749" s="6" t="s">
        <v>2267</v>
      </c>
      <c r="D749" s="5" t="s">
        <v>699</v>
      </c>
      <c r="E749" s="5" t="s">
        <v>164</v>
      </c>
      <c r="F749" s="5" t="s">
        <v>27</v>
      </c>
      <c r="G749" s="5" t="s">
        <v>33</v>
      </c>
      <c r="H749" s="5" t="s">
        <v>35</v>
      </c>
      <c r="I749" s="6">
        <v>1.0</v>
      </c>
      <c r="J749" s="8">
        <v>16.17</v>
      </c>
      <c r="K749" s="5" t="str">
        <f t="shared" si="1"/>
        <v>Chennai -&gt; Delhi</v>
      </c>
    </row>
    <row r="750" ht="15.75" customHeight="1">
      <c r="A750" s="5" t="s">
        <v>2269</v>
      </c>
      <c r="B750" s="5" t="s">
        <v>20</v>
      </c>
      <c r="C750" s="6" t="s">
        <v>2270</v>
      </c>
      <c r="D750" s="5" t="s">
        <v>699</v>
      </c>
      <c r="E750" s="5" t="s">
        <v>164</v>
      </c>
      <c r="F750" s="5" t="s">
        <v>27</v>
      </c>
      <c r="G750" s="5" t="s">
        <v>35</v>
      </c>
      <c r="H750" s="5" t="s">
        <v>35</v>
      </c>
      <c r="I750" s="6">
        <v>1.0</v>
      </c>
      <c r="J750" s="8">
        <v>27.67</v>
      </c>
      <c r="K750" s="5" t="str">
        <f t="shared" si="1"/>
        <v>Chennai -&gt; Delhi</v>
      </c>
    </row>
    <row r="751" ht="15.75" customHeight="1">
      <c r="A751" s="5" t="s">
        <v>2272</v>
      </c>
      <c r="B751" s="5" t="s">
        <v>43</v>
      </c>
      <c r="C751" s="6">
        <v>6.0E-269</v>
      </c>
      <c r="D751" s="5" t="s">
        <v>699</v>
      </c>
      <c r="E751" s="5" t="s">
        <v>164</v>
      </c>
      <c r="F751" s="5" t="s">
        <v>27</v>
      </c>
      <c r="G751" s="5" t="s">
        <v>33</v>
      </c>
      <c r="H751" s="5" t="s">
        <v>54</v>
      </c>
      <c r="I751" s="6">
        <v>1.0</v>
      </c>
      <c r="J751" s="8">
        <v>6.17</v>
      </c>
      <c r="K751" s="5" t="str">
        <f t="shared" si="1"/>
        <v>Chennai -&gt; Delhi</v>
      </c>
    </row>
    <row r="752" ht="15.75" customHeight="1">
      <c r="A752" s="5" t="s">
        <v>2274</v>
      </c>
      <c r="B752" s="5" t="s">
        <v>20</v>
      </c>
      <c r="C752" s="6" t="s">
        <v>2204</v>
      </c>
      <c r="D752" s="5" t="s">
        <v>699</v>
      </c>
      <c r="E752" s="5" t="s">
        <v>164</v>
      </c>
      <c r="F752" s="5" t="s">
        <v>27</v>
      </c>
      <c r="G752" s="5" t="s">
        <v>33</v>
      </c>
      <c r="H752" s="5" t="s">
        <v>33</v>
      </c>
      <c r="I752" s="6">
        <v>1.0</v>
      </c>
      <c r="J752" s="8">
        <v>22.83</v>
      </c>
      <c r="K752" s="5" t="str">
        <f t="shared" si="1"/>
        <v>Chennai -&gt; Delhi</v>
      </c>
    </row>
    <row r="753" ht="15.75" customHeight="1">
      <c r="A753" s="5" t="s">
        <v>2276</v>
      </c>
      <c r="B753" s="5" t="s">
        <v>58</v>
      </c>
      <c r="C753" s="6" t="s">
        <v>2201</v>
      </c>
      <c r="D753" s="5" t="s">
        <v>699</v>
      </c>
      <c r="E753" s="5" t="s">
        <v>164</v>
      </c>
      <c r="F753" s="5" t="s">
        <v>27</v>
      </c>
      <c r="G753" s="5" t="s">
        <v>33</v>
      </c>
      <c r="H753" s="5" t="s">
        <v>47</v>
      </c>
      <c r="I753" s="6">
        <v>1.0</v>
      </c>
      <c r="J753" s="8">
        <v>7.42</v>
      </c>
      <c r="K753" s="5" t="str">
        <f t="shared" si="1"/>
        <v>Chennai -&gt; Delhi</v>
      </c>
    </row>
    <row r="754" ht="15.75" customHeight="1">
      <c r="A754" s="5" t="s">
        <v>2279</v>
      </c>
      <c r="B754" s="5" t="s">
        <v>43</v>
      </c>
      <c r="C754" s="6" t="s">
        <v>2242</v>
      </c>
      <c r="D754" s="5" t="s">
        <v>699</v>
      </c>
      <c r="E754" s="5" t="s">
        <v>164</v>
      </c>
      <c r="F754" s="5" t="s">
        <v>27</v>
      </c>
      <c r="G754" s="5" t="s">
        <v>33</v>
      </c>
      <c r="H754" s="5" t="s">
        <v>54</v>
      </c>
      <c r="I754" s="6">
        <v>1.0</v>
      </c>
      <c r="J754" s="8">
        <v>8.58</v>
      </c>
      <c r="K754" s="5" t="str">
        <f t="shared" si="1"/>
        <v>Chennai -&gt; Delhi</v>
      </c>
    </row>
    <row r="755" ht="15.75" customHeight="1">
      <c r="A755" s="5" t="s">
        <v>2281</v>
      </c>
      <c r="B755" s="5" t="s">
        <v>29</v>
      </c>
      <c r="C755" s="6" t="s">
        <v>779</v>
      </c>
      <c r="D755" s="5" t="s">
        <v>699</v>
      </c>
      <c r="E755" s="5" t="s">
        <v>164</v>
      </c>
      <c r="F755" s="5" t="s">
        <v>27</v>
      </c>
      <c r="G755" s="5" t="s">
        <v>33</v>
      </c>
      <c r="H755" s="5" t="s">
        <v>54</v>
      </c>
      <c r="I755" s="6">
        <v>1.0</v>
      </c>
      <c r="J755" s="8">
        <v>7.17</v>
      </c>
      <c r="K755" s="5" t="str">
        <f t="shared" si="1"/>
        <v>Chennai -&gt; Delhi</v>
      </c>
    </row>
    <row r="756" ht="15.75" customHeight="1">
      <c r="A756" s="5" t="s">
        <v>2284</v>
      </c>
      <c r="B756" s="5" t="s">
        <v>72</v>
      </c>
      <c r="C756" s="6" t="s">
        <v>2285</v>
      </c>
      <c r="D756" s="5" t="s">
        <v>699</v>
      </c>
      <c r="E756" s="5" t="s">
        <v>164</v>
      </c>
      <c r="F756" s="5" t="s">
        <v>27</v>
      </c>
      <c r="G756" s="5" t="s">
        <v>33</v>
      </c>
      <c r="H756" s="5" t="s">
        <v>33</v>
      </c>
      <c r="I756" s="6">
        <v>1.0</v>
      </c>
      <c r="J756" s="8">
        <v>24.17</v>
      </c>
      <c r="K756" s="5" t="str">
        <f t="shared" si="1"/>
        <v>Chennai -&gt; Delhi</v>
      </c>
    </row>
    <row r="757" ht="15.75" customHeight="1">
      <c r="A757" s="5" t="s">
        <v>2287</v>
      </c>
      <c r="B757" s="5" t="s">
        <v>45</v>
      </c>
      <c r="C757" s="6" t="s">
        <v>2182</v>
      </c>
      <c r="D757" s="5" t="s">
        <v>699</v>
      </c>
      <c r="E757" s="5" t="s">
        <v>164</v>
      </c>
      <c r="F757" s="5" t="s">
        <v>27</v>
      </c>
      <c r="G757" s="5" t="s">
        <v>33</v>
      </c>
      <c r="H757" s="5" t="s">
        <v>47</v>
      </c>
      <c r="I757" s="6">
        <v>1.0</v>
      </c>
      <c r="J757" s="8">
        <v>5.92</v>
      </c>
      <c r="K757" s="5" t="str">
        <f t="shared" si="1"/>
        <v>Chennai -&gt; Delhi</v>
      </c>
    </row>
    <row r="758" ht="15.75" customHeight="1">
      <c r="A758" s="5" t="s">
        <v>2289</v>
      </c>
      <c r="B758" s="5" t="s">
        <v>29</v>
      </c>
      <c r="C758" s="6" t="s">
        <v>2290</v>
      </c>
      <c r="D758" s="5" t="s">
        <v>699</v>
      </c>
      <c r="E758" s="5" t="s">
        <v>164</v>
      </c>
      <c r="F758" s="5" t="s">
        <v>27</v>
      </c>
      <c r="G758" s="5" t="s">
        <v>33</v>
      </c>
      <c r="H758" s="5" t="s">
        <v>35</v>
      </c>
      <c r="I758" s="6" t="s">
        <v>180</v>
      </c>
      <c r="J758" s="8">
        <v>16.0</v>
      </c>
      <c r="K758" s="5" t="str">
        <f t="shared" si="1"/>
        <v>Chennai -&gt; Delhi</v>
      </c>
    </row>
    <row r="759" ht="15.75" customHeight="1">
      <c r="A759" s="5" t="s">
        <v>2292</v>
      </c>
      <c r="B759" s="5" t="s">
        <v>45</v>
      </c>
      <c r="C759" s="6" t="s">
        <v>2197</v>
      </c>
      <c r="D759" s="5" t="s">
        <v>699</v>
      </c>
      <c r="E759" s="5" t="s">
        <v>164</v>
      </c>
      <c r="F759" s="5" t="s">
        <v>27</v>
      </c>
      <c r="G759" s="5" t="s">
        <v>33</v>
      </c>
      <c r="H759" s="5" t="s">
        <v>47</v>
      </c>
      <c r="I759" s="6">
        <v>1.0</v>
      </c>
      <c r="J759" s="8">
        <v>5.33</v>
      </c>
      <c r="K759" s="5" t="str">
        <f t="shared" si="1"/>
        <v>Chennai -&gt; Delhi</v>
      </c>
    </row>
    <row r="760" ht="15.75" customHeight="1">
      <c r="A760" s="5" t="s">
        <v>2294</v>
      </c>
      <c r="B760" s="5" t="s">
        <v>72</v>
      </c>
      <c r="C760" s="6" t="s">
        <v>2267</v>
      </c>
      <c r="D760" s="5" t="s">
        <v>699</v>
      </c>
      <c r="E760" s="5" t="s">
        <v>164</v>
      </c>
      <c r="F760" s="5" t="s">
        <v>27</v>
      </c>
      <c r="G760" s="5" t="s">
        <v>33</v>
      </c>
      <c r="H760" s="5" t="s">
        <v>47</v>
      </c>
      <c r="I760" s="6">
        <v>1.0</v>
      </c>
      <c r="J760" s="8">
        <v>6.25</v>
      </c>
      <c r="K760" s="5" t="str">
        <f t="shared" si="1"/>
        <v>Chennai -&gt; Delhi</v>
      </c>
    </row>
    <row r="761" ht="15.75" customHeight="1">
      <c r="A761" s="5" t="s">
        <v>2296</v>
      </c>
      <c r="B761" s="5" t="s">
        <v>72</v>
      </c>
      <c r="C761" s="6" t="s">
        <v>2297</v>
      </c>
      <c r="D761" s="5" t="s">
        <v>699</v>
      </c>
      <c r="E761" s="5" t="s">
        <v>164</v>
      </c>
      <c r="F761" s="5" t="s">
        <v>27</v>
      </c>
      <c r="G761" s="5" t="s">
        <v>35</v>
      </c>
      <c r="H761" s="5" t="s">
        <v>35</v>
      </c>
      <c r="I761" s="6">
        <v>1.0</v>
      </c>
      <c r="J761" s="8">
        <v>24.75</v>
      </c>
      <c r="K761" s="5" t="str">
        <f t="shared" si="1"/>
        <v>Chennai -&gt; Delhi</v>
      </c>
    </row>
    <row r="762" ht="15.75" customHeight="1">
      <c r="A762" s="5" t="s">
        <v>2300</v>
      </c>
      <c r="B762" s="5" t="s">
        <v>45</v>
      </c>
      <c r="C762" s="6" t="s">
        <v>2190</v>
      </c>
      <c r="D762" s="5" t="s">
        <v>723</v>
      </c>
      <c r="E762" s="5" t="s">
        <v>164</v>
      </c>
      <c r="F762" s="5" t="s">
        <v>31</v>
      </c>
      <c r="G762" s="5" t="s">
        <v>33</v>
      </c>
      <c r="H762" s="5" t="s">
        <v>47</v>
      </c>
      <c r="I762" s="6">
        <v>1.0</v>
      </c>
      <c r="J762" s="8">
        <v>31.25</v>
      </c>
      <c r="K762" s="5" t="str">
        <f t="shared" si="1"/>
        <v>Chennai -&gt; Mumbai</v>
      </c>
    </row>
    <row r="763" ht="15.75" customHeight="1">
      <c r="A763" s="5" t="s">
        <v>2302</v>
      </c>
      <c r="B763" s="5" t="s">
        <v>20</v>
      </c>
      <c r="C763" s="6" t="s">
        <v>2303</v>
      </c>
      <c r="D763" s="5" t="s">
        <v>723</v>
      </c>
      <c r="E763" s="5" t="s">
        <v>164</v>
      </c>
      <c r="F763" s="5" t="s">
        <v>31</v>
      </c>
      <c r="G763" s="5" t="s">
        <v>54</v>
      </c>
      <c r="H763" s="5" t="s">
        <v>33</v>
      </c>
      <c r="I763" s="6">
        <v>1.0</v>
      </c>
      <c r="J763" s="8">
        <v>18.42</v>
      </c>
      <c r="K763" s="5" t="str">
        <f t="shared" si="1"/>
        <v>Chennai -&gt; Mumbai</v>
      </c>
    </row>
    <row r="764" ht="15.75" customHeight="1">
      <c r="A764" s="5" t="s">
        <v>2305</v>
      </c>
      <c r="B764" s="5" t="s">
        <v>45</v>
      </c>
      <c r="C764" s="6" t="s">
        <v>2306</v>
      </c>
      <c r="D764" s="5" t="s">
        <v>723</v>
      </c>
      <c r="E764" s="5" t="s">
        <v>164</v>
      </c>
      <c r="F764" s="5" t="s">
        <v>31</v>
      </c>
      <c r="G764" s="5" t="s">
        <v>33</v>
      </c>
      <c r="H764" s="5" t="s">
        <v>54</v>
      </c>
      <c r="I764" s="6">
        <v>1.0</v>
      </c>
      <c r="J764" s="8">
        <v>8.08</v>
      </c>
      <c r="K764" s="5" t="str">
        <f t="shared" si="1"/>
        <v>Chennai -&gt; Mumbai</v>
      </c>
    </row>
    <row r="765" ht="15.75" customHeight="1">
      <c r="A765" s="5" t="s">
        <v>2308</v>
      </c>
      <c r="B765" s="5" t="s">
        <v>20</v>
      </c>
      <c r="C765" s="6" t="s">
        <v>2310</v>
      </c>
      <c r="D765" s="5" t="s">
        <v>723</v>
      </c>
      <c r="E765" s="5" t="s">
        <v>164</v>
      </c>
      <c r="F765" s="5" t="s">
        <v>31</v>
      </c>
      <c r="G765" s="5" t="s">
        <v>33</v>
      </c>
      <c r="H765" s="5" t="s">
        <v>35</v>
      </c>
      <c r="I765" s="6">
        <v>1.0</v>
      </c>
      <c r="J765" s="8">
        <v>9.33</v>
      </c>
      <c r="K765" s="5" t="str">
        <f t="shared" si="1"/>
        <v>Chennai -&gt; Mumbai</v>
      </c>
    </row>
    <row r="766" ht="15.75" customHeight="1">
      <c r="A766" s="5" t="s">
        <v>2312</v>
      </c>
      <c r="B766" s="5" t="s">
        <v>20</v>
      </c>
      <c r="C766" s="6" t="s">
        <v>2303</v>
      </c>
      <c r="D766" s="5" t="s">
        <v>723</v>
      </c>
      <c r="E766" s="5" t="s">
        <v>164</v>
      </c>
      <c r="F766" s="5" t="s">
        <v>31</v>
      </c>
      <c r="G766" s="5" t="s">
        <v>54</v>
      </c>
      <c r="H766" s="5" t="s">
        <v>33</v>
      </c>
      <c r="I766" s="6">
        <v>1.0</v>
      </c>
      <c r="J766" s="8">
        <v>16.33</v>
      </c>
      <c r="K766" s="5" t="str">
        <f t="shared" si="1"/>
        <v>Chennai -&gt; Mumbai</v>
      </c>
    </row>
    <row r="767" ht="15.75" customHeight="1">
      <c r="A767" s="5" t="s">
        <v>2315</v>
      </c>
      <c r="B767" s="5" t="s">
        <v>20</v>
      </c>
      <c r="C767" s="6" t="s">
        <v>2316</v>
      </c>
      <c r="D767" s="5" t="s">
        <v>723</v>
      </c>
      <c r="E767" s="5" t="s">
        <v>164</v>
      </c>
      <c r="F767" s="5" t="s">
        <v>31</v>
      </c>
      <c r="G767" s="5" t="s">
        <v>33</v>
      </c>
      <c r="H767" s="5" t="s">
        <v>35</v>
      </c>
      <c r="I767" s="6">
        <v>1.0</v>
      </c>
      <c r="J767" s="8">
        <v>13.83</v>
      </c>
      <c r="K767" s="5" t="str">
        <f t="shared" si="1"/>
        <v>Chennai -&gt; Mumbai</v>
      </c>
    </row>
    <row r="768" ht="15.75" customHeight="1">
      <c r="A768" s="5" t="s">
        <v>2318</v>
      </c>
      <c r="B768" s="5" t="s">
        <v>20</v>
      </c>
      <c r="C768" s="6" t="s">
        <v>2310</v>
      </c>
      <c r="D768" s="5" t="s">
        <v>723</v>
      </c>
      <c r="E768" s="5" t="s">
        <v>164</v>
      </c>
      <c r="F768" s="5" t="s">
        <v>31</v>
      </c>
      <c r="G768" s="5" t="s">
        <v>33</v>
      </c>
      <c r="H768" s="5" t="s">
        <v>35</v>
      </c>
      <c r="I768" s="6">
        <v>1.0</v>
      </c>
      <c r="J768" s="8">
        <v>12.67</v>
      </c>
      <c r="K768" s="5" t="str">
        <f t="shared" si="1"/>
        <v>Chennai -&gt; Mumbai</v>
      </c>
    </row>
    <row r="769" ht="15.75" customHeight="1">
      <c r="A769" s="5" t="s">
        <v>2320</v>
      </c>
      <c r="B769" s="5" t="s">
        <v>20</v>
      </c>
      <c r="C769" s="6" t="s">
        <v>2321</v>
      </c>
      <c r="D769" s="5" t="s">
        <v>723</v>
      </c>
      <c r="E769" s="5" t="s">
        <v>164</v>
      </c>
      <c r="F769" s="5" t="s">
        <v>31</v>
      </c>
      <c r="G769" s="5" t="s">
        <v>35</v>
      </c>
      <c r="H769" s="5" t="s">
        <v>47</v>
      </c>
      <c r="I769" s="6">
        <v>1.0</v>
      </c>
      <c r="J769" s="8">
        <v>15.5</v>
      </c>
      <c r="K769" s="5" t="str">
        <f t="shared" si="1"/>
        <v>Chennai -&gt; Mumbai</v>
      </c>
    </row>
    <row r="770" ht="15.75" customHeight="1">
      <c r="A770" s="5" t="s">
        <v>2324</v>
      </c>
      <c r="B770" s="5" t="s">
        <v>45</v>
      </c>
      <c r="C770" s="6" t="s">
        <v>2197</v>
      </c>
      <c r="D770" s="5" t="s">
        <v>723</v>
      </c>
      <c r="E770" s="5" t="s">
        <v>164</v>
      </c>
      <c r="F770" s="5" t="s">
        <v>31</v>
      </c>
      <c r="G770" s="5" t="s">
        <v>33</v>
      </c>
      <c r="H770" s="5" t="s">
        <v>54</v>
      </c>
      <c r="I770" s="6">
        <v>1.0</v>
      </c>
      <c r="J770" s="8">
        <v>11.5</v>
      </c>
      <c r="K770" s="5" t="str">
        <f t="shared" si="1"/>
        <v>Chennai -&gt; Mumbai</v>
      </c>
    </row>
    <row r="771" ht="15.75" customHeight="1">
      <c r="A771" s="5" t="s">
        <v>2326</v>
      </c>
      <c r="B771" s="5" t="s">
        <v>20</v>
      </c>
      <c r="C771" s="6" t="s">
        <v>2303</v>
      </c>
      <c r="D771" s="5" t="s">
        <v>723</v>
      </c>
      <c r="E771" s="5" t="s">
        <v>164</v>
      </c>
      <c r="F771" s="5" t="s">
        <v>31</v>
      </c>
      <c r="G771" s="5" t="s">
        <v>54</v>
      </c>
      <c r="H771" s="5" t="s">
        <v>35</v>
      </c>
      <c r="I771" s="6">
        <v>1.0</v>
      </c>
      <c r="J771" s="8">
        <v>6.67</v>
      </c>
      <c r="K771" s="5" t="str">
        <f t="shared" si="1"/>
        <v>Chennai -&gt; Mumbai</v>
      </c>
    </row>
    <row r="772" ht="15.75" customHeight="1">
      <c r="A772" s="5" t="s">
        <v>2328</v>
      </c>
      <c r="B772" s="5" t="s">
        <v>45</v>
      </c>
      <c r="C772" s="6" t="s">
        <v>2211</v>
      </c>
      <c r="D772" s="5" t="s">
        <v>723</v>
      </c>
      <c r="E772" s="5" t="s">
        <v>164</v>
      </c>
      <c r="F772" s="5" t="s">
        <v>31</v>
      </c>
      <c r="G772" s="5" t="s">
        <v>47</v>
      </c>
      <c r="H772" s="5" t="s">
        <v>33</v>
      </c>
      <c r="I772" s="6">
        <v>1.0</v>
      </c>
      <c r="J772" s="8">
        <v>20.25</v>
      </c>
      <c r="K772" s="5" t="str">
        <f t="shared" si="1"/>
        <v>Chennai -&gt; Mumbai</v>
      </c>
    </row>
    <row r="773" ht="15.75" customHeight="1">
      <c r="A773" s="5" t="s">
        <v>2330</v>
      </c>
      <c r="B773" s="5" t="s">
        <v>45</v>
      </c>
      <c r="C773" s="6" t="s">
        <v>2331</v>
      </c>
      <c r="D773" s="5" t="s">
        <v>723</v>
      </c>
      <c r="E773" s="5" t="s">
        <v>164</v>
      </c>
      <c r="F773" s="5" t="s">
        <v>31</v>
      </c>
      <c r="G773" s="5" t="s">
        <v>54</v>
      </c>
      <c r="H773" s="5" t="s">
        <v>54</v>
      </c>
      <c r="I773" s="6">
        <v>1.0</v>
      </c>
      <c r="J773" s="8">
        <v>23.42</v>
      </c>
      <c r="K773" s="5" t="str">
        <f t="shared" si="1"/>
        <v>Chennai -&gt; Mumbai</v>
      </c>
    </row>
    <row r="774" ht="15.75" customHeight="1">
      <c r="A774" s="5" t="s">
        <v>2333</v>
      </c>
      <c r="B774" s="5" t="s">
        <v>45</v>
      </c>
      <c r="C774" s="6" t="s">
        <v>2190</v>
      </c>
      <c r="D774" s="5" t="s">
        <v>723</v>
      </c>
      <c r="E774" s="5" t="s">
        <v>164</v>
      </c>
      <c r="F774" s="5" t="s">
        <v>31</v>
      </c>
      <c r="G774" s="5" t="s">
        <v>33</v>
      </c>
      <c r="H774" s="5" t="s">
        <v>47</v>
      </c>
      <c r="I774" s="6">
        <v>1.0</v>
      </c>
      <c r="J774" s="8">
        <v>32.92</v>
      </c>
      <c r="K774" s="5" t="str">
        <f t="shared" si="1"/>
        <v>Chennai -&gt; Mumbai</v>
      </c>
    </row>
    <row r="775" ht="15.75" customHeight="1">
      <c r="A775" s="5" t="s">
        <v>2335</v>
      </c>
      <c r="B775" s="5" t="s">
        <v>20</v>
      </c>
      <c r="C775" s="6" t="s">
        <v>2316</v>
      </c>
      <c r="D775" s="5" t="s">
        <v>723</v>
      </c>
      <c r="E775" s="5" t="s">
        <v>164</v>
      </c>
      <c r="F775" s="5" t="s">
        <v>31</v>
      </c>
      <c r="G775" s="5" t="s">
        <v>33</v>
      </c>
      <c r="H775" s="5" t="s">
        <v>35</v>
      </c>
      <c r="I775" s="6">
        <v>1.0</v>
      </c>
      <c r="J775" s="8">
        <v>13.17</v>
      </c>
      <c r="K775" s="5" t="str">
        <f t="shared" si="1"/>
        <v>Chennai -&gt; Mumbai</v>
      </c>
    </row>
    <row r="776" ht="15.75" customHeight="1">
      <c r="A776" s="5" t="s">
        <v>2337</v>
      </c>
      <c r="B776" s="5" t="s">
        <v>45</v>
      </c>
      <c r="C776" s="6" t="s">
        <v>2197</v>
      </c>
      <c r="D776" s="5" t="s">
        <v>723</v>
      </c>
      <c r="E776" s="5" t="s">
        <v>164</v>
      </c>
      <c r="F776" s="5" t="s">
        <v>31</v>
      </c>
      <c r="G776" s="5" t="s">
        <v>33</v>
      </c>
      <c r="H776" s="5" t="s">
        <v>54</v>
      </c>
      <c r="I776" s="6" t="s">
        <v>180</v>
      </c>
      <c r="J776" s="8">
        <v>35.5</v>
      </c>
      <c r="K776" s="5" t="str">
        <f t="shared" si="1"/>
        <v>Chennai -&gt; Mumbai</v>
      </c>
    </row>
    <row r="777" ht="15.75" customHeight="1">
      <c r="A777" s="5" t="s">
        <v>2339</v>
      </c>
      <c r="B777" s="5" t="s">
        <v>20</v>
      </c>
      <c r="C777" s="6" t="s">
        <v>2321</v>
      </c>
      <c r="D777" s="5" t="s">
        <v>723</v>
      </c>
      <c r="E777" s="5" t="s">
        <v>164</v>
      </c>
      <c r="F777" s="5" t="s">
        <v>31</v>
      </c>
      <c r="G777" s="5" t="s">
        <v>35</v>
      </c>
      <c r="H777" s="5" t="s">
        <v>33</v>
      </c>
      <c r="I777" s="6">
        <v>1.0</v>
      </c>
      <c r="J777" s="8">
        <v>12.67</v>
      </c>
      <c r="K777" s="5" t="str">
        <f t="shared" si="1"/>
        <v>Chennai -&gt; Mumbai</v>
      </c>
    </row>
    <row r="778" ht="15.75" customHeight="1">
      <c r="A778" s="5" t="s">
        <v>2341</v>
      </c>
      <c r="B778" s="5" t="s">
        <v>43</v>
      </c>
      <c r="C778" s="6">
        <v>6.0E-188</v>
      </c>
      <c r="D778" s="5" t="s">
        <v>723</v>
      </c>
      <c r="E778" s="5" t="s">
        <v>164</v>
      </c>
      <c r="F778" s="5" t="s">
        <v>31</v>
      </c>
      <c r="G778" s="5" t="s">
        <v>33</v>
      </c>
      <c r="H778" s="5" t="s">
        <v>47</v>
      </c>
      <c r="I778" s="6">
        <v>1.0</v>
      </c>
      <c r="J778" s="8">
        <v>7.25</v>
      </c>
      <c r="K778" s="5" t="str">
        <f t="shared" si="1"/>
        <v>Chennai -&gt; Mumbai</v>
      </c>
    </row>
    <row r="779" ht="15.75" customHeight="1">
      <c r="A779" s="5" t="s">
        <v>2343</v>
      </c>
      <c r="B779" s="5" t="s">
        <v>29</v>
      </c>
      <c r="C779" s="6" t="s">
        <v>2344</v>
      </c>
      <c r="D779" s="5" t="s">
        <v>723</v>
      </c>
      <c r="E779" s="5" t="s">
        <v>164</v>
      </c>
      <c r="F779" s="5" t="s">
        <v>31</v>
      </c>
      <c r="G779" s="5" t="s">
        <v>54</v>
      </c>
      <c r="H779" s="5" t="s">
        <v>35</v>
      </c>
      <c r="I779" s="6">
        <v>1.0</v>
      </c>
      <c r="J779" s="8">
        <v>8.5</v>
      </c>
      <c r="K779" s="5" t="str">
        <f t="shared" si="1"/>
        <v>Chennai -&gt; Mumbai</v>
      </c>
    </row>
    <row r="780" ht="15.75" customHeight="1">
      <c r="A780" s="5" t="s">
        <v>2346</v>
      </c>
      <c r="B780" s="5" t="s">
        <v>20</v>
      </c>
      <c r="C780" s="6" t="s">
        <v>2321</v>
      </c>
      <c r="D780" s="5" t="s">
        <v>723</v>
      </c>
      <c r="E780" s="5" t="s">
        <v>164</v>
      </c>
      <c r="F780" s="5" t="s">
        <v>31</v>
      </c>
      <c r="G780" s="5" t="s">
        <v>35</v>
      </c>
      <c r="H780" s="5" t="s">
        <v>35</v>
      </c>
      <c r="I780" s="6">
        <v>1.0</v>
      </c>
      <c r="J780" s="8">
        <v>23.17</v>
      </c>
      <c r="K780" s="5" t="str">
        <f t="shared" si="1"/>
        <v>Chennai -&gt; Mumbai</v>
      </c>
    </row>
    <row r="781" ht="15.75" customHeight="1">
      <c r="A781" s="5" t="s">
        <v>2347</v>
      </c>
      <c r="B781" s="5" t="s">
        <v>43</v>
      </c>
      <c r="C781" s="6" t="s">
        <v>2348</v>
      </c>
      <c r="D781" s="5" t="s">
        <v>723</v>
      </c>
      <c r="E781" s="5" t="s">
        <v>164</v>
      </c>
      <c r="F781" s="5" t="s">
        <v>31</v>
      </c>
      <c r="G781" s="5" t="s">
        <v>54</v>
      </c>
      <c r="H781" s="5" t="s">
        <v>35</v>
      </c>
      <c r="I781" s="6">
        <v>1.0</v>
      </c>
      <c r="J781" s="8">
        <v>6.5</v>
      </c>
      <c r="K781" s="5" t="str">
        <f t="shared" si="1"/>
        <v>Chennai -&gt; Mumbai</v>
      </c>
    </row>
    <row r="782" ht="15.75" customHeight="1">
      <c r="A782" s="5" t="s">
        <v>2350</v>
      </c>
      <c r="B782" s="5" t="s">
        <v>45</v>
      </c>
      <c r="C782" s="6" t="s">
        <v>2197</v>
      </c>
      <c r="D782" s="5" t="s">
        <v>723</v>
      </c>
      <c r="E782" s="5" t="s">
        <v>164</v>
      </c>
      <c r="F782" s="5" t="s">
        <v>31</v>
      </c>
      <c r="G782" s="5" t="s">
        <v>33</v>
      </c>
      <c r="H782" s="5" t="s">
        <v>54</v>
      </c>
      <c r="I782" s="6">
        <v>1.0</v>
      </c>
      <c r="J782" s="8">
        <v>33.75</v>
      </c>
      <c r="K782" s="5" t="str">
        <f t="shared" si="1"/>
        <v>Chennai -&gt; Mumbai</v>
      </c>
    </row>
    <row r="783" ht="15.75" customHeight="1">
      <c r="A783" s="5" t="s">
        <v>2352</v>
      </c>
      <c r="B783" s="5" t="s">
        <v>20</v>
      </c>
      <c r="C783" s="6" t="s">
        <v>2310</v>
      </c>
      <c r="D783" s="5" t="s">
        <v>723</v>
      </c>
      <c r="E783" s="5" t="s">
        <v>164</v>
      </c>
      <c r="F783" s="5" t="s">
        <v>31</v>
      </c>
      <c r="G783" s="5" t="s">
        <v>33</v>
      </c>
      <c r="H783" s="5" t="s">
        <v>35</v>
      </c>
      <c r="I783" s="6">
        <v>1.0</v>
      </c>
      <c r="J783" s="8">
        <v>10.0</v>
      </c>
      <c r="K783" s="5" t="str">
        <f t="shared" si="1"/>
        <v>Chennai -&gt; Mumbai</v>
      </c>
    </row>
    <row r="784" ht="15.75" customHeight="1">
      <c r="A784" s="5" t="s">
        <v>2353</v>
      </c>
      <c r="B784" s="5" t="s">
        <v>45</v>
      </c>
      <c r="C784" s="6" t="s">
        <v>2306</v>
      </c>
      <c r="D784" s="5" t="s">
        <v>723</v>
      </c>
      <c r="E784" s="5" t="s">
        <v>164</v>
      </c>
      <c r="F784" s="5" t="s">
        <v>31</v>
      </c>
      <c r="G784" s="5" t="s">
        <v>33</v>
      </c>
      <c r="H784" s="5" t="s">
        <v>35</v>
      </c>
      <c r="I784" s="6">
        <v>1.0</v>
      </c>
      <c r="J784" s="8">
        <v>12.25</v>
      </c>
      <c r="K784" s="5" t="str">
        <f t="shared" si="1"/>
        <v>Chennai -&gt; Mumbai</v>
      </c>
    </row>
    <row r="785" ht="15.75" customHeight="1">
      <c r="A785" s="5" t="s">
        <v>2355</v>
      </c>
      <c r="B785" s="5" t="s">
        <v>20</v>
      </c>
      <c r="C785" s="6" t="s">
        <v>2310</v>
      </c>
      <c r="D785" s="5" t="s">
        <v>723</v>
      </c>
      <c r="E785" s="5" t="s">
        <v>164</v>
      </c>
      <c r="F785" s="5" t="s">
        <v>31</v>
      </c>
      <c r="G785" s="5" t="s">
        <v>33</v>
      </c>
      <c r="H785" s="5" t="s">
        <v>33</v>
      </c>
      <c r="I785" s="6">
        <v>1.0</v>
      </c>
      <c r="J785" s="8">
        <v>21.17</v>
      </c>
      <c r="K785" s="5" t="str">
        <f t="shared" si="1"/>
        <v>Chennai -&gt; Mumbai</v>
      </c>
    </row>
    <row r="786" ht="15.75" customHeight="1">
      <c r="A786" s="5" t="s">
        <v>2357</v>
      </c>
      <c r="B786" s="5" t="s">
        <v>20</v>
      </c>
      <c r="C786" s="6" t="s">
        <v>2316</v>
      </c>
      <c r="D786" s="5" t="s">
        <v>723</v>
      </c>
      <c r="E786" s="5" t="s">
        <v>164</v>
      </c>
      <c r="F786" s="5" t="s">
        <v>31</v>
      </c>
      <c r="G786" s="5" t="s">
        <v>33</v>
      </c>
      <c r="H786" s="5" t="s">
        <v>35</v>
      </c>
      <c r="I786" s="6">
        <v>1.0</v>
      </c>
      <c r="J786" s="8">
        <v>14.5</v>
      </c>
      <c r="K786" s="5" t="str">
        <f t="shared" si="1"/>
        <v>Chennai -&gt; Mumbai</v>
      </c>
    </row>
    <row r="787" ht="15.75" customHeight="1">
      <c r="A787" s="5" t="s">
        <v>2358</v>
      </c>
      <c r="B787" s="5" t="s">
        <v>45</v>
      </c>
      <c r="C787" s="6" t="s">
        <v>2190</v>
      </c>
      <c r="D787" s="5" t="s">
        <v>723</v>
      </c>
      <c r="E787" s="5" t="s">
        <v>164</v>
      </c>
      <c r="F787" s="5" t="s">
        <v>31</v>
      </c>
      <c r="G787" s="5" t="s">
        <v>33</v>
      </c>
      <c r="H787" s="5" t="s">
        <v>54</v>
      </c>
      <c r="I787" s="6">
        <v>1.0</v>
      </c>
      <c r="J787" s="8">
        <v>13.83</v>
      </c>
      <c r="K787" s="5" t="str">
        <f t="shared" si="1"/>
        <v>Chennai -&gt; Mumbai</v>
      </c>
    </row>
    <row r="788" ht="15.75" customHeight="1">
      <c r="A788" s="5" t="s">
        <v>2360</v>
      </c>
      <c r="B788" s="5" t="s">
        <v>20</v>
      </c>
      <c r="C788" s="6" t="s">
        <v>2316</v>
      </c>
      <c r="D788" s="5" t="s">
        <v>723</v>
      </c>
      <c r="E788" s="5" t="s">
        <v>164</v>
      </c>
      <c r="F788" s="5" t="s">
        <v>31</v>
      </c>
      <c r="G788" s="5" t="s">
        <v>33</v>
      </c>
      <c r="H788" s="5" t="s">
        <v>33</v>
      </c>
      <c r="I788" s="6">
        <v>1.0</v>
      </c>
      <c r="J788" s="8">
        <v>28.25</v>
      </c>
      <c r="K788" s="5" t="str">
        <f t="shared" si="1"/>
        <v>Chennai -&gt; Mumbai</v>
      </c>
    </row>
    <row r="789" ht="15.75" customHeight="1">
      <c r="A789" s="5" t="s">
        <v>2362</v>
      </c>
      <c r="B789" s="5" t="s">
        <v>58</v>
      </c>
      <c r="C789" s="6" t="s">
        <v>2363</v>
      </c>
      <c r="D789" s="5" t="s">
        <v>723</v>
      </c>
      <c r="E789" s="5" t="s">
        <v>164</v>
      </c>
      <c r="F789" s="5" t="s">
        <v>31</v>
      </c>
      <c r="G789" s="5" t="s">
        <v>33</v>
      </c>
      <c r="H789" s="5" t="s">
        <v>47</v>
      </c>
      <c r="I789" s="6">
        <v>1.0</v>
      </c>
      <c r="J789" s="8">
        <v>7.5</v>
      </c>
      <c r="K789" s="5" t="str">
        <f t="shared" si="1"/>
        <v>Chennai -&gt; Mumbai</v>
      </c>
    </row>
    <row r="790" ht="15.75" customHeight="1">
      <c r="A790" s="5" t="s">
        <v>2364</v>
      </c>
      <c r="B790" s="5" t="s">
        <v>43</v>
      </c>
      <c r="C790" s="6" t="s">
        <v>2365</v>
      </c>
      <c r="D790" s="5" t="s">
        <v>723</v>
      </c>
      <c r="E790" s="5" t="s">
        <v>164</v>
      </c>
      <c r="F790" s="5" t="s">
        <v>31</v>
      </c>
      <c r="G790" s="5" t="s">
        <v>47</v>
      </c>
      <c r="H790" s="5" t="s">
        <v>54</v>
      </c>
      <c r="I790" s="6">
        <v>1.0</v>
      </c>
      <c r="J790" s="8">
        <v>6.75</v>
      </c>
      <c r="K790" s="5" t="str">
        <f t="shared" si="1"/>
        <v>Chennai -&gt; Mumbai</v>
      </c>
    </row>
    <row r="791" ht="15.75" customHeight="1">
      <c r="A791" s="5" t="s">
        <v>2367</v>
      </c>
      <c r="B791" s="5" t="s">
        <v>45</v>
      </c>
      <c r="C791" s="6" t="s">
        <v>2190</v>
      </c>
      <c r="D791" s="5" t="s">
        <v>723</v>
      </c>
      <c r="E791" s="5" t="s">
        <v>164</v>
      </c>
      <c r="F791" s="5" t="s">
        <v>31</v>
      </c>
      <c r="G791" s="5" t="s">
        <v>33</v>
      </c>
      <c r="H791" s="5" t="s">
        <v>33</v>
      </c>
      <c r="I791" s="6">
        <v>1.0</v>
      </c>
      <c r="J791" s="8">
        <v>25.75</v>
      </c>
      <c r="K791" s="5" t="str">
        <f t="shared" si="1"/>
        <v>Chennai -&gt; Mumbai</v>
      </c>
    </row>
    <row r="792" ht="15.75" customHeight="1">
      <c r="A792" s="5" t="s">
        <v>2370</v>
      </c>
      <c r="B792" s="5" t="s">
        <v>20</v>
      </c>
      <c r="C792" s="6" t="s">
        <v>2316</v>
      </c>
      <c r="D792" s="5" t="s">
        <v>723</v>
      </c>
      <c r="E792" s="5" t="s">
        <v>164</v>
      </c>
      <c r="F792" s="5" t="s">
        <v>31</v>
      </c>
      <c r="G792" s="5" t="s">
        <v>33</v>
      </c>
      <c r="H792" s="5" t="s">
        <v>47</v>
      </c>
      <c r="I792" s="6" t="s">
        <v>180</v>
      </c>
      <c r="J792" s="8">
        <v>8.08</v>
      </c>
      <c r="K792" s="5" t="str">
        <f t="shared" si="1"/>
        <v>Chennai -&gt; Mumbai</v>
      </c>
    </row>
    <row r="793" ht="15.75" customHeight="1">
      <c r="A793" s="5" t="s">
        <v>2373</v>
      </c>
      <c r="B793" s="5" t="s">
        <v>72</v>
      </c>
      <c r="C793" s="6" t="s">
        <v>2297</v>
      </c>
      <c r="D793" s="5" t="s">
        <v>723</v>
      </c>
      <c r="E793" s="5" t="s">
        <v>164</v>
      </c>
      <c r="F793" s="5" t="s">
        <v>31</v>
      </c>
      <c r="G793" s="5" t="s">
        <v>35</v>
      </c>
      <c r="H793" s="5" t="s">
        <v>35</v>
      </c>
      <c r="I793" s="6">
        <v>0.0</v>
      </c>
      <c r="J793" s="8">
        <v>2.0</v>
      </c>
      <c r="K793" s="5" t="str">
        <f t="shared" si="1"/>
        <v>Chennai -&gt; Mumbai</v>
      </c>
    </row>
    <row r="794" ht="15.75" customHeight="1">
      <c r="A794" s="5" t="s">
        <v>2375</v>
      </c>
      <c r="B794" s="5" t="s">
        <v>20</v>
      </c>
      <c r="C794" s="6" t="s">
        <v>2303</v>
      </c>
      <c r="D794" s="5" t="s">
        <v>723</v>
      </c>
      <c r="E794" s="5" t="s">
        <v>164</v>
      </c>
      <c r="F794" s="5" t="s">
        <v>31</v>
      </c>
      <c r="G794" s="5" t="s">
        <v>54</v>
      </c>
      <c r="H794" s="5" t="s">
        <v>47</v>
      </c>
      <c r="I794" s="6">
        <v>1.0</v>
      </c>
      <c r="J794" s="8">
        <v>20.58</v>
      </c>
      <c r="K794" s="5" t="str">
        <f t="shared" si="1"/>
        <v>Chennai -&gt; Mumbai</v>
      </c>
    </row>
    <row r="795" ht="15.75" customHeight="1">
      <c r="A795" s="5" t="s">
        <v>2377</v>
      </c>
      <c r="B795" s="5" t="s">
        <v>45</v>
      </c>
      <c r="C795" s="6" t="s">
        <v>2259</v>
      </c>
      <c r="D795" s="5" t="s">
        <v>723</v>
      </c>
      <c r="E795" s="5" t="s">
        <v>164</v>
      </c>
      <c r="F795" s="5" t="s">
        <v>31</v>
      </c>
      <c r="G795" s="5" t="s">
        <v>33</v>
      </c>
      <c r="H795" s="5" t="s">
        <v>54</v>
      </c>
      <c r="I795" s="6">
        <v>1.0</v>
      </c>
      <c r="J795" s="8">
        <v>29.92</v>
      </c>
      <c r="K795" s="5" t="str">
        <f t="shared" si="1"/>
        <v>Chennai -&gt; Mumbai</v>
      </c>
    </row>
    <row r="796" ht="15.75" customHeight="1">
      <c r="A796" s="5" t="s">
        <v>2379</v>
      </c>
      <c r="B796" s="5" t="s">
        <v>20</v>
      </c>
      <c r="C796" s="6" t="s">
        <v>2321</v>
      </c>
      <c r="D796" s="5" t="s">
        <v>723</v>
      </c>
      <c r="E796" s="5" t="s">
        <v>164</v>
      </c>
      <c r="F796" s="5" t="s">
        <v>31</v>
      </c>
      <c r="G796" s="5" t="s">
        <v>35</v>
      </c>
      <c r="H796" s="5" t="s">
        <v>54</v>
      </c>
      <c r="I796" s="6">
        <v>1.0</v>
      </c>
      <c r="J796" s="8">
        <v>20.58</v>
      </c>
      <c r="K796" s="5" t="str">
        <f t="shared" si="1"/>
        <v>Chennai -&gt; Mumbai</v>
      </c>
    </row>
    <row r="797" ht="15.75" customHeight="1">
      <c r="A797" s="5" t="s">
        <v>2382</v>
      </c>
      <c r="B797" s="5" t="s">
        <v>43</v>
      </c>
      <c r="C797" s="6" t="s">
        <v>2383</v>
      </c>
      <c r="D797" s="5" t="s">
        <v>723</v>
      </c>
      <c r="E797" s="5" t="s">
        <v>164</v>
      </c>
      <c r="F797" s="5" t="s">
        <v>31</v>
      </c>
      <c r="G797" s="5" t="s">
        <v>47</v>
      </c>
      <c r="H797" s="5" t="s">
        <v>35</v>
      </c>
      <c r="I797" s="6">
        <v>1.0</v>
      </c>
      <c r="J797" s="8">
        <v>8.75</v>
      </c>
      <c r="K797" s="5" t="str">
        <f t="shared" si="1"/>
        <v>Chennai -&gt; Mumbai</v>
      </c>
    </row>
    <row r="798" ht="15.75" customHeight="1">
      <c r="A798" s="5" t="s">
        <v>2385</v>
      </c>
      <c r="B798" s="5" t="s">
        <v>45</v>
      </c>
      <c r="C798" s="6" t="s">
        <v>2259</v>
      </c>
      <c r="D798" s="5" t="s">
        <v>723</v>
      </c>
      <c r="E798" s="5" t="s">
        <v>164</v>
      </c>
      <c r="F798" s="5" t="s">
        <v>31</v>
      </c>
      <c r="G798" s="5" t="s">
        <v>33</v>
      </c>
      <c r="H798" s="5" t="s">
        <v>47</v>
      </c>
      <c r="I798" s="6">
        <v>1.0</v>
      </c>
      <c r="J798" s="8">
        <v>25.08</v>
      </c>
      <c r="K798" s="5" t="str">
        <f t="shared" si="1"/>
        <v>Chennai -&gt; Mumbai</v>
      </c>
    </row>
    <row r="799" ht="15.75" customHeight="1">
      <c r="A799" s="5" t="s">
        <v>2387</v>
      </c>
      <c r="B799" s="5" t="s">
        <v>58</v>
      </c>
      <c r="C799" s="6" t="s">
        <v>2388</v>
      </c>
      <c r="D799" s="5" t="s">
        <v>723</v>
      </c>
      <c r="E799" s="5" t="s">
        <v>164</v>
      </c>
      <c r="F799" s="5" t="s">
        <v>31</v>
      </c>
      <c r="G799" s="5" t="s">
        <v>47</v>
      </c>
      <c r="H799" s="5" t="s">
        <v>35</v>
      </c>
      <c r="I799" s="6">
        <v>1.0</v>
      </c>
      <c r="J799" s="8">
        <v>10.75</v>
      </c>
      <c r="K799" s="5" t="str">
        <f t="shared" si="1"/>
        <v>Chennai -&gt; Mumbai</v>
      </c>
    </row>
    <row r="800" ht="15.75" customHeight="1">
      <c r="A800" s="5" t="s">
        <v>2390</v>
      </c>
      <c r="B800" s="5" t="s">
        <v>20</v>
      </c>
      <c r="C800" s="6" t="s">
        <v>2310</v>
      </c>
      <c r="D800" s="5" t="s">
        <v>723</v>
      </c>
      <c r="E800" s="5" t="s">
        <v>164</v>
      </c>
      <c r="F800" s="5" t="s">
        <v>31</v>
      </c>
      <c r="G800" s="5" t="s">
        <v>33</v>
      </c>
      <c r="H800" s="5" t="s">
        <v>35</v>
      </c>
      <c r="I800" s="6">
        <v>1.0</v>
      </c>
      <c r="J800" s="8">
        <v>9.5</v>
      </c>
      <c r="K800" s="5" t="str">
        <f t="shared" si="1"/>
        <v>Chennai -&gt; Mumbai</v>
      </c>
    </row>
    <row r="801" ht="15.75" customHeight="1">
      <c r="A801" s="5" t="s">
        <v>2392</v>
      </c>
      <c r="B801" s="5" t="s">
        <v>72</v>
      </c>
      <c r="C801" s="6" t="s">
        <v>2255</v>
      </c>
      <c r="D801" s="5" t="s">
        <v>723</v>
      </c>
      <c r="E801" s="5" t="s">
        <v>164</v>
      </c>
      <c r="F801" s="5" t="s">
        <v>31</v>
      </c>
      <c r="G801" s="5" t="s">
        <v>47</v>
      </c>
      <c r="H801" s="5" t="s">
        <v>33</v>
      </c>
      <c r="I801" s="6">
        <v>1.0</v>
      </c>
      <c r="J801" s="8">
        <v>15.5</v>
      </c>
      <c r="K801" s="5" t="str">
        <f t="shared" si="1"/>
        <v>Chennai -&gt; Mumbai</v>
      </c>
    </row>
    <row r="802" ht="15.75" customHeight="1">
      <c r="A802" s="5" t="s">
        <v>2395</v>
      </c>
      <c r="B802" s="5" t="s">
        <v>45</v>
      </c>
      <c r="C802" s="6" t="s">
        <v>2190</v>
      </c>
      <c r="D802" s="5" t="s">
        <v>753</v>
      </c>
      <c r="E802" s="5" t="s">
        <v>164</v>
      </c>
      <c r="F802" s="5" t="s">
        <v>109</v>
      </c>
      <c r="G802" s="5" t="s">
        <v>33</v>
      </c>
      <c r="H802" s="5" t="s">
        <v>54</v>
      </c>
      <c r="I802" s="6">
        <v>1.0</v>
      </c>
      <c r="J802" s="8">
        <v>37.0</v>
      </c>
      <c r="K802" s="5" t="str">
        <f t="shared" si="1"/>
        <v>Chennai -&gt; Bengaluru</v>
      </c>
    </row>
    <row r="803" ht="15.75" customHeight="1">
      <c r="A803" s="5" t="s">
        <v>2397</v>
      </c>
      <c r="B803" s="5" t="s">
        <v>20</v>
      </c>
      <c r="C803" s="6" t="s">
        <v>2316</v>
      </c>
      <c r="D803" s="5" t="s">
        <v>753</v>
      </c>
      <c r="E803" s="5" t="s">
        <v>164</v>
      </c>
      <c r="F803" s="5" t="s">
        <v>109</v>
      </c>
      <c r="G803" s="5" t="s">
        <v>33</v>
      </c>
      <c r="H803" s="5" t="s">
        <v>54</v>
      </c>
      <c r="I803" s="6">
        <v>1.0</v>
      </c>
      <c r="J803" s="8">
        <v>10.83</v>
      </c>
      <c r="K803" s="5" t="str">
        <f t="shared" si="1"/>
        <v>Chennai -&gt; Bengaluru</v>
      </c>
    </row>
    <row r="804" ht="15.75" customHeight="1">
      <c r="A804" s="5" t="s">
        <v>2400</v>
      </c>
      <c r="B804" s="5" t="s">
        <v>20</v>
      </c>
      <c r="C804" s="6" t="s">
        <v>2321</v>
      </c>
      <c r="D804" s="5" t="s">
        <v>753</v>
      </c>
      <c r="E804" s="5" t="s">
        <v>164</v>
      </c>
      <c r="F804" s="5" t="s">
        <v>109</v>
      </c>
      <c r="G804" s="5" t="s">
        <v>35</v>
      </c>
      <c r="H804" s="5" t="s">
        <v>33</v>
      </c>
      <c r="I804" s="6">
        <v>1.0</v>
      </c>
      <c r="J804" s="8">
        <v>13.67</v>
      </c>
      <c r="K804" s="5" t="str">
        <f t="shared" si="1"/>
        <v>Chennai -&gt; Bengaluru</v>
      </c>
    </row>
    <row r="805" ht="15.75" customHeight="1">
      <c r="A805" s="5" t="s">
        <v>2402</v>
      </c>
      <c r="B805" s="5" t="s">
        <v>45</v>
      </c>
      <c r="C805" s="6" t="s">
        <v>2331</v>
      </c>
      <c r="D805" s="5" t="s">
        <v>753</v>
      </c>
      <c r="E805" s="5" t="s">
        <v>164</v>
      </c>
      <c r="F805" s="5" t="s">
        <v>109</v>
      </c>
      <c r="G805" s="5" t="s">
        <v>54</v>
      </c>
      <c r="H805" s="5" t="s">
        <v>35</v>
      </c>
      <c r="I805" s="6">
        <v>1.0</v>
      </c>
      <c r="J805" s="8">
        <v>7.5</v>
      </c>
      <c r="K805" s="5" t="str">
        <f t="shared" si="1"/>
        <v>Chennai -&gt; Bengaluru</v>
      </c>
    </row>
    <row r="806" ht="15.75" customHeight="1">
      <c r="A806" s="5" t="s">
        <v>2405</v>
      </c>
      <c r="B806" s="5" t="s">
        <v>20</v>
      </c>
      <c r="C806" s="6" t="s">
        <v>2234</v>
      </c>
      <c r="D806" s="5" t="s">
        <v>753</v>
      </c>
      <c r="E806" s="5" t="s">
        <v>164</v>
      </c>
      <c r="F806" s="5" t="s">
        <v>109</v>
      </c>
      <c r="G806" s="5" t="s">
        <v>47</v>
      </c>
      <c r="H806" s="5" t="s">
        <v>33</v>
      </c>
      <c r="I806" s="6">
        <v>1.0</v>
      </c>
      <c r="J806" s="8">
        <v>22.25</v>
      </c>
      <c r="K806" s="5" t="str">
        <f t="shared" si="1"/>
        <v>Chennai -&gt; Bengaluru</v>
      </c>
    </row>
    <row r="807" ht="15.75" customHeight="1">
      <c r="A807" s="5" t="s">
        <v>2407</v>
      </c>
      <c r="B807" s="5" t="s">
        <v>43</v>
      </c>
      <c r="C807" s="6" t="s">
        <v>2408</v>
      </c>
      <c r="D807" s="5" t="s">
        <v>753</v>
      </c>
      <c r="E807" s="5" t="s">
        <v>164</v>
      </c>
      <c r="F807" s="5" t="s">
        <v>109</v>
      </c>
      <c r="G807" s="5" t="s">
        <v>54</v>
      </c>
      <c r="H807" s="5" t="s">
        <v>54</v>
      </c>
      <c r="I807" s="6">
        <v>0.0</v>
      </c>
      <c r="J807" s="8">
        <v>1.0</v>
      </c>
      <c r="K807" s="5" t="str">
        <f t="shared" si="1"/>
        <v>Chennai -&gt; Bengaluru</v>
      </c>
    </row>
    <row r="808" ht="15.75" customHeight="1">
      <c r="A808" s="5" t="s">
        <v>2411</v>
      </c>
      <c r="B808" s="5" t="s">
        <v>45</v>
      </c>
      <c r="C808" s="6" t="s">
        <v>2197</v>
      </c>
      <c r="D808" s="5" t="s">
        <v>753</v>
      </c>
      <c r="E808" s="5" t="s">
        <v>164</v>
      </c>
      <c r="F808" s="5" t="s">
        <v>109</v>
      </c>
      <c r="G808" s="5" t="s">
        <v>33</v>
      </c>
      <c r="H808" s="5" t="s">
        <v>54</v>
      </c>
      <c r="I808" s="6">
        <v>1.0</v>
      </c>
      <c r="J808" s="8">
        <v>32.58</v>
      </c>
      <c r="K808" s="5" t="str">
        <f t="shared" si="1"/>
        <v>Chennai -&gt; Bengaluru</v>
      </c>
    </row>
    <row r="809" ht="15.75" customHeight="1">
      <c r="A809" s="5" t="s">
        <v>2413</v>
      </c>
      <c r="B809" s="5" t="s">
        <v>45</v>
      </c>
      <c r="C809" s="6" t="s">
        <v>2179</v>
      </c>
      <c r="D809" s="5" t="s">
        <v>753</v>
      </c>
      <c r="E809" s="5" t="s">
        <v>164</v>
      </c>
      <c r="F809" s="5" t="s">
        <v>109</v>
      </c>
      <c r="G809" s="5" t="s">
        <v>54</v>
      </c>
      <c r="H809" s="5" t="s">
        <v>47</v>
      </c>
      <c r="I809" s="6">
        <v>1.0</v>
      </c>
      <c r="J809" s="8">
        <v>22.83</v>
      </c>
      <c r="K809" s="5" t="str">
        <f t="shared" si="1"/>
        <v>Chennai -&gt; Bengaluru</v>
      </c>
    </row>
    <row r="810" ht="15.75" customHeight="1">
      <c r="A810" s="5" t="s">
        <v>2415</v>
      </c>
      <c r="B810" s="5" t="s">
        <v>20</v>
      </c>
      <c r="C810" s="6" t="s">
        <v>2303</v>
      </c>
      <c r="D810" s="5" t="s">
        <v>753</v>
      </c>
      <c r="E810" s="5" t="s">
        <v>164</v>
      </c>
      <c r="F810" s="5" t="s">
        <v>109</v>
      </c>
      <c r="G810" s="5" t="s">
        <v>54</v>
      </c>
      <c r="H810" s="5" t="s">
        <v>54</v>
      </c>
      <c r="I810" s="6">
        <v>1.0</v>
      </c>
      <c r="J810" s="8">
        <v>25.42</v>
      </c>
      <c r="K810" s="5" t="str">
        <f t="shared" si="1"/>
        <v>Chennai -&gt; Bengaluru</v>
      </c>
    </row>
    <row r="811" ht="15.75" customHeight="1">
      <c r="A811" s="5" t="s">
        <v>2418</v>
      </c>
      <c r="B811" s="5" t="s">
        <v>20</v>
      </c>
      <c r="C811" s="6" t="s">
        <v>2310</v>
      </c>
      <c r="D811" s="5" t="s">
        <v>753</v>
      </c>
      <c r="E811" s="5" t="s">
        <v>164</v>
      </c>
      <c r="F811" s="5" t="s">
        <v>109</v>
      </c>
      <c r="G811" s="5" t="s">
        <v>33</v>
      </c>
      <c r="H811" s="5" t="s">
        <v>33</v>
      </c>
      <c r="I811" s="6">
        <v>1.0</v>
      </c>
      <c r="J811" s="8">
        <v>25.08</v>
      </c>
      <c r="K811" s="5" t="str">
        <f t="shared" si="1"/>
        <v>Chennai -&gt; Bengaluru</v>
      </c>
    </row>
    <row r="812" ht="15.75" customHeight="1">
      <c r="A812" s="5" t="s">
        <v>2420</v>
      </c>
      <c r="B812" s="5" t="s">
        <v>20</v>
      </c>
      <c r="C812" s="6" t="s">
        <v>2234</v>
      </c>
      <c r="D812" s="5" t="s">
        <v>753</v>
      </c>
      <c r="E812" s="5" t="s">
        <v>164</v>
      </c>
      <c r="F812" s="5" t="s">
        <v>109</v>
      </c>
      <c r="G812" s="5" t="s">
        <v>47</v>
      </c>
      <c r="H812" s="5" t="s">
        <v>33</v>
      </c>
      <c r="I812" s="6">
        <v>1.0</v>
      </c>
      <c r="J812" s="8">
        <v>19.33</v>
      </c>
      <c r="K812" s="5" t="str">
        <f t="shared" si="1"/>
        <v>Chennai -&gt; Bengaluru</v>
      </c>
    </row>
    <row r="813" ht="15.75" customHeight="1">
      <c r="A813" s="5" t="s">
        <v>2423</v>
      </c>
      <c r="B813" s="5" t="s">
        <v>20</v>
      </c>
      <c r="C813" s="6" t="s">
        <v>2270</v>
      </c>
      <c r="D813" s="5" t="s">
        <v>753</v>
      </c>
      <c r="E813" s="5" t="s">
        <v>164</v>
      </c>
      <c r="F813" s="5" t="s">
        <v>109</v>
      </c>
      <c r="G813" s="5" t="s">
        <v>35</v>
      </c>
      <c r="H813" s="5" t="s">
        <v>54</v>
      </c>
      <c r="I813" s="6">
        <v>1.0</v>
      </c>
      <c r="J813" s="8">
        <v>0.0</v>
      </c>
      <c r="K813" s="5" t="str">
        <f t="shared" si="1"/>
        <v>Chennai -&gt; Bengaluru</v>
      </c>
    </row>
    <row r="814" ht="15.75" customHeight="1">
      <c r="A814" s="5" t="s">
        <v>2426</v>
      </c>
      <c r="B814" s="5" t="s">
        <v>45</v>
      </c>
      <c r="C814" s="6" t="s">
        <v>2259</v>
      </c>
      <c r="D814" s="5" t="s">
        <v>753</v>
      </c>
      <c r="E814" s="5" t="s">
        <v>164</v>
      </c>
      <c r="F814" s="5" t="s">
        <v>109</v>
      </c>
      <c r="G814" s="5" t="s">
        <v>33</v>
      </c>
      <c r="H814" s="5" t="s">
        <v>35</v>
      </c>
      <c r="I814" s="6">
        <v>1.0</v>
      </c>
      <c r="J814" s="8">
        <v>12.0</v>
      </c>
      <c r="K814" s="5" t="str">
        <f t="shared" si="1"/>
        <v>Chennai -&gt; Bengaluru</v>
      </c>
    </row>
    <row r="815" ht="15.75" customHeight="1">
      <c r="A815" s="5" t="s">
        <v>2428</v>
      </c>
      <c r="B815" s="5" t="s">
        <v>43</v>
      </c>
      <c r="C815" s="6" t="s">
        <v>2429</v>
      </c>
      <c r="D815" s="5" t="s">
        <v>753</v>
      </c>
      <c r="E815" s="5" t="s">
        <v>164</v>
      </c>
      <c r="F815" s="5" t="s">
        <v>109</v>
      </c>
      <c r="G815" s="5" t="s">
        <v>33</v>
      </c>
      <c r="H815" s="5" t="s">
        <v>33</v>
      </c>
      <c r="I815" s="6">
        <v>0.0</v>
      </c>
      <c r="J815" s="8">
        <v>0.83</v>
      </c>
      <c r="K815" s="5" t="str">
        <f t="shared" si="1"/>
        <v>Chennai -&gt; Bengaluru</v>
      </c>
    </row>
    <row r="816" ht="15.75" customHeight="1">
      <c r="A816" s="5" t="s">
        <v>2431</v>
      </c>
      <c r="B816" s="5" t="s">
        <v>20</v>
      </c>
      <c r="C816" s="6" t="s">
        <v>2303</v>
      </c>
      <c r="D816" s="5" t="s">
        <v>753</v>
      </c>
      <c r="E816" s="5" t="s">
        <v>164</v>
      </c>
      <c r="F816" s="5" t="s">
        <v>109</v>
      </c>
      <c r="G816" s="5" t="s">
        <v>54</v>
      </c>
      <c r="H816" s="5" t="s">
        <v>33</v>
      </c>
      <c r="I816" s="6">
        <v>1.0</v>
      </c>
      <c r="J816" s="8">
        <v>15.5</v>
      </c>
      <c r="K816" s="5" t="str">
        <f t="shared" si="1"/>
        <v>Chennai -&gt; Bengaluru</v>
      </c>
    </row>
    <row r="817" ht="15.75" customHeight="1">
      <c r="A817" s="5" t="s">
        <v>2433</v>
      </c>
      <c r="B817" s="5" t="s">
        <v>20</v>
      </c>
      <c r="C817" s="6" t="s">
        <v>2208</v>
      </c>
      <c r="D817" s="5" t="s">
        <v>753</v>
      </c>
      <c r="E817" s="5" t="s">
        <v>164</v>
      </c>
      <c r="F817" s="5" t="s">
        <v>109</v>
      </c>
      <c r="G817" s="5" t="s">
        <v>33</v>
      </c>
      <c r="H817" s="5" t="s">
        <v>54</v>
      </c>
      <c r="I817" s="6">
        <v>1.0</v>
      </c>
      <c r="J817" s="8">
        <v>12.5</v>
      </c>
      <c r="K817" s="5" t="str">
        <f t="shared" si="1"/>
        <v>Chennai -&gt; Bengaluru</v>
      </c>
    </row>
    <row r="818" ht="15.75" customHeight="1">
      <c r="A818" s="5" t="s">
        <v>2436</v>
      </c>
      <c r="B818" s="5" t="s">
        <v>20</v>
      </c>
      <c r="C818" s="6" t="s">
        <v>2234</v>
      </c>
      <c r="D818" s="5" t="s">
        <v>753</v>
      </c>
      <c r="E818" s="5" t="s">
        <v>164</v>
      </c>
      <c r="F818" s="5" t="s">
        <v>109</v>
      </c>
      <c r="G818" s="5" t="s">
        <v>47</v>
      </c>
      <c r="H818" s="5" t="s">
        <v>54</v>
      </c>
      <c r="I818" s="6">
        <v>1.0</v>
      </c>
      <c r="J818" s="8">
        <v>5.25</v>
      </c>
      <c r="K818" s="5" t="str">
        <f t="shared" si="1"/>
        <v>Chennai -&gt; Bengaluru</v>
      </c>
    </row>
    <row r="819" ht="15.75" customHeight="1">
      <c r="A819" s="5" t="s">
        <v>2439</v>
      </c>
      <c r="B819" s="5" t="s">
        <v>43</v>
      </c>
      <c r="C819" s="6" t="s">
        <v>2383</v>
      </c>
      <c r="D819" s="5" t="s">
        <v>753</v>
      </c>
      <c r="E819" s="5" t="s">
        <v>164</v>
      </c>
      <c r="F819" s="5" t="s">
        <v>109</v>
      </c>
      <c r="G819" s="5" t="s">
        <v>47</v>
      </c>
      <c r="H819" s="5" t="s">
        <v>47</v>
      </c>
      <c r="I819" s="6">
        <v>0.0</v>
      </c>
      <c r="J819" s="8">
        <v>1.17</v>
      </c>
      <c r="K819" s="5" t="str">
        <f t="shared" si="1"/>
        <v>Chennai -&gt; Bengaluru</v>
      </c>
    </row>
    <row r="820" ht="15.75" customHeight="1">
      <c r="A820" s="5" t="s">
        <v>2441</v>
      </c>
      <c r="B820" s="5" t="s">
        <v>20</v>
      </c>
      <c r="C820" s="6" t="s">
        <v>2234</v>
      </c>
      <c r="D820" s="5" t="s">
        <v>753</v>
      </c>
      <c r="E820" s="5" t="s">
        <v>164</v>
      </c>
      <c r="F820" s="5" t="s">
        <v>109</v>
      </c>
      <c r="G820" s="5" t="s">
        <v>47</v>
      </c>
      <c r="H820" s="5" t="s">
        <v>47</v>
      </c>
      <c r="I820" s="6">
        <v>1.0</v>
      </c>
      <c r="J820" s="8">
        <v>27.5</v>
      </c>
      <c r="K820" s="5" t="str">
        <f t="shared" si="1"/>
        <v>Chennai -&gt; Bengaluru</v>
      </c>
    </row>
    <row r="821" ht="15.75" customHeight="1">
      <c r="A821" s="5" t="s">
        <v>2444</v>
      </c>
      <c r="B821" s="5" t="s">
        <v>43</v>
      </c>
      <c r="C821" s="6" t="s">
        <v>2445</v>
      </c>
      <c r="D821" s="5" t="s">
        <v>753</v>
      </c>
      <c r="E821" s="5" t="s">
        <v>164</v>
      </c>
      <c r="F821" s="5" t="s">
        <v>109</v>
      </c>
      <c r="G821" s="5" t="s">
        <v>54</v>
      </c>
      <c r="H821" s="5" t="s">
        <v>35</v>
      </c>
      <c r="I821" s="6">
        <v>1.0</v>
      </c>
      <c r="J821" s="8">
        <v>5.83</v>
      </c>
      <c r="K821" s="5" t="str">
        <f t="shared" si="1"/>
        <v>Chennai -&gt; Bengaluru</v>
      </c>
    </row>
    <row r="822" ht="15.75" customHeight="1">
      <c r="A822" s="5" t="s">
        <v>2447</v>
      </c>
      <c r="B822" s="5" t="s">
        <v>45</v>
      </c>
      <c r="C822" s="6" t="s">
        <v>2179</v>
      </c>
      <c r="D822" s="5" t="s">
        <v>753</v>
      </c>
      <c r="E822" s="5" t="s">
        <v>164</v>
      </c>
      <c r="F822" s="5" t="s">
        <v>109</v>
      </c>
      <c r="G822" s="5" t="s">
        <v>47</v>
      </c>
      <c r="H822" s="5" t="s">
        <v>35</v>
      </c>
      <c r="I822" s="6">
        <v>1.0</v>
      </c>
      <c r="J822" s="8">
        <v>7.58</v>
      </c>
      <c r="K822" s="5" t="str">
        <f t="shared" si="1"/>
        <v>Chennai -&gt; Bengaluru</v>
      </c>
    </row>
    <row r="823" ht="15.75" customHeight="1">
      <c r="A823" s="5" t="s">
        <v>2449</v>
      </c>
      <c r="B823" s="5" t="s">
        <v>45</v>
      </c>
      <c r="C823" s="6" t="s">
        <v>2197</v>
      </c>
      <c r="D823" s="5" t="s">
        <v>753</v>
      </c>
      <c r="E823" s="5" t="s">
        <v>164</v>
      </c>
      <c r="F823" s="5" t="s">
        <v>109</v>
      </c>
      <c r="G823" s="5" t="s">
        <v>33</v>
      </c>
      <c r="H823" s="5" t="s">
        <v>54</v>
      </c>
      <c r="I823" s="6">
        <v>1.0</v>
      </c>
      <c r="J823" s="8">
        <v>34.0</v>
      </c>
      <c r="K823" s="5" t="str">
        <f t="shared" si="1"/>
        <v>Chennai -&gt; Bengaluru</v>
      </c>
    </row>
    <row r="824" ht="15.75" customHeight="1">
      <c r="A824" s="5" t="s">
        <v>2452</v>
      </c>
      <c r="B824" s="5" t="s">
        <v>20</v>
      </c>
      <c r="C824" s="6" t="s">
        <v>2316</v>
      </c>
      <c r="D824" s="5" t="s">
        <v>753</v>
      </c>
      <c r="E824" s="5" t="s">
        <v>164</v>
      </c>
      <c r="F824" s="5" t="s">
        <v>109</v>
      </c>
      <c r="G824" s="5" t="s">
        <v>33</v>
      </c>
      <c r="H824" s="5" t="s">
        <v>54</v>
      </c>
      <c r="I824" s="6" t="s">
        <v>180</v>
      </c>
      <c r="J824" s="8">
        <v>10.0</v>
      </c>
      <c r="K824" s="5" t="str">
        <f t="shared" si="1"/>
        <v>Chennai -&gt; Bengaluru</v>
      </c>
    </row>
    <row r="825" ht="15.75" customHeight="1">
      <c r="A825" s="5" t="s">
        <v>2454</v>
      </c>
      <c r="B825" s="5" t="s">
        <v>20</v>
      </c>
      <c r="C825" s="6" t="s">
        <v>2234</v>
      </c>
      <c r="D825" s="5" t="s">
        <v>753</v>
      </c>
      <c r="E825" s="5" t="s">
        <v>164</v>
      </c>
      <c r="F825" s="5" t="s">
        <v>109</v>
      </c>
      <c r="G825" s="5" t="s">
        <v>47</v>
      </c>
      <c r="H825" s="5" t="s">
        <v>54</v>
      </c>
      <c r="I825" s="6">
        <v>1.0</v>
      </c>
      <c r="J825" s="8">
        <v>6.75</v>
      </c>
      <c r="K825" s="5" t="str">
        <f t="shared" si="1"/>
        <v>Chennai -&gt; Bengaluru</v>
      </c>
    </row>
    <row r="826" ht="15.75" customHeight="1">
      <c r="A826" s="5" t="s">
        <v>2457</v>
      </c>
      <c r="B826" s="5" t="s">
        <v>20</v>
      </c>
      <c r="C826" s="6" t="s">
        <v>2316</v>
      </c>
      <c r="D826" s="5" t="s">
        <v>753</v>
      </c>
      <c r="E826" s="5" t="s">
        <v>164</v>
      </c>
      <c r="F826" s="5" t="s">
        <v>109</v>
      </c>
      <c r="G826" s="5" t="s">
        <v>33</v>
      </c>
      <c r="H826" s="5" t="s">
        <v>47</v>
      </c>
      <c r="I826" s="6">
        <v>1.0</v>
      </c>
      <c r="J826" s="8">
        <v>9.08</v>
      </c>
      <c r="K826" s="5" t="str">
        <f t="shared" si="1"/>
        <v>Chennai -&gt; Bengaluru</v>
      </c>
    </row>
    <row r="827" ht="15.75" customHeight="1">
      <c r="A827" s="5" t="s">
        <v>2459</v>
      </c>
      <c r="B827" s="5" t="s">
        <v>20</v>
      </c>
      <c r="C827" s="6" t="s">
        <v>2321</v>
      </c>
      <c r="D827" s="5" t="s">
        <v>753</v>
      </c>
      <c r="E827" s="5" t="s">
        <v>164</v>
      </c>
      <c r="F827" s="5" t="s">
        <v>109</v>
      </c>
      <c r="G827" s="5" t="s">
        <v>35</v>
      </c>
      <c r="H827" s="5" t="s">
        <v>35</v>
      </c>
      <c r="I827" s="6">
        <v>1.0</v>
      </c>
      <c r="J827" s="8">
        <v>26.25</v>
      </c>
      <c r="K827" s="5" t="str">
        <f t="shared" si="1"/>
        <v>Chennai -&gt; Bengaluru</v>
      </c>
    </row>
    <row r="828" ht="15.75" customHeight="1">
      <c r="A828" s="5" t="s">
        <v>2461</v>
      </c>
      <c r="B828" s="5" t="s">
        <v>45</v>
      </c>
      <c r="C828" s="6" t="s">
        <v>2190</v>
      </c>
      <c r="D828" s="5" t="s">
        <v>753</v>
      </c>
      <c r="E828" s="5" t="s">
        <v>164</v>
      </c>
      <c r="F828" s="5" t="s">
        <v>109</v>
      </c>
      <c r="G828" s="5" t="s">
        <v>33</v>
      </c>
      <c r="H828" s="5" t="s">
        <v>54</v>
      </c>
      <c r="I828" s="6" t="s">
        <v>180</v>
      </c>
      <c r="J828" s="8">
        <v>10.92</v>
      </c>
      <c r="K828" s="5" t="str">
        <f t="shared" si="1"/>
        <v>Chennai -&gt; Bengaluru</v>
      </c>
    </row>
    <row r="829" ht="15.75" customHeight="1">
      <c r="A829" s="5" t="s">
        <v>2463</v>
      </c>
      <c r="B829" s="5" t="s">
        <v>29</v>
      </c>
      <c r="C829" s="6" t="s">
        <v>2464</v>
      </c>
      <c r="D829" s="5" t="s">
        <v>753</v>
      </c>
      <c r="E829" s="5" t="s">
        <v>164</v>
      </c>
      <c r="F829" s="5" t="s">
        <v>109</v>
      </c>
      <c r="G829" s="5" t="s">
        <v>35</v>
      </c>
      <c r="H829" s="5" t="s">
        <v>35</v>
      </c>
      <c r="I829" s="6">
        <v>0.0</v>
      </c>
      <c r="J829" s="8">
        <v>1.17</v>
      </c>
      <c r="K829" s="5" t="str">
        <f t="shared" si="1"/>
        <v>Chennai -&gt; Bengaluru</v>
      </c>
    </row>
    <row r="830" ht="15.75" customHeight="1">
      <c r="A830" s="5" t="s">
        <v>2466</v>
      </c>
      <c r="B830" s="5" t="s">
        <v>20</v>
      </c>
      <c r="C830" s="6" t="s">
        <v>2310</v>
      </c>
      <c r="D830" s="5" t="s">
        <v>753</v>
      </c>
      <c r="E830" s="5" t="s">
        <v>164</v>
      </c>
      <c r="F830" s="5" t="s">
        <v>109</v>
      </c>
      <c r="G830" s="5" t="s">
        <v>33</v>
      </c>
      <c r="H830" s="5" t="s">
        <v>54</v>
      </c>
      <c r="I830" s="6">
        <v>1.0</v>
      </c>
      <c r="J830" s="8">
        <v>8.5</v>
      </c>
      <c r="K830" s="5" t="str">
        <f t="shared" si="1"/>
        <v>Chennai -&gt; Bengaluru</v>
      </c>
    </row>
    <row r="831" ht="15.75" customHeight="1">
      <c r="A831" s="5" t="s">
        <v>2468</v>
      </c>
      <c r="B831" s="5" t="s">
        <v>45</v>
      </c>
      <c r="C831" s="6" t="s">
        <v>2331</v>
      </c>
      <c r="D831" s="5" t="s">
        <v>753</v>
      </c>
      <c r="E831" s="5" t="s">
        <v>164</v>
      </c>
      <c r="F831" s="5" t="s">
        <v>109</v>
      </c>
      <c r="G831" s="5" t="s">
        <v>54</v>
      </c>
      <c r="H831" s="5" t="s">
        <v>47</v>
      </c>
      <c r="I831" s="6">
        <v>1.0</v>
      </c>
      <c r="J831" s="8">
        <v>19.08</v>
      </c>
      <c r="K831" s="5" t="str">
        <f t="shared" si="1"/>
        <v>Chennai -&gt; Bengaluru</v>
      </c>
    </row>
    <row r="832" ht="15.75" customHeight="1">
      <c r="A832" s="5" t="s">
        <v>2471</v>
      </c>
      <c r="B832" s="5" t="s">
        <v>45</v>
      </c>
      <c r="C832" s="6" t="s">
        <v>2179</v>
      </c>
      <c r="D832" s="5" t="s">
        <v>753</v>
      </c>
      <c r="E832" s="5" t="s">
        <v>164</v>
      </c>
      <c r="F832" s="5" t="s">
        <v>109</v>
      </c>
      <c r="G832" s="5" t="s">
        <v>54</v>
      </c>
      <c r="H832" s="5" t="s">
        <v>54</v>
      </c>
      <c r="I832" s="6">
        <v>1.0</v>
      </c>
      <c r="J832" s="8">
        <v>49.83</v>
      </c>
      <c r="K832" s="5" t="str">
        <f t="shared" si="1"/>
        <v>Chennai -&gt; Bengaluru</v>
      </c>
    </row>
    <row r="833" ht="15.75" customHeight="1">
      <c r="A833" s="5" t="s">
        <v>2473</v>
      </c>
      <c r="B833" s="5" t="s">
        <v>20</v>
      </c>
      <c r="C833" s="6" t="s">
        <v>2321</v>
      </c>
      <c r="D833" s="5" t="s">
        <v>753</v>
      </c>
      <c r="E833" s="5" t="s">
        <v>164</v>
      </c>
      <c r="F833" s="5" t="s">
        <v>109</v>
      </c>
      <c r="G833" s="5" t="s">
        <v>35</v>
      </c>
      <c r="H833" s="5" t="s">
        <v>54</v>
      </c>
      <c r="I833" s="6">
        <v>1.0</v>
      </c>
      <c r="J833" s="8">
        <v>19.92</v>
      </c>
      <c r="K833" s="5" t="str">
        <f t="shared" si="1"/>
        <v>Chennai -&gt; Bengaluru</v>
      </c>
    </row>
    <row r="834" ht="15.75" customHeight="1">
      <c r="A834" s="5" t="s">
        <v>2482</v>
      </c>
      <c r="B834" s="5" t="s">
        <v>20</v>
      </c>
      <c r="C834" s="6" t="s">
        <v>2321</v>
      </c>
      <c r="D834" s="5" t="s">
        <v>753</v>
      </c>
      <c r="E834" s="5" t="s">
        <v>164</v>
      </c>
      <c r="F834" s="5" t="s">
        <v>109</v>
      </c>
      <c r="G834" s="5" t="s">
        <v>35</v>
      </c>
      <c r="H834" s="5" t="s">
        <v>54</v>
      </c>
      <c r="I834" s="6">
        <v>1.0</v>
      </c>
      <c r="J834" s="8">
        <v>22.42</v>
      </c>
      <c r="K834" s="5" t="str">
        <f t="shared" si="1"/>
        <v>Chennai -&gt; Bengaluru</v>
      </c>
    </row>
    <row r="835" ht="15.75" customHeight="1">
      <c r="A835" s="5" t="s">
        <v>2485</v>
      </c>
      <c r="B835" s="5" t="s">
        <v>45</v>
      </c>
      <c r="C835" s="6" t="s">
        <v>2306</v>
      </c>
      <c r="D835" s="5" t="s">
        <v>753</v>
      </c>
      <c r="E835" s="5" t="s">
        <v>164</v>
      </c>
      <c r="F835" s="5" t="s">
        <v>109</v>
      </c>
      <c r="G835" s="5" t="s">
        <v>33</v>
      </c>
      <c r="H835" s="5" t="s">
        <v>35</v>
      </c>
      <c r="I835" s="6" t="s">
        <v>180</v>
      </c>
      <c r="J835" s="8">
        <v>14.25</v>
      </c>
      <c r="K835" s="5" t="str">
        <f t="shared" si="1"/>
        <v>Chennai -&gt; Bengaluru</v>
      </c>
    </row>
    <row r="836" ht="15.75" customHeight="1">
      <c r="A836" s="5" t="s">
        <v>2487</v>
      </c>
      <c r="B836" s="5" t="s">
        <v>45</v>
      </c>
      <c r="C836" s="6" t="s">
        <v>2306</v>
      </c>
      <c r="D836" s="5" t="s">
        <v>753</v>
      </c>
      <c r="E836" s="5" t="s">
        <v>164</v>
      </c>
      <c r="F836" s="5" t="s">
        <v>109</v>
      </c>
      <c r="G836" s="5" t="s">
        <v>33</v>
      </c>
      <c r="H836" s="5" t="s">
        <v>35</v>
      </c>
      <c r="I836" s="6">
        <v>1.0</v>
      </c>
      <c r="J836" s="8">
        <v>12.33</v>
      </c>
      <c r="K836" s="5" t="str">
        <f t="shared" si="1"/>
        <v>Chennai -&gt; Bengaluru</v>
      </c>
    </row>
    <row r="837" ht="15.75" customHeight="1">
      <c r="A837" s="5" t="s">
        <v>2489</v>
      </c>
      <c r="B837" s="5" t="s">
        <v>45</v>
      </c>
      <c r="C837" s="6" t="s">
        <v>2331</v>
      </c>
      <c r="D837" s="5" t="s">
        <v>753</v>
      </c>
      <c r="E837" s="5" t="s">
        <v>164</v>
      </c>
      <c r="F837" s="5" t="s">
        <v>109</v>
      </c>
      <c r="G837" s="5" t="s">
        <v>54</v>
      </c>
      <c r="H837" s="5" t="s">
        <v>54</v>
      </c>
      <c r="I837" s="6">
        <v>1.0</v>
      </c>
      <c r="J837" s="8">
        <v>23.25</v>
      </c>
      <c r="K837" s="5" t="str">
        <f t="shared" si="1"/>
        <v>Chennai -&gt; Bengaluru</v>
      </c>
    </row>
    <row r="838" ht="15.75" customHeight="1">
      <c r="A838" s="5" t="s">
        <v>2491</v>
      </c>
      <c r="B838" s="5" t="s">
        <v>20</v>
      </c>
      <c r="C838" s="6" t="s">
        <v>2310</v>
      </c>
      <c r="D838" s="5" t="s">
        <v>753</v>
      </c>
      <c r="E838" s="5" t="s">
        <v>164</v>
      </c>
      <c r="F838" s="5" t="s">
        <v>109</v>
      </c>
      <c r="G838" s="5" t="s">
        <v>33</v>
      </c>
      <c r="H838" s="5" t="s">
        <v>33</v>
      </c>
      <c r="I838" s="6">
        <v>1.0</v>
      </c>
      <c r="J838" s="8">
        <v>21.92</v>
      </c>
      <c r="K838" s="5" t="str">
        <f t="shared" si="1"/>
        <v>Chennai -&gt; Bengaluru</v>
      </c>
    </row>
    <row r="839" ht="15.75" customHeight="1">
      <c r="A839" s="5" t="s">
        <v>2503</v>
      </c>
      <c r="B839" s="5" t="s">
        <v>45</v>
      </c>
      <c r="C839" s="6" t="s">
        <v>2504</v>
      </c>
      <c r="D839" s="5" t="s">
        <v>753</v>
      </c>
      <c r="E839" s="5" t="s">
        <v>164</v>
      </c>
      <c r="F839" s="5" t="s">
        <v>109</v>
      </c>
      <c r="G839" s="5" t="s">
        <v>35</v>
      </c>
      <c r="H839" s="5" t="s">
        <v>47</v>
      </c>
      <c r="I839" s="6">
        <v>1.0</v>
      </c>
      <c r="J839" s="8">
        <v>18.0</v>
      </c>
      <c r="K839" s="5" t="str">
        <f t="shared" si="1"/>
        <v>Chennai -&gt; Bengaluru</v>
      </c>
    </row>
    <row r="840" ht="15.75" customHeight="1">
      <c r="A840" s="5" t="s">
        <v>2506</v>
      </c>
      <c r="B840" s="5" t="s">
        <v>20</v>
      </c>
      <c r="C840" s="6" t="s">
        <v>2303</v>
      </c>
      <c r="D840" s="5" t="s">
        <v>753</v>
      </c>
      <c r="E840" s="5" t="s">
        <v>164</v>
      </c>
      <c r="F840" s="5" t="s">
        <v>109</v>
      </c>
      <c r="G840" s="5" t="s">
        <v>54</v>
      </c>
      <c r="H840" s="5" t="s">
        <v>54</v>
      </c>
      <c r="I840" s="6">
        <v>1.0</v>
      </c>
      <c r="J840" s="8">
        <v>23.83</v>
      </c>
      <c r="K840" s="5" t="str">
        <f t="shared" si="1"/>
        <v>Chennai -&gt; Bengaluru</v>
      </c>
    </row>
    <row r="841" ht="15.75" customHeight="1">
      <c r="A841" s="5" t="s">
        <v>2507</v>
      </c>
      <c r="B841" s="5" t="s">
        <v>45</v>
      </c>
      <c r="C841" s="6" t="s">
        <v>2306</v>
      </c>
      <c r="D841" s="5" t="s">
        <v>753</v>
      </c>
      <c r="E841" s="5" t="s">
        <v>164</v>
      </c>
      <c r="F841" s="5" t="s">
        <v>109</v>
      </c>
      <c r="G841" s="5" t="s">
        <v>33</v>
      </c>
      <c r="H841" s="5" t="s">
        <v>35</v>
      </c>
      <c r="I841" s="6">
        <v>1.0</v>
      </c>
      <c r="J841" s="8">
        <v>14.25</v>
      </c>
      <c r="K841" s="5" t="str">
        <f t="shared" si="1"/>
        <v>Chennai -&gt; Bengaluru</v>
      </c>
    </row>
    <row r="842" ht="15.75" customHeight="1">
      <c r="A842" s="5" t="s">
        <v>2509</v>
      </c>
      <c r="B842" s="5" t="s">
        <v>29</v>
      </c>
      <c r="C842" s="6" t="s">
        <v>2464</v>
      </c>
      <c r="D842" s="5" t="s">
        <v>771</v>
      </c>
      <c r="E842" s="5" t="s">
        <v>164</v>
      </c>
      <c r="F842" s="5" t="s">
        <v>132</v>
      </c>
      <c r="G842" s="5" t="s">
        <v>35</v>
      </c>
      <c r="H842" s="5" t="s">
        <v>33</v>
      </c>
      <c r="I842" s="6">
        <v>1.0</v>
      </c>
      <c r="J842" s="8">
        <v>10.42</v>
      </c>
      <c r="K842" s="5" t="str">
        <f t="shared" si="1"/>
        <v>Chennai -&gt; Kolkata</v>
      </c>
    </row>
    <row r="843" ht="15.75" customHeight="1">
      <c r="A843" s="5" t="s">
        <v>2511</v>
      </c>
      <c r="B843" s="5" t="s">
        <v>45</v>
      </c>
      <c r="C843" s="6" t="s">
        <v>2306</v>
      </c>
      <c r="D843" s="5" t="s">
        <v>771</v>
      </c>
      <c r="E843" s="5" t="s">
        <v>164</v>
      </c>
      <c r="F843" s="5" t="s">
        <v>132</v>
      </c>
      <c r="G843" s="5" t="s">
        <v>33</v>
      </c>
      <c r="H843" s="5" t="s">
        <v>35</v>
      </c>
      <c r="I843" s="6">
        <v>1.0</v>
      </c>
      <c r="J843" s="8">
        <v>12.42</v>
      </c>
      <c r="K843" s="5" t="str">
        <f t="shared" si="1"/>
        <v>Chennai -&gt; Kolkata</v>
      </c>
    </row>
    <row r="844" ht="15.75" customHeight="1">
      <c r="A844" s="5" t="s">
        <v>2513</v>
      </c>
      <c r="B844" s="5" t="s">
        <v>72</v>
      </c>
      <c r="C844" s="6" t="s">
        <v>2514</v>
      </c>
      <c r="D844" s="5" t="s">
        <v>771</v>
      </c>
      <c r="E844" s="5" t="s">
        <v>164</v>
      </c>
      <c r="F844" s="5" t="s">
        <v>132</v>
      </c>
      <c r="G844" s="5" t="s">
        <v>33</v>
      </c>
      <c r="H844" s="5" t="s">
        <v>33</v>
      </c>
      <c r="I844" s="6">
        <v>1.0</v>
      </c>
      <c r="J844" s="8">
        <v>24.08</v>
      </c>
      <c r="K844" s="5" t="str">
        <f t="shared" si="1"/>
        <v>Chennai -&gt; Kolkata</v>
      </c>
    </row>
    <row r="845" ht="15.75" customHeight="1">
      <c r="A845" s="5" t="s">
        <v>2516</v>
      </c>
      <c r="B845" s="5" t="s">
        <v>43</v>
      </c>
      <c r="C845" s="6" t="s">
        <v>2517</v>
      </c>
      <c r="D845" s="5" t="s">
        <v>771</v>
      </c>
      <c r="E845" s="5" t="s">
        <v>164</v>
      </c>
      <c r="F845" s="5" t="s">
        <v>132</v>
      </c>
      <c r="G845" s="5" t="s">
        <v>47</v>
      </c>
      <c r="H845" s="5" t="s">
        <v>35</v>
      </c>
      <c r="I845" s="6">
        <v>1.0</v>
      </c>
      <c r="J845" s="8">
        <v>7.08</v>
      </c>
      <c r="K845" s="5" t="str">
        <f t="shared" si="1"/>
        <v>Chennai -&gt; Kolkata</v>
      </c>
    </row>
    <row r="846" ht="15.75" customHeight="1">
      <c r="A846" s="5" t="s">
        <v>2519</v>
      </c>
      <c r="B846" s="5" t="s">
        <v>45</v>
      </c>
      <c r="C846" s="6" t="s">
        <v>2190</v>
      </c>
      <c r="D846" s="5" t="s">
        <v>771</v>
      </c>
      <c r="E846" s="5" t="s">
        <v>164</v>
      </c>
      <c r="F846" s="5" t="s">
        <v>132</v>
      </c>
      <c r="G846" s="5" t="s">
        <v>33</v>
      </c>
      <c r="H846" s="5" t="s">
        <v>35</v>
      </c>
      <c r="I846" s="6">
        <v>1.0</v>
      </c>
      <c r="J846" s="8">
        <v>41.5</v>
      </c>
      <c r="K846" s="5" t="str">
        <f t="shared" si="1"/>
        <v>Chennai -&gt; Kolkata</v>
      </c>
    </row>
    <row r="847" ht="15.75" customHeight="1">
      <c r="A847" s="5" t="s">
        <v>2521</v>
      </c>
      <c r="B847" s="5" t="s">
        <v>43</v>
      </c>
      <c r="C847" s="6" t="s">
        <v>2186</v>
      </c>
      <c r="D847" s="5" t="s">
        <v>771</v>
      </c>
      <c r="E847" s="5" t="s">
        <v>164</v>
      </c>
      <c r="F847" s="5" t="s">
        <v>132</v>
      </c>
      <c r="G847" s="5" t="s">
        <v>47</v>
      </c>
      <c r="H847" s="5" t="s">
        <v>35</v>
      </c>
      <c r="I847" s="6">
        <v>1.0</v>
      </c>
      <c r="J847" s="8">
        <v>6.83</v>
      </c>
      <c r="K847" s="5" t="str">
        <f t="shared" si="1"/>
        <v>Chennai -&gt; Kolkata</v>
      </c>
    </row>
    <row r="848" ht="15.75" customHeight="1">
      <c r="A848" s="5" t="s">
        <v>2523</v>
      </c>
      <c r="B848" s="5" t="s">
        <v>43</v>
      </c>
      <c r="C848" s="6" t="s">
        <v>2524</v>
      </c>
      <c r="D848" s="5" t="s">
        <v>771</v>
      </c>
      <c r="E848" s="5" t="s">
        <v>164</v>
      </c>
      <c r="F848" s="5" t="s">
        <v>132</v>
      </c>
      <c r="G848" s="5" t="s">
        <v>33</v>
      </c>
      <c r="H848" s="5" t="s">
        <v>54</v>
      </c>
      <c r="I848" s="6" t="s">
        <v>180</v>
      </c>
      <c r="J848" s="8">
        <v>8.0</v>
      </c>
      <c r="K848" s="5" t="str">
        <f t="shared" si="1"/>
        <v>Chennai -&gt; Kolkata</v>
      </c>
    </row>
    <row r="849" ht="15.75" customHeight="1">
      <c r="A849" s="5" t="s">
        <v>2526</v>
      </c>
      <c r="B849" s="5" t="s">
        <v>20</v>
      </c>
      <c r="C849" s="6" t="s">
        <v>2204</v>
      </c>
      <c r="D849" s="5" t="s">
        <v>771</v>
      </c>
      <c r="E849" s="5" t="s">
        <v>164</v>
      </c>
      <c r="F849" s="5" t="s">
        <v>132</v>
      </c>
      <c r="G849" s="5" t="s">
        <v>33</v>
      </c>
      <c r="H849" s="5" t="s">
        <v>54</v>
      </c>
      <c r="I849" s="6">
        <v>1.0</v>
      </c>
      <c r="J849" s="8">
        <v>7.17</v>
      </c>
      <c r="K849" s="5" t="str">
        <f t="shared" si="1"/>
        <v>Chennai -&gt; Kolkata</v>
      </c>
    </row>
    <row r="850" ht="15.75" customHeight="1">
      <c r="A850" s="5" t="s">
        <v>2528</v>
      </c>
      <c r="B850" s="5" t="s">
        <v>45</v>
      </c>
      <c r="C850" s="6" t="s">
        <v>2331</v>
      </c>
      <c r="D850" s="5" t="s">
        <v>771</v>
      </c>
      <c r="E850" s="5" t="s">
        <v>164</v>
      </c>
      <c r="F850" s="5" t="s">
        <v>132</v>
      </c>
      <c r="G850" s="5" t="s">
        <v>54</v>
      </c>
      <c r="H850" s="5" t="s">
        <v>47</v>
      </c>
      <c r="I850" s="6" t="s">
        <v>66</v>
      </c>
      <c r="J850" s="8">
        <v>19.5</v>
      </c>
      <c r="K850" s="5" t="str">
        <f t="shared" si="1"/>
        <v>Chennai -&gt; Kolkata</v>
      </c>
    </row>
    <row r="851" ht="15.75" customHeight="1">
      <c r="A851" s="5" t="s">
        <v>2532</v>
      </c>
      <c r="B851" s="5" t="s">
        <v>20</v>
      </c>
      <c r="C851" s="6" t="s">
        <v>2321</v>
      </c>
      <c r="D851" s="5" t="s">
        <v>771</v>
      </c>
      <c r="E851" s="5" t="s">
        <v>164</v>
      </c>
      <c r="F851" s="5" t="s">
        <v>132</v>
      </c>
      <c r="G851" s="5" t="s">
        <v>35</v>
      </c>
      <c r="H851" s="5" t="s">
        <v>35</v>
      </c>
      <c r="I851" s="6">
        <v>1.0</v>
      </c>
      <c r="J851" s="8">
        <v>25.67</v>
      </c>
      <c r="K851" s="5" t="str">
        <f t="shared" si="1"/>
        <v>Chennai -&gt; Kolkata</v>
      </c>
    </row>
    <row r="852" ht="15.75" customHeight="1">
      <c r="A852" s="5" t="s">
        <v>2534</v>
      </c>
      <c r="B852" s="5" t="s">
        <v>45</v>
      </c>
      <c r="C852" s="6" t="s">
        <v>2182</v>
      </c>
      <c r="D852" s="5" t="s">
        <v>771</v>
      </c>
      <c r="E852" s="5" t="s">
        <v>164</v>
      </c>
      <c r="F852" s="5" t="s">
        <v>132</v>
      </c>
      <c r="G852" s="5" t="s">
        <v>33</v>
      </c>
      <c r="H852" s="5" t="s">
        <v>47</v>
      </c>
      <c r="I852" s="6">
        <v>1.0</v>
      </c>
      <c r="J852" s="8">
        <v>30.17</v>
      </c>
      <c r="K852" s="5" t="str">
        <f t="shared" si="1"/>
        <v>Chennai -&gt; Kolkata</v>
      </c>
    </row>
    <row r="853" ht="15.75" customHeight="1">
      <c r="A853" s="5" t="s">
        <v>2542</v>
      </c>
      <c r="B853" s="5" t="s">
        <v>45</v>
      </c>
      <c r="C853" s="6" t="s">
        <v>2211</v>
      </c>
      <c r="D853" s="5" t="s">
        <v>771</v>
      </c>
      <c r="E853" s="5" t="s">
        <v>164</v>
      </c>
      <c r="F853" s="5" t="s">
        <v>132</v>
      </c>
      <c r="G853" s="5" t="s">
        <v>47</v>
      </c>
      <c r="H853" s="5" t="s">
        <v>33</v>
      </c>
      <c r="I853" s="6" t="s">
        <v>180</v>
      </c>
      <c r="J853" s="8">
        <v>18.5</v>
      </c>
      <c r="K853" s="5" t="str">
        <f t="shared" si="1"/>
        <v>Chennai -&gt; Kolkata</v>
      </c>
    </row>
    <row r="854" ht="15.75" customHeight="1">
      <c r="A854" s="5" t="s">
        <v>2543</v>
      </c>
      <c r="B854" s="5" t="s">
        <v>45</v>
      </c>
      <c r="C854" s="6" t="s">
        <v>2504</v>
      </c>
      <c r="D854" s="5" t="s">
        <v>771</v>
      </c>
      <c r="E854" s="5" t="s">
        <v>164</v>
      </c>
      <c r="F854" s="5" t="s">
        <v>132</v>
      </c>
      <c r="G854" s="5" t="s">
        <v>35</v>
      </c>
      <c r="H854" s="5" t="s">
        <v>47</v>
      </c>
      <c r="I854" s="6">
        <v>1.0</v>
      </c>
      <c r="J854" s="8">
        <v>18.17</v>
      </c>
      <c r="K854" s="5" t="str">
        <f t="shared" si="1"/>
        <v>Chennai -&gt; Kolkata</v>
      </c>
    </row>
    <row r="855" ht="15.75" customHeight="1">
      <c r="A855" s="5" t="s">
        <v>2544</v>
      </c>
      <c r="B855" s="5" t="s">
        <v>43</v>
      </c>
      <c r="C855" s="6" t="s">
        <v>2545</v>
      </c>
      <c r="D855" s="5" t="s">
        <v>771</v>
      </c>
      <c r="E855" s="5" t="s">
        <v>164</v>
      </c>
      <c r="F855" s="5" t="s">
        <v>132</v>
      </c>
      <c r="G855" s="5" t="s">
        <v>33</v>
      </c>
      <c r="H855" s="5" t="s">
        <v>47</v>
      </c>
      <c r="I855" s="6">
        <v>1.0</v>
      </c>
      <c r="J855" s="8">
        <v>7.92</v>
      </c>
      <c r="K855" s="5" t="str">
        <f t="shared" si="1"/>
        <v>Chennai -&gt; Kolkata</v>
      </c>
    </row>
    <row r="856" ht="15.75" customHeight="1">
      <c r="A856" s="5" t="s">
        <v>2546</v>
      </c>
      <c r="B856" s="5" t="s">
        <v>43</v>
      </c>
      <c r="C856" s="6" t="s">
        <v>2547</v>
      </c>
      <c r="D856" s="5" t="s">
        <v>771</v>
      </c>
      <c r="E856" s="5" t="s">
        <v>164</v>
      </c>
      <c r="F856" s="5" t="s">
        <v>132</v>
      </c>
      <c r="G856" s="5" t="s">
        <v>33</v>
      </c>
      <c r="H856" s="5" t="s">
        <v>35</v>
      </c>
      <c r="I856" s="6">
        <v>1.0</v>
      </c>
      <c r="J856" s="8">
        <v>11.67</v>
      </c>
      <c r="K856" s="5" t="str">
        <f t="shared" si="1"/>
        <v>Chennai -&gt; Kolkata</v>
      </c>
    </row>
    <row r="857" ht="15.75" customHeight="1">
      <c r="A857" s="5" t="s">
        <v>2548</v>
      </c>
      <c r="B857" s="5" t="s">
        <v>43</v>
      </c>
      <c r="C857" s="6" t="s">
        <v>2547</v>
      </c>
      <c r="D857" s="5" t="s">
        <v>771</v>
      </c>
      <c r="E857" s="5" t="s">
        <v>164</v>
      </c>
      <c r="F857" s="5" t="s">
        <v>132</v>
      </c>
      <c r="G857" s="5" t="s">
        <v>33</v>
      </c>
      <c r="H857" s="5" t="s">
        <v>54</v>
      </c>
      <c r="I857" s="6">
        <v>1.0</v>
      </c>
      <c r="J857" s="8">
        <v>8.75</v>
      </c>
      <c r="K857" s="5" t="str">
        <f t="shared" si="1"/>
        <v>Chennai -&gt; Kolkata</v>
      </c>
    </row>
    <row r="858" ht="15.75" customHeight="1">
      <c r="A858" s="5" t="s">
        <v>2549</v>
      </c>
      <c r="B858" s="5" t="s">
        <v>43</v>
      </c>
      <c r="C858" s="6" t="s">
        <v>2550</v>
      </c>
      <c r="D858" s="5" t="s">
        <v>771</v>
      </c>
      <c r="E858" s="5" t="s">
        <v>164</v>
      </c>
      <c r="F858" s="5" t="s">
        <v>132</v>
      </c>
      <c r="G858" s="5" t="s">
        <v>54</v>
      </c>
      <c r="H858" s="5" t="s">
        <v>35</v>
      </c>
      <c r="I858" s="6">
        <v>1.0</v>
      </c>
      <c r="J858" s="8">
        <v>8.25</v>
      </c>
      <c r="K858" s="5" t="str">
        <f t="shared" si="1"/>
        <v>Chennai -&gt; Kolkata</v>
      </c>
    </row>
    <row r="859" ht="15.75" customHeight="1">
      <c r="A859" s="5" t="s">
        <v>2551</v>
      </c>
      <c r="B859" s="5" t="s">
        <v>43</v>
      </c>
      <c r="C859" s="6" t="s">
        <v>2552</v>
      </c>
      <c r="D859" s="5" t="s">
        <v>771</v>
      </c>
      <c r="E859" s="5" t="s">
        <v>164</v>
      </c>
      <c r="F859" s="5" t="s">
        <v>132</v>
      </c>
      <c r="G859" s="5" t="s">
        <v>54</v>
      </c>
      <c r="H859" s="5" t="s">
        <v>35</v>
      </c>
      <c r="I859" s="6">
        <v>1.0</v>
      </c>
      <c r="J859" s="8">
        <v>4.75</v>
      </c>
      <c r="K859" s="5" t="str">
        <f t="shared" si="1"/>
        <v>Chennai -&gt; Kolkata</v>
      </c>
    </row>
    <row r="860" ht="15.75" customHeight="1">
      <c r="A860" s="5" t="s">
        <v>2553</v>
      </c>
      <c r="B860" s="5" t="s">
        <v>45</v>
      </c>
      <c r="C860" s="6" t="s">
        <v>2306</v>
      </c>
      <c r="D860" s="5" t="s">
        <v>771</v>
      </c>
      <c r="E860" s="5" t="s">
        <v>164</v>
      </c>
      <c r="F860" s="5" t="s">
        <v>132</v>
      </c>
      <c r="G860" s="5" t="s">
        <v>33</v>
      </c>
      <c r="H860" s="5" t="s">
        <v>35</v>
      </c>
      <c r="I860" s="6" t="s">
        <v>180</v>
      </c>
      <c r="J860" s="8">
        <v>12.42</v>
      </c>
      <c r="K860" s="5" t="str">
        <f t="shared" si="1"/>
        <v>Chennai -&gt; Kolkata</v>
      </c>
    </row>
    <row r="861" ht="15.75" customHeight="1">
      <c r="A861" s="5" t="s">
        <v>2554</v>
      </c>
      <c r="B861" s="5" t="s">
        <v>20</v>
      </c>
      <c r="C861" s="6" t="s">
        <v>2310</v>
      </c>
      <c r="D861" s="5" t="s">
        <v>771</v>
      </c>
      <c r="E861" s="5" t="s">
        <v>164</v>
      </c>
      <c r="F861" s="5" t="s">
        <v>132</v>
      </c>
      <c r="G861" s="5" t="s">
        <v>33</v>
      </c>
      <c r="H861" s="5" t="s">
        <v>35</v>
      </c>
      <c r="I861" s="6">
        <v>1.0</v>
      </c>
      <c r="J861" s="8">
        <v>34.0</v>
      </c>
      <c r="K861" s="5" t="str">
        <f t="shared" si="1"/>
        <v>Chennai -&gt; Kolkata</v>
      </c>
    </row>
    <row r="862" ht="15.75" customHeight="1">
      <c r="A862" s="5" t="s">
        <v>2556</v>
      </c>
      <c r="B862" s="5" t="s">
        <v>45</v>
      </c>
      <c r="C862" s="6" t="s">
        <v>2306</v>
      </c>
      <c r="D862" s="5" t="s">
        <v>771</v>
      </c>
      <c r="E862" s="5" t="s">
        <v>164</v>
      </c>
      <c r="F862" s="5" t="s">
        <v>132</v>
      </c>
      <c r="G862" s="5" t="s">
        <v>33</v>
      </c>
      <c r="H862" s="5" t="s">
        <v>33</v>
      </c>
      <c r="I862" s="6" t="s">
        <v>180</v>
      </c>
      <c r="J862" s="8">
        <v>23.08</v>
      </c>
      <c r="K862" s="5" t="str">
        <f t="shared" si="1"/>
        <v>Chennai -&gt; Kolkata</v>
      </c>
    </row>
    <row r="863" ht="15.75" customHeight="1">
      <c r="A863" s="5" t="s">
        <v>2558</v>
      </c>
      <c r="B863" s="5" t="s">
        <v>45</v>
      </c>
      <c r="C863" s="6" t="s">
        <v>2190</v>
      </c>
      <c r="D863" s="5" t="s">
        <v>771</v>
      </c>
      <c r="E863" s="5" t="s">
        <v>164</v>
      </c>
      <c r="F863" s="5" t="s">
        <v>132</v>
      </c>
      <c r="G863" s="5" t="s">
        <v>33</v>
      </c>
      <c r="H863" s="5" t="s">
        <v>47</v>
      </c>
      <c r="I863" s="6" t="s">
        <v>180</v>
      </c>
      <c r="J863" s="8">
        <v>30.0</v>
      </c>
      <c r="K863" s="5" t="str">
        <f t="shared" si="1"/>
        <v>Chennai -&gt; Kolkata</v>
      </c>
    </row>
    <row r="864" ht="15.75" customHeight="1">
      <c r="A864" s="5" t="s">
        <v>2560</v>
      </c>
      <c r="B864" s="5" t="s">
        <v>45</v>
      </c>
      <c r="C864" s="6" t="s">
        <v>2182</v>
      </c>
      <c r="D864" s="5" t="s">
        <v>771</v>
      </c>
      <c r="E864" s="5" t="s">
        <v>164</v>
      </c>
      <c r="F864" s="5" t="s">
        <v>132</v>
      </c>
      <c r="G864" s="5" t="s">
        <v>33</v>
      </c>
      <c r="H864" s="5" t="s">
        <v>35</v>
      </c>
      <c r="I864" s="6">
        <v>1.0</v>
      </c>
      <c r="J864" s="8">
        <v>16.92</v>
      </c>
      <c r="K864" s="5" t="str">
        <f t="shared" si="1"/>
        <v>Chennai -&gt; Kolkata</v>
      </c>
    </row>
    <row r="865" ht="15.75" customHeight="1">
      <c r="A865" s="5" t="s">
        <v>2563</v>
      </c>
      <c r="B865" s="5" t="s">
        <v>20</v>
      </c>
      <c r="C865" s="6" t="s">
        <v>2316</v>
      </c>
      <c r="D865" s="5" t="s">
        <v>771</v>
      </c>
      <c r="E865" s="5" t="s">
        <v>164</v>
      </c>
      <c r="F865" s="5" t="s">
        <v>132</v>
      </c>
      <c r="G865" s="5" t="s">
        <v>33</v>
      </c>
      <c r="H865" s="5" t="s">
        <v>35</v>
      </c>
      <c r="I865" s="6" t="s">
        <v>180</v>
      </c>
      <c r="J865" s="8">
        <v>37.83</v>
      </c>
      <c r="K865" s="5" t="str">
        <f t="shared" si="1"/>
        <v>Chennai -&gt; Kolkata</v>
      </c>
    </row>
    <row r="866" ht="15.75" customHeight="1">
      <c r="A866" s="5" t="s">
        <v>2565</v>
      </c>
      <c r="B866" s="5" t="s">
        <v>29</v>
      </c>
      <c r="C866" s="6" t="s">
        <v>2566</v>
      </c>
      <c r="D866" s="5" t="s">
        <v>771</v>
      </c>
      <c r="E866" s="5" t="s">
        <v>164</v>
      </c>
      <c r="F866" s="5" t="s">
        <v>132</v>
      </c>
      <c r="G866" s="5" t="s">
        <v>33</v>
      </c>
      <c r="H866" s="5" t="s">
        <v>47</v>
      </c>
      <c r="I866" s="6">
        <v>0.0</v>
      </c>
      <c r="J866" s="8">
        <v>2.33</v>
      </c>
      <c r="K866" s="5" t="str">
        <f t="shared" si="1"/>
        <v>Chennai -&gt; Kolkata</v>
      </c>
    </row>
    <row r="867" ht="15.75" customHeight="1">
      <c r="A867" s="5" t="s">
        <v>2568</v>
      </c>
      <c r="B867" s="5" t="s">
        <v>43</v>
      </c>
      <c r="C867" s="6" t="s">
        <v>2569</v>
      </c>
      <c r="D867" s="5" t="s">
        <v>771</v>
      </c>
      <c r="E867" s="5" t="s">
        <v>164</v>
      </c>
      <c r="F867" s="5" t="s">
        <v>132</v>
      </c>
      <c r="G867" s="5" t="s">
        <v>35</v>
      </c>
      <c r="H867" s="5" t="s">
        <v>33</v>
      </c>
      <c r="I867" s="6">
        <v>1.0</v>
      </c>
      <c r="J867" s="8">
        <v>12.42</v>
      </c>
      <c r="K867" s="5" t="str">
        <f t="shared" si="1"/>
        <v>Chennai -&gt; Kolkata</v>
      </c>
    </row>
    <row r="868" ht="15.75" customHeight="1">
      <c r="A868" s="5" t="s">
        <v>2571</v>
      </c>
      <c r="B868" s="5" t="s">
        <v>20</v>
      </c>
      <c r="C868" s="6" t="s">
        <v>2270</v>
      </c>
      <c r="D868" s="5" t="s">
        <v>771</v>
      </c>
      <c r="E868" s="5" t="s">
        <v>164</v>
      </c>
      <c r="F868" s="5" t="s">
        <v>132</v>
      </c>
      <c r="G868" s="5" t="s">
        <v>35</v>
      </c>
      <c r="H868" s="5" t="s">
        <v>33</v>
      </c>
      <c r="I868" s="6">
        <v>1.0</v>
      </c>
      <c r="J868" s="8">
        <v>13.17</v>
      </c>
      <c r="K868" s="5" t="str">
        <f t="shared" si="1"/>
        <v>Chennai -&gt; Kolkata</v>
      </c>
    </row>
    <row r="869" ht="15.75" customHeight="1">
      <c r="A869" s="5" t="s">
        <v>2573</v>
      </c>
      <c r="B869" s="5" t="s">
        <v>45</v>
      </c>
      <c r="C869" s="6" t="s">
        <v>2306</v>
      </c>
      <c r="D869" s="5" t="s">
        <v>771</v>
      </c>
      <c r="E869" s="5" t="s">
        <v>164</v>
      </c>
      <c r="F869" s="5" t="s">
        <v>132</v>
      </c>
      <c r="G869" s="5" t="s">
        <v>33</v>
      </c>
      <c r="H869" s="5" t="s">
        <v>33</v>
      </c>
      <c r="I869" s="6">
        <v>1.0</v>
      </c>
      <c r="J869" s="8">
        <v>25.17</v>
      </c>
      <c r="K869" s="5" t="str">
        <f t="shared" si="1"/>
        <v>Chennai -&gt; Kolkata</v>
      </c>
    </row>
    <row r="870" ht="15.75" customHeight="1">
      <c r="A870" s="5" t="s">
        <v>2574</v>
      </c>
      <c r="B870" s="5" t="s">
        <v>45</v>
      </c>
      <c r="C870" s="6" t="s">
        <v>2182</v>
      </c>
      <c r="D870" s="5" t="s">
        <v>771</v>
      </c>
      <c r="E870" s="5" t="s">
        <v>164</v>
      </c>
      <c r="F870" s="5" t="s">
        <v>132</v>
      </c>
      <c r="G870" s="5" t="s">
        <v>33</v>
      </c>
      <c r="H870" s="5" t="s">
        <v>33</v>
      </c>
      <c r="I870" s="6" t="s">
        <v>180</v>
      </c>
      <c r="J870" s="8">
        <v>26.5</v>
      </c>
      <c r="K870" s="5" t="str">
        <f t="shared" si="1"/>
        <v>Chennai -&gt; Kolkata</v>
      </c>
    </row>
    <row r="871" ht="15.75" customHeight="1">
      <c r="A871" s="5" t="s">
        <v>2577</v>
      </c>
      <c r="B871" s="5" t="s">
        <v>43</v>
      </c>
      <c r="C871" s="6" t="s">
        <v>2578</v>
      </c>
      <c r="D871" s="5" t="s">
        <v>771</v>
      </c>
      <c r="E871" s="5" t="s">
        <v>164</v>
      </c>
      <c r="F871" s="5" t="s">
        <v>132</v>
      </c>
      <c r="G871" s="5" t="s">
        <v>54</v>
      </c>
      <c r="H871" s="5" t="s">
        <v>33</v>
      </c>
      <c r="I871" s="6">
        <v>1.0</v>
      </c>
      <c r="J871" s="8">
        <v>9.5</v>
      </c>
      <c r="K871" s="5" t="str">
        <f t="shared" si="1"/>
        <v>Chennai -&gt; Kolkata</v>
      </c>
    </row>
    <row r="872" ht="15.75" customHeight="1">
      <c r="A872" s="5" t="s">
        <v>2580</v>
      </c>
      <c r="B872" s="5" t="s">
        <v>43</v>
      </c>
      <c r="C872" s="6" t="s">
        <v>2581</v>
      </c>
      <c r="D872" s="5" t="s">
        <v>771</v>
      </c>
      <c r="E872" s="5" t="s">
        <v>164</v>
      </c>
      <c r="F872" s="5" t="s">
        <v>132</v>
      </c>
      <c r="G872" s="5" t="s">
        <v>54</v>
      </c>
      <c r="H872" s="5" t="s">
        <v>35</v>
      </c>
      <c r="I872" s="6">
        <v>0.0</v>
      </c>
      <c r="J872" s="8">
        <v>2.33</v>
      </c>
      <c r="K872" s="5" t="str">
        <f t="shared" si="1"/>
        <v>Chennai -&gt; Kolkata</v>
      </c>
    </row>
    <row r="873" ht="15.75" customHeight="1">
      <c r="A873" s="5" t="s">
        <v>2583</v>
      </c>
      <c r="B873" s="5" t="s">
        <v>43</v>
      </c>
      <c r="C873" s="6" t="s">
        <v>2584</v>
      </c>
      <c r="D873" s="5" t="s">
        <v>771</v>
      </c>
      <c r="E873" s="5" t="s">
        <v>164</v>
      </c>
      <c r="F873" s="5" t="s">
        <v>132</v>
      </c>
      <c r="G873" s="5" t="s">
        <v>33</v>
      </c>
      <c r="H873" s="5" t="s">
        <v>54</v>
      </c>
      <c r="I873" s="6">
        <v>1.0</v>
      </c>
      <c r="J873" s="8">
        <v>8.08</v>
      </c>
      <c r="K873" s="5" t="str">
        <f t="shared" si="1"/>
        <v>Chennai -&gt; Kolkata</v>
      </c>
    </row>
    <row r="874" ht="15.75" customHeight="1">
      <c r="A874" s="5" t="s">
        <v>2586</v>
      </c>
      <c r="B874" s="5" t="s">
        <v>45</v>
      </c>
      <c r="C874" s="6" t="s">
        <v>2587</v>
      </c>
      <c r="D874" s="5" t="s">
        <v>771</v>
      </c>
      <c r="E874" s="5" t="s">
        <v>164</v>
      </c>
      <c r="F874" s="5" t="s">
        <v>132</v>
      </c>
      <c r="G874" s="5" t="s">
        <v>33</v>
      </c>
      <c r="H874" s="5" t="s">
        <v>33</v>
      </c>
      <c r="I874" s="6">
        <v>1.0</v>
      </c>
      <c r="J874" s="8">
        <v>25.08</v>
      </c>
      <c r="K874" s="5" t="str">
        <f t="shared" si="1"/>
        <v>Chennai -&gt; Kolkata</v>
      </c>
    </row>
    <row r="875" ht="15.75" customHeight="1">
      <c r="A875" s="5" t="s">
        <v>2588</v>
      </c>
      <c r="B875" s="5" t="s">
        <v>20</v>
      </c>
      <c r="C875" s="6" t="s">
        <v>2270</v>
      </c>
      <c r="D875" s="5" t="s">
        <v>771</v>
      </c>
      <c r="E875" s="5" t="s">
        <v>164</v>
      </c>
      <c r="F875" s="5" t="s">
        <v>132</v>
      </c>
      <c r="G875" s="5" t="s">
        <v>35</v>
      </c>
      <c r="H875" s="5" t="s">
        <v>54</v>
      </c>
      <c r="I875" s="6">
        <v>1.0</v>
      </c>
      <c r="J875" s="8">
        <v>20.33</v>
      </c>
      <c r="K875" s="5" t="str">
        <f t="shared" si="1"/>
        <v>Chennai -&gt; Kolkata</v>
      </c>
    </row>
    <row r="876" ht="15.75" customHeight="1">
      <c r="A876" s="5" t="s">
        <v>2591</v>
      </c>
      <c r="B876" s="5" t="s">
        <v>43</v>
      </c>
      <c r="C876" s="6" t="s">
        <v>2365</v>
      </c>
      <c r="D876" s="5" t="s">
        <v>771</v>
      </c>
      <c r="E876" s="5" t="s">
        <v>164</v>
      </c>
      <c r="F876" s="5" t="s">
        <v>132</v>
      </c>
      <c r="G876" s="5" t="s">
        <v>47</v>
      </c>
      <c r="H876" s="5" t="s">
        <v>35</v>
      </c>
      <c r="I876" s="6">
        <v>1.0</v>
      </c>
      <c r="J876" s="8">
        <v>7.58</v>
      </c>
      <c r="K876" s="5" t="str">
        <f t="shared" si="1"/>
        <v>Chennai -&gt; Kolkata</v>
      </c>
    </row>
    <row r="877" ht="15.75" customHeight="1">
      <c r="A877" s="5" t="s">
        <v>2592</v>
      </c>
      <c r="B877" s="5" t="s">
        <v>43</v>
      </c>
      <c r="C877" s="6" t="s">
        <v>2524</v>
      </c>
      <c r="D877" s="5" t="s">
        <v>771</v>
      </c>
      <c r="E877" s="5" t="s">
        <v>164</v>
      </c>
      <c r="F877" s="5" t="s">
        <v>132</v>
      </c>
      <c r="G877" s="5" t="s">
        <v>33</v>
      </c>
      <c r="H877" s="5" t="s">
        <v>54</v>
      </c>
      <c r="I877" s="6" t="s">
        <v>180</v>
      </c>
      <c r="J877" s="8">
        <v>7.42</v>
      </c>
      <c r="K877" s="5" t="str">
        <f t="shared" si="1"/>
        <v>Chennai -&gt; Kolkata</v>
      </c>
    </row>
    <row r="878" ht="15.75" customHeight="1">
      <c r="A878" s="5" t="s">
        <v>2595</v>
      </c>
      <c r="B878" s="5" t="s">
        <v>45</v>
      </c>
      <c r="C878" s="6" t="s">
        <v>2504</v>
      </c>
      <c r="D878" s="5" t="s">
        <v>771</v>
      </c>
      <c r="E878" s="5" t="s">
        <v>164</v>
      </c>
      <c r="F878" s="5" t="s">
        <v>132</v>
      </c>
      <c r="G878" s="5" t="s">
        <v>35</v>
      </c>
      <c r="H878" s="5" t="s">
        <v>35</v>
      </c>
      <c r="I878" s="6">
        <v>1.0</v>
      </c>
      <c r="J878" s="8">
        <v>26.0</v>
      </c>
      <c r="K878" s="5" t="str">
        <f t="shared" si="1"/>
        <v>Chennai -&gt; Kolkata</v>
      </c>
    </row>
    <row r="879" ht="15.75" customHeight="1">
      <c r="A879" s="5" t="s">
        <v>2596</v>
      </c>
      <c r="B879" s="5" t="s">
        <v>45</v>
      </c>
      <c r="C879" s="6" t="s">
        <v>2598</v>
      </c>
      <c r="D879" s="5" t="s">
        <v>771</v>
      </c>
      <c r="E879" s="5" t="s">
        <v>164</v>
      </c>
      <c r="F879" s="5" t="s">
        <v>132</v>
      </c>
      <c r="G879" s="5" t="s">
        <v>54</v>
      </c>
      <c r="H879" s="5" t="s">
        <v>47</v>
      </c>
      <c r="I879" s="6">
        <v>1.0</v>
      </c>
      <c r="J879" s="8">
        <v>20.83</v>
      </c>
      <c r="K879" s="5" t="str">
        <f t="shared" si="1"/>
        <v>Chennai -&gt; Kolkata</v>
      </c>
    </row>
    <row r="880" ht="15.75" customHeight="1">
      <c r="A880" s="5" t="s">
        <v>2599</v>
      </c>
      <c r="B880" s="5" t="s">
        <v>45</v>
      </c>
      <c r="C880" s="6" t="s">
        <v>2190</v>
      </c>
      <c r="D880" s="5" t="s">
        <v>771</v>
      </c>
      <c r="E880" s="5" t="s">
        <v>164</v>
      </c>
      <c r="F880" s="5" t="s">
        <v>132</v>
      </c>
      <c r="G880" s="5" t="s">
        <v>33</v>
      </c>
      <c r="H880" s="5" t="s">
        <v>35</v>
      </c>
      <c r="I880" s="6" t="s">
        <v>180</v>
      </c>
      <c r="J880" s="8">
        <v>16.17</v>
      </c>
      <c r="K880" s="5" t="str">
        <f t="shared" si="1"/>
        <v>Chennai -&gt; Kolkata</v>
      </c>
    </row>
    <row r="881" ht="15.75" customHeight="1">
      <c r="A881" s="5" t="s">
        <v>2601</v>
      </c>
      <c r="B881" s="5" t="s">
        <v>20</v>
      </c>
      <c r="C881" s="6" t="s">
        <v>2310</v>
      </c>
      <c r="D881" s="5" t="s">
        <v>771</v>
      </c>
      <c r="E881" s="5" t="s">
        <v>164</v>
      </c>
      <c r="F881" s="5" t="s">
        <v>132</v>
      </c>
      <c r="G881" s="5" t="s">
        <v>33</v>
      </c>
      <c r="H881" s="5" t="s">
        <v>54</v>
      </c>
      <c r="I881" s="6">
        <v>1.0</v>
      </c>
      <c r="J881" s="8">
        <v>7.33</v>
      </c>
      <c r="K881" s="5" t="str">
        <f t="shared" si="1"/>
        <v>Chennai -&gt; Kolkata</v>
      </c>
    </row>
    <row r="882" ht="15.75" customHeight="1">
      <c r="A882" s="5" t="s">
        <v>464</v>
      </c>
      <c r="B882" s="5" t="s">
        <v>20</v>
      </c>
      <c r="C882" s="6" t="s">
        <v>120</v>
      </c>
      <c r="D882" s="5" t="s">
        <v>131</v>
      </c>
      <c r="E882" s="5" t="s">
        <v>27</v>
      </c>
      <c r="F882" s="5" t="s">
        <v>132</v>
      </c>
      <c r="G882" s="5" t="s">
        <v>33</v>
      </c>
      <c r="H882" s="5" t="s">
        <v>33</v>
      </c>
      <c r="I882" s="6">
        <v>1.0</v>
      </c>
      <c r="J882" s="8">
        <v>3.08</v>
      </c>
      <c r="K882" s="5" t="str">
        <f t="shared" si="1"/>
        <v>Delhi -&gt; Kolkata</v>
      </c>
    </row>
    <row r="883" ht="15.75" customHeight="1">
      <c r="A883" s="5" t="s">
        <v>527</v>
      </c>
      <c r="B883" s="5" t="s">
        <v>43</v>
      </c>
      <c r="C883" s="6" t="s">
        <v>2605</v>
      </c>
      <c r="D883" s="5" t="s">
        <v>131</v>
      </c>
      <c r="E883" s="5" t="s">
        <v>27</v>
      </c>
      <c r="F883" s="5" t="s">
        <v>132</v>
      </c>
      <c r="G883" s="5" t="s">
        <v>47</v>
      </c>
      <c r="H883" s="5" t="s">
        <v>54</v>
      </c>
      <c r="I883" s="6">
        <v>1.0</v>
      </c>
      <c r="J883" s="8">
        <v>5.17</v>
      </c>
      <c r="K883" s="5" t="str">
        <f t="shared" si="1"/>
        <v>Delhi -&gt; Kolkata</v>
      </c>
    </row>
    <row r="884" ht="15.75" customHeight="1">
      <c r="A884" s="5" t="s">
        <v>404</v>
      </c>
      <c r="B884" s="5" t="s">
        <v>43</v>
      </c>
      <c r="C884" s="6">
        <v>6.0E-181</v>
      </c>
      <c r="D884" s="5" t="s">
        <v>131</v>
      </c>
      <c r="E884" s="5" t="s">
        <v>27</v>
      </c>
      <c r="F884" s="5" t="s">
        <v>132</v>
      </c>
      <c r="G884" s="5" t="s">
        <v>33</v>
      </c>
      <c r="H884" s="5" t="s">
        <v>33</v>
      </c>
      <c r="I884" s="6">
        <v>1.0</v>
      </c>
      <c r="J884" s="8">
        <v>5.67</v>
      </c>
      <c r="K884" s="5" t="str">
        <f t="shared" si="1"/>
        <v>Delhi -&gt; Kolkata</v>
      </c>
    </row>
    <row r="885" ht="15.75" customHeight="1">
      <c r="A885" s="5" t="s">
        <v>515</v>
      </c>
      <c r="B885" s="5" t="s">
        <v>58</v>
      </c>
      <c r="C885" s="6" t="s">
        <v>2609</v>
      </c>
      <c r="D885" s="5" t="s">
        <v>131</v>
      </c>
      <c r="E885" s="5" t="s">
        <v>27</v>
      </c>
      <c r="F885" s="5" t="s">
        <v>132</v>
      </c>
      <c r="G885" s="5" t="s">
        <v>33</v>
      </c>
      <c r="H885" s="5" t="s">
        <v>54</v>
      </c>
      <c r="I885" s="6">
        <v>1.0</v>
      </c>
      <c r="J885" s="8">
        <v>7.0</v>
      </c>
      <c r="K885" s="5" t="str">
        <f t="shared" si="1"/>
        <v>Delhi -&gt; Kolkata</v>
      </c>
    </row>
    <row r="886" ht="15.75" customHeight="1">
      <c r="A886" s="5" t="s">
        <v>512</v>
      </c>
      <c r="B886" s="5" t="s">
        <v>58</v>
      </c>
      <c r="C886" s="6" t="s">
        <v>2611</v>
      </c>
      <c r="D886" s="5" t="s">
        <v>131</v>
      </c>
      <c r="E886" s="5" t="s">
        <v>27</v>
      </c>
      <c r="F886" s="5" t="s">
        <v>132</v>
      </c>
      <c r="G886" s="5" t="s">
        <v>54</v>
      </c>
      <c r="H886" s="5" t="s">
        <v>35</v>
      </c>
      <c r="I886" s="6">
        <v>1.0</v>
      </c>
      <c r="J886" s="8">
        <v>6.58</v>
      </c>
      <c r="K886" s="5" t="str">
        <f t="shared" si="1"/>
        <v>Delhi -&gt; Kolkata</v>
      </c>
    </row>
    <row r="887" ht="15.75" customHeight="1">
      <c r="A887" s="5" t="s">
        <v>448</v>
      </c>
      <c r="B887" s="5" t="s">
        <v>45</v>
      </c>
      <c r="C887" s="6" t="s">
        <v>2613</v>
      </c>
      <c r="D887" s="5" t="s">
        <v>131</v>
      </c>
      <c r="E887" s="5" t="s">
        <v>27</v>
      </c>
      <c r="F887" s="5" t="s">
        <v>132</v>
      </c>
      <c r="G887" s="5" t="s">
        <v>33</v>
      </c>
      <c r="H887" s="5" t="s">
        <v>33</v>
      </c>
      <c r="I887" s="6">
        <v>1.0</v>
      </c>
      <c r="J887" s="8">
        <v>29.17</v>
      </c>
      <c r="K887" s="5" t="str">
        <f t="shared" si="1"/>
        <v>Delhi -&gt; Kolkata</v>
      </c>
    </row>
    <row r="888" ht="15.75" customHeight="1">
      <c r="A888" s="5" t="s">
        <v>492</v>
      </c>
      <c r="B888" s="5" t="s">
        <v>20</v>
      </c>
      <c r="C888" s="6" t="s">
        <v>2616</v>
      </c>
      <c r="D888" s="5" t="s">
        <v>131</v>
      </c>
      <c r="E888" s="5" t="s">
        <v>27</v>
      </c>
      <c r="F888" s="5" t="s">
        <v>132</v>
      </c>
      <c r="G888" s="5" t="s">
        <v>33</v>
      </c>
      <c r="H888" s="5" t="s">
        <v>54</v>
      </c>
      <c r="I888" s="6">
        <v>1.0</v>
      </c>
      <c r="J888" s="8">
        <v>8.0</v>
      </c>
      <c r="K888" s="5" t="str">
        <f t="shared" si="1"/>
        <v>Delhi -&gt; Kolkata</v>
      </c>
    </row>
    <row r="889" ht="15.75" customHeight="1">
      <c r="A889" s="5" t="s">
        <v>542</v>
      </c>
      <c r="B889" s="5" t="s">
        <v>45</v>
      </c>
      <c r="C889" s="6" t="s">
        <v>2618</v>
      </c>
      <c r="D889" s="5" t="s">
        <v>131</v>
      </c>
      <c r="E889" s="5" t="s">
        <v>27</v>
      </c>
      <c r="F889" s="5" t="s">
        <v>132</v>
      </c>
      <c r="G889" s="5" t="s">
        <v>35</v>
      </c>
      <c r="H889" s="5" t="s">
        <v>35</v>
      </c>
      <c r="I889" s="6" t="s">
        <v>180</v>
      </c>
      <c r="J889" s="8">
        <v>26.0</v>
      </c>
      <c r="K889" s="5" t="str">
        <f t="shared" si="1"/>
        <v>Delhi -&gt; Kolkata</v>
      </c>
    </row>
    <row r="890" ht="15.75" customHeight="1">
      <c r="A890" s="5" t="s">
        <v>2620</v>
      </c>
      <c r="B890" s="5" t="s">
        <v>20</v>
      </c>
      <c r="C890" s="6" t="s">
        <v>2621</v>
      </c>
      <c r="D890" s="5" t="s">
        <v>131</v>
      </c>
      <c r="E890" s="5" t="s">
        <v>27</v>
      </c>
      <c r="F890" s="5" t="s">
        <v>132</v>
      </c>
      <c r="G890" s="5" t="s">
        <v>54</v>
      </c>
      <c r="H890" s="5" t="s">
        <v>33</v>
      </c>
      <c r="I890" s="6">
        <v>1.0</v>
      </c>
      <c r="J890" s="8">
        <v>16.08</v>
      </c>
      <c r="K890" s="5" t="str">
        <f t="shared" si="1"/>
        <v>Delhi -&gt; Kolkata</v>
      </c>
    </row>
    <row r="891" ht="15.75" customHeight="1">
      <c r="A891" s="5" t="s">
        <v>456</v>
      </c>
      <c r="B891" s="5" t="s">
        <v>20</v>
      </c>
      <c r="C891" s="6" t="s">
        <v>157</v>
      </c>
      <c r="D891" s="5" t="s">
        <v>131</v>
      </c>
      <c r="E891" s="5" t="s">
        <v>27</v>
      </c>
      <c r="F891" s="5" t="s">
        <v>132</v>
      </c>
      <c r="G891" s="5" t="s">
        <v>47</v>
      </c>
      <c r="H891" s="5" t="s">
        <v>33</v>
      </c>
      <c r="I891" s="6" t="s">
        <v>180</v>
      </c>
      <c r="J891" s="8">
        <v>19.42</v>
      </c>
      <c r="K891" s="5" t="str">
        <f t="shared" si="1"/>
        <v>Delhi -&gt; Kolkata</v>
      </c>
    </row>
    <row r="892" ht="15.75" customHeight="1">
      <c r="A892" s="5" t="s">
        <v>412</v>
      </c>
      <c r="B892" s="5" t="s">
        <v>72</v>
      </c>
      <c r="C892" s="6" t="s">
        <v>2624</v>
      </c>
      <c r="D892" s="5" t="s">
        <v>131</v>
      </c>
      <c r="E892" s="5" t="s">
        <v>27</v>
      </c>
      <c r="F892" s="5" t="s">
        <v>132</v>
      </c>
      <c r="G892" s="5" t="s">
        <v>35</v>
      </c>
      <c r="H892" s="5" t="s">
        <v>35</v>
      </c>
      <c r="I892" s="6">
        <v>0.0</v>
      </c>
      <c r="J892" s="8">
        <v>2.17</v>
      </c>
      <c r="K892" s="5" t="str">
        <f t="shared" si="1"/>
        <v>Delhi -&gt; Kolkata</v>
      </c>
    </row>
    <row r="893" ht="15.75" customHeight="1">
      <c r="A893" s="5" t="s">
        <v>2625</v>
      </c>
      <c r="B893" s="5" t="s">
        <v>45</v>
      </c>
      <c r="C893" s="6" t="s">
        <v>2626</v>
      </c>
      <c r="D893" s="5" t="s">
        <v>131</v>
      </c>
      <c r="E893" s="5" t="s">
        <v>27</v>
      </c>
      <c r="F893" s="5" t="s">
        <v>132</v>
      </c>
      <c r="G893" s="5" t="s">
        <v>33</v>
      </c>
      <c r="H893" s="5" t="s">
        <v>47</v>
      </c>
      <c r="I893" s="6">
        <v>1.0</v>
      </c>
      <c r="J893" s="8">
        <v>27.33</v>
      </c>
      <c r="K893" s="5" t="str">
        <f t="shared" si="1"/>
        <v>Delhi -&gt; Kolkata</v>
      </c>
    </row>
    <row r="894" ht="15.75" customHeight="1">
      <c r="A894" s="5" t="s">
        <v>443</v>
      </c>
      <c r="B894" s="5" t="s">
        <v>20</v>
      </c>
      <c r="C894" s="6" t="s">
        <v>2628</v>
      </c>
      <c r="D894" s="5" t="s">
        <v>131</v>
      </c>
      <c r="E894" s="5" t="s">
        <v>27</v>
      </c>
      <c r="F894" s="5" t="s">
        <v>132</v>
      </c>
      <c r="G894" s="5" t="s">
        <v>47</v>
      </c>
      <c r="H894" s="5" t="s">
        <v>54</v>
      </c>
      <c r="I894" s="6">
        <v>1.0</v>
      </c>
      <c r="J894" s="8">
        <v>5.58</v>
      </c>
      <c r="K894" s="5" t="str">
        <f t="shared" si="1"/>
        <v>Delhi -&gt; Kolkata</v>
      </c>
    </row>
    <row r="895" ht="15.75" customHeight="1">
      <c r="A895" s="5" t="s">
        <v>503</v>
      </c>
      <c r="B895" s="5" t="s">
        <v>43</v>
      </c>
      <c r="C895" s="6">
        <v>6.0E-181</v>
      </c>
      <c r="D895" s="5" t="s">
        <v>131</v>
      </c>
      <c r="E895" s="5" t="s">
        <v>27</v>
      </c>
      <c r="F895" s="5" t="s">
        <v>132</v>
      </c>
      <c r="G895" s="5" t="s">
        <v>33</v>
      </c>
      <c r="H895" s="5" t="s">
        <v>33</v>
      </c>
      <c r="I895" s="6">
        <v>1.0</v>
      </c>
      <c r="J895" s="8">
        <v>5.33</v>
      </c>
      <c r="K895" s="5" t="str">
        <f t="shared" si="1"/>
        <v>Delhi -&gt; Kolkata</v>
      </c>
    </row>
    <row r="896" ht="15.75" customHeight="1">
      <c r="A896" s="5" t="s">
        <v>509</v>
      </c>
      <c r="B896" s="5" t="s">
        <v>29</v>
      </c>
      <c r="C896" s="6" t="s">
        <v>2632</v>
      </c>
      <c r="D896" s="5" t="s">
        <v>131</v>
      </c>
      <c r="E896" s="5" t="s">
        <v>27</v>
      </c>
      <c r="F896" s="5" t="s">
        <v>132</v>
      </c>
      <c r="G896" s="5" t="s">
        <v>33</v>
      </c>
      <c r="H896" s="5" t="s">
        <v>54</v>
      </c>
      <c r="I896" s="6" t="s">
        <v>180</v>
      </c>
      <c r="J896" s="8">
        <v>10.17</v>
      </c>
      <c r="K896" s="5" t="str">
        <f t="shared" si="1"/>
        <v>Delhi -&gt; Kolkata</v>
      </c>
    </row>
    <row r="897" ht="15.75" customHeight="1">
      <c r="A897" s="5" t="s">
        <v>536</v>
      </c>
      <c r="B897" s="5" t="s">
        <v>20</v>
      </c>
      <c r="C897" s="6" t="s">
        <v>2628</v>
      </c>
      <c r="D897" s="5" t="s">
        <v>131</v>
      </c>
      <c r="E897" s="5" t="s">
        <v>27</v>
      </c>
      <c r="F897" s="5" t="s">
        <v>132</v>
      </c>
      <c r="G897" s="5" t="s">
        <v>47</v>
      </c>
      <c r="H897" s="5" t="s">
        <v>54</v>
      </c>
      <c r="I897" s="6">
        <v>1.0</v>
      </c>
      <c r="J897" s="8">
        <v>26.58</v>
      </c>
      <c r="K897" s="5" t="str">
        <f t="shared" si="1"/>
        <v>Delhi -&gt; Kolkata</v>
      </c>
    </row>
    <row r="898" ht="15.75" customHeight="1">
      <c r="A898" s="5" t="s">
        <v>401</v>
      </c>
      <c r="B898" s="5" t="s">
        <v>43</v>
      </c>
      <c r="C898" s="6" t="s">
        <v>2636</v>
      </c>
      <c r="D898" s="5" t="s">
        <v>131</v>
      </c>
      <c r="E898" s="5" t="s">
        <v>27</v>
      </c>
      <c r="F898" s="5" t="s">
        <v>132</v>
      </c>
      <c r="G898" s="5" t="s">
        <v>33</v>
      </c>
      <c r="H898" s="5" t="s">
        <v>33</v>
      </c>
      <c r="I898" s="6">
        <v>0.0</v>
      </c>
      <c r="J898" s="8">
        <v>2.25</v>
      </c>
      <c r="K898" s="5" t="str">
        <f t="shared" si="1"/>
        <v>Delhi -&gt; Kolkata</v>
      </c>
    </row>
    <row r="899" ht="15.75" customHeight="1">
      <c r="A899" s="5" t="s">
        <v>473</v>
      </c>
      <c r="B899" s="5" t="s">
        <v>45</v>
      </c>
      <c r="C899" s="6" t="s">
        <v>1523</v>
      </c>
      <c r="D899" s="5" t="s">
        <v>131</v>
      </c>
      <c r="E899" s="5" t="s">
        <v>27</v>
      </c>
      <c r="F899" s="5" t="s">
        <v>132</v>
      </c>
      <c r="G899" s="5" t="s">
        <v>54</v>
      </c>
      <c r="H899" s="5" t="s">
        <v>47</v>
      </c>
      <c r="I899" s="6">
        <v>1.0</v>
      </c>
      <c r="J899" s="8">
        <v>18.17</v>
      </c>
      <c r="K899" s="5" t="str">
        <f t="shared" si="1"/>
        <v>Delhi -&gt; Kolkata</v>
      </c>
    </row>
    <row r="900" ht="15.75" customHeight="1">
      <c r="A900" s="5" t="s">
        <v>499</v>
      </c>
      <c r="B900" s="5" t="s">
        <v>45</v>
      </c>
      <c r="C900" s="6" t="s">
        <v>2638</v>
      </c>
      <c r="D900" s="5" t="s">
        <v>131</v>
      </c>
      <c r="E900" s="5" t="s">
        <v>27</v>
      </c>
      <c r="F900" s="5" t="s">
        <v>132</v>
      </c>
      <c r="G900" s="5" t="s">
        <v>33</v>
      </c>
      <c r="H900" s="5" t="s">
        <v>54</v>
      </c>
      <c r="I900" s="6">
        <v>1.0</v>
      </c>
      <c r="J900" s="8">
        <v>10.25</v>
      </c>
      <c r="K900" s="5" t="str">
        <f t="shared" si="1"/>
        <v>Delhi -&gt; Kolkata</v>
      </c>
    </row>
    <row r="901" ht="15.75" customHeight="1">
      <c r="A901" s="5" t="s">
        <v>529</v>
      </c>
      <c r="B901" s="5" t="s">
        <v>43</v>
      </c>
      <c r="C901" s="6" t="s">
        <v>2640</v>
      </c>
      <c r="D901" s="5" t="s">
        <v>131</v>
      </c>
      <c r="E901" s="5" t="s">
        <v>27</v>
      </c>
      <c r="F901" s="5" t="s">
        <v>132</v>
      </c>
      <c r="G901" s="5" t="s">
        <v>54</v>
      </c>
      <c r="H901" s="5" t="s">
        <v>54</v>
      </c>
      <c r="I901" s="6">
        <v>0.0</v>
      </c>
      <c r="J901" s="8">
        <v>2.17</v>
      </c>
      <c r="K901" s="5" t="str">
        <f t="shared" si="1"/>
        <v>Delhi -&gt; Kolkata</v>
      </c>
    </row>
    <row r="902" ht="15.75" customHeight="1">
      <c r="A902" s="5" t="s">
        <v>547</v>
      </c>
      <c r="B902" s="5" t="s">
        <v>45</v>
      </c>
      <c r="C902" s="6" t="s">
        <v>2642</v>
      </c>
      <c r="D902" s="5" t="s">
        <v>131</v>
      </c>
      <c r="E902" s="5" t="s">
        <v>27</v>
      </c>
      <c r="F902" s="5" t="s">
        <v>132</v>
      </c>
      <c r="G902" s="5" t="s">
        <v>33</v>
      </c>
      <c r="H902" s="5" t="s">
        <v>35</v>
      </c>
      <c r="I902" s="6">
        <v>1.0</v>
      </c>
      <c r="J902" s="8">
        <v>18.33</v>
      </c>
      <c r="K902" s="5" t="str">
        <f t="shared" si="1"/>
        <v>Delhi -&gt; Kolkata</v>
      </c>
    </row>
    <row r="903" ht="15.75" customHeight="1">
      <c r="A903" s="5" t="s">
        <v>539</v>
      </c>
      <c r="B903" s="5" t="s">
        <v>58</v>
      </c>
      <c r="C903" s="6" t="s">
        <v>2644</v>
      </c>
      <c r="D903" s="5" t="s">
        <v>131</v>
      </c>
      <c r="E903" s="5" t="s">
        <v>27</v>
      </c>
      <c r="F903" s="5" t="s">
        <v>132</v>
      </c>
      <c r="G903" s="5" t="s">
        <v>33</v>
      </c>
      <c r="H903" s="5" t="s">
        <v>35</v>
      </c>
      <c r="I903" s="6">
        <v>1.0</v>
      </c>
      <c r="J903" s="8">
        <v>16.5</v>
      </c>
      <c r="K903" s="5" t="str">
        <f t="shared" si="1"/>
        <v>Delhi -&gt; Kolkata</v>
      </c>
    </row>
    <row r="904" ht="15.75" customHeight="1">
      <c r="A904" s="5" t="s">
        <v>459</v>
      </c>
      <c r="B904" s="5" t="s">
        <v>72</v>
      </c>
      <c r="C904" s="6" t="s">
        <v>2646</v>
      </c>
      <c r="D904" s="5" t="s">
        <v>131</v>
      </c>
      <c r="E904" s="5" t="s">
        <v>27</v>
      </c>
      <c r="F904" s="5" t="s">
        <v>132</v>
      </c>
      <c r="G904" s="5" t="s">
        <v>33</v>
      </c>
      <c r="H904" s="5" t="s">
        <v>35</v>
      </c>
      <c r="I904" s="6">
        <v>1.0</v>
      </c>
      <c r="J904" s="8">
        <v>11.25</v>
      </c>
      <c r="K904" s="5" t="str">
        <f t="shared" si="1"/>
        <v>Delhi -&gt; Kolkata</v>
      </c>
    </row>
    <row r="905" ht="15.75" customHeight="1">
      <c r="A905" s="5" t="s">
        <v>469</v>
      </c>
      <c r="B905" s="5" t="s">
        <v>45</v>
      </c>
      <c r="C905" s="6" t="s">
        <v>1518</v>
      </c>
      <c r="D905" s="5" t="s">
        <v>131</v>
      </c>
      <c r="E905" s="5" t="s">
        <v>27</v>
      </c>
      <c r="F905" s="5" t="s">
        <v>132</v>
      </c>
      <c r="G905" s="5" t="s">
        <v>54</v>
      </c>
      <c r="H905" s="5" t="s">
        <v>33</v>
      </c>
      <c r="I905" s="6">
        <v>1.0</v>
      </c>
      <c r="J905" s="8">
        <v>12.83</v>
      </c>
      <c r="K905" s="5" t="str">
        <f t="shared" si="1"/>
        <v>Delhi -&gt; Kolkata</v>
      </c>
    </row>
    <row r="906" ht="15.75" customHeight="1">
      <c r="A906" s="5" t="s">
        <v>520</v>
      </c>
      <c r="B906" s="5" t="s">
        <v>58</v>
      </c>
      <c r="C906" s="6" t="s">
        <v>2649</v>
      </c>
      <c r="D906" s="5" t="s">
        <v>131</v>
      </c>
      <c r="E906" s="5" t="s">
        <v>27</v>
      </c>
      <c r="F906" s="5" t="s">
        <v>132</v>
      </c>
      <c r="G906" s="5" t="s">
        <v>33</v>
      </c>
      <c r="H906" s="5" t="s">
        <v>54</v>
      </c>
      <c r="I906" s="6">
        <v>1.0</v>
      </c>
      <c r="J906" s="8">
        <v>9.5</v>
      </c>
      <c r="K906" s="5" t="str">
        <f t="shared" si="1"/>
        <v>Delhi -&gt; Kolkata</v>
      </c>
    </row>
    <row r="907" ht="15.75" customHeight="1">
      <c r="A907" s="5" t="s">
        <v>552</v>
      </c>
      <c r="B907" s="5" t="s">
        <v>45</v>
      </c>
      <c r="C907" s="6" t="s">
        <v>2642</v>
      </c>
      <c r="D907" s="5" t="s">
        <v>131</v>
      </c>
      <c r="E907" s="5" t="s">
        <v>27</v>
      </c>
      <c r="F907" s="5" t="s">
        <v>132</v>
      </c>
      <c r="G907" s="5" t="s">
        <v>33</v>
      </c>
      <c r="H907" s="5" t="s">
        <v>33</v>
      </c>
      <c r="I907" s="6">
        <v>1.0</v>
      </c>
      <c r="J907" s="8">
        <v>27.92</v>
      </c>
      <c r="K907" s="5" t="str">
        <f t="shared" si="1"/>
        <v>Delhi -&gt; Kolkata</v>
      </c>
    </row>
    <row r="908" ht="15.75" customHeight="1">
      <c r="A908" s="5" t="s">
        <v>478</v>
      </c>
      <c r="B908" s="5" t="s">
        <v>20</v>
      </c>
      <c r="C908" s="6" t="s">
        <v>1514</v>
      </c>
      <c r="D908" s="5" t="s">
        <v>131</v>
      </c>
      <c r="E908" s="5" t="s">
        <v>27</v>
      </c>
      <c r="F908" s="5" t="s">
        <v>132</v>
      </c>
      <c r="G908" s="5" t="s">
        <v>47</v>
      </c>
      <c r="H908" s="5" t="s">
        <v>54</v>
      </c>
      <c r="I908" s="6">
        <v>1.0</v>
      </c>
      <c r="J908" s="8">
        <v>25.33</v>
      </c>
      <c r="K908" s="5" t="str">
        <f t="shared" si="1"/>
        <v>Delhi -&gt; Kolkata</v>
      </c>
    </row>
    <row r="909" ht="15.75" customHeight="1">
      <c r="A909" s="5" t="s">
        <v>453</v>
      </c>
      <c r="B909" s="5" t="s">
        <v>72</v>
      </c>
      <c r="C909" s="6" t="s">
        <v>2653</v>
      </c>
      <c r="D909" s="5" t="s">
        <v>131</v>
      </c>
      <c r="E909" s="5" t="s">
        <v>27</v>
      </c>
      <c r="F909" s="5" t="s">
        <v>132</v>
      </c>
      <c r="G909" s="5" t="s">
        <v>54</v>
      </c>
      <c r="H909" s="5" t="s">
        <v>54</v>
      </c>
      <c r="I909" s="6">
        <v>1.0</v>
      </c>
      <c r="J909" s="8">
        <v>24.58</v>
      </c>
      <c r="K909" s="5" t="str">
        <f t="shared" si="1"/>
        <v>Delhi -&gt; Kolkata</v>
      </c>
    </row>
    <row r="910" ht="15.75" customHeight="1">
      <c r="A910" s="5" t="s">
        <v>482</v>
      </c>
      <c r="B910" s="5" t="s">
        <v>45</v>
      </c>
      <c r="C910" s="6" t="s">
        <v>2655</v>
      </c>
      <c r="D910" s="5" t="s">
        <v>131</v>
      </c>
      <c r="E910" s="5" t="s">
        <v>27</v>
      </c>
      <c r="F910" s="5" t="s">
        <v>132</v>
      </c>
      <c r="G910" s="5" t="s">
        <v>54</v>
      </c>
      <c r="H910" s="5" t="s">
        <v>35</v>
      </c>
      <c r="I910" s="6">
        <v>1.0</v>
      </c>
      <c r="J910" s="8">
        <v>25.83</v>
      </c>
      <c r="K910" s="5" t="str">
        <f t="shared" si="1"/>
        <v>Delhi -&gt; Kolkata</v>
      </c>
    </row>
    <row r="911" ht="15.75" customHeight="1">
      <c r="A911" s="5" t="s">
        <v>495</v>
      </c>
      <c r="B911" s="5" t="s">
        <v>45</v>
      </c>
      <c r="C911" s="6" t="s">
        <v>2657</v>
      </c>
      <c r="D911" s="5" t="s">
        <v>131</v>
      </c>
      <c r="E911" s="5" t="s">
        <v>27</v>
      </c>
      <c r="F911" s="5" t="s">
        <v>132</v>
      </c>
      <c r="G911" s="5" t="s">
        <v>33</v>
      </c>
      <c r="H911" s="5" t="s">
        <v>47</v>
      </c>
      <c r="I911" s="6">
        <v>1.0</v>
      </c>
      <c r="J911" s="8">
        <v>25.5</v>
      </c>
      <c r="K911" s="5" t="str">
        <f t="shared" si="1"/>
        <v>Delhi -&gt; Kolkata</v>
      </c>
    </row>
    <row r="912" ht="15.75" customHeight="1">
      <c r="A912" s="5" t="s">
        <v>432</v>
      </c>
      <c r="B912" s="5" t="s">
        <v>58</v>
      </c>
      <c r="C912" s="6" t="s">
        <v>2659</v>
      </c>
      <c r="D912" s="5" t="s">
        <v>131</v>
      </c>
      <c r="E912" s="5" t="s">
        <v>27</v>
      </c>
      <c r="F912" s="5" t="s">
        <v>132</v>
      </c>
      <c r="G912" s="5" t="s">
        <v>47</v>
      </c>
      <c r="H912" s="5" t="s">
        <v>35</v>
      </c>
      <c r="I912" s="6">
        <v>1.0</v>
      </c>
      <c r="J912" s="8">
        <v>9.25</v>
      </c>
      <c r="K912" s="5" t="str">
        <f t="shared" si="1"/>
        <v>Delhi -&gt; Kolkata</v>
      </c>
    </row>
    <row r="913" ht="15.75" customHeight="1">
      <c r="A913" s="5" t="s">
        <v>422</v>
      </c>
      <c r="B913" s="5" t="s">
        <v>45</v>
      </c>
      <c r="C913" s="6" t="s">
        <v>2661</v>
      </c>
      <c r="D913" s="5" t="s">
        <v>131</v>
      </c>
      <c r="E913" s="5" t="s">
        <v>27</v>
      </c>
      <c r="F913" s="5" t="s">
        <v>132</v>
      </c>
      <c r="G913" s="5" t="s">
        <v>54</v>
      </c>
      <c r="H913" s="5" t="s">
        <v>35</v>
      </c>
      <c r="I913" s="6">
        <v>1.0</v>
      </c>
      <c r="J913" s="8">
        <v>29.83</v>
      </c>
      <c r="K913" s="5" t="str">
        <f t="shared" si="1"/>
        <v>Delhi -&gt; Kolkata</v>
      </c>
    </row>
    <row r="914" ht="15.75" customHeight="1">
      <c r="A914" s="5" t="s">
        <v>544</v>
      </c>
      <c r="B914" s="5" t="s">
        <v>45</v>
      </c>
      <c r="C914" s="6" t="s">
        <v>2669</v>
      </c>
      <c r="D914" s="5" t="s">
        <v>131</v>
      </c>
      <c r="E914" s="5" t="s">
        <v>27</v>
      </c>
      <c r="F914" s="5" t="s">
        <v>132</v>
      </c>
      <c r="G914" s="5" t="s">
        <v>33</v>
      </c>
      <c r="H914" s="5" t="s">
        <v>47</v>
      </c>
      <c r="I914" s="6">
        <v>1.0</v>
      </c>
      <c r="J914" s="8">
        <v>7.33</v>
      </c>
      <c r="K914" s="5" t="str">
        <f t="shared" si="1"/>
        <v>Delhi -&gt; Kolkata</v>
      </c>
    </row>
    <row r="915" ht="15.75" customHeight="1">
      <c r="A915" s="5" t="s">
        <v>524</v>
      </c>
      <c r="B915" s="5" t="s">
        <v>45</v>
      </c>
      <c r="C915" s="6" t="s">
        <v>2671</v>
      </c>
      <c r="D915" s="5" t="s">
        <v>131</v>
      </c>
      <c r="E915" s="5" t="s">
        <v>27</v>
      </c>
      <c r="F915" s="5" t="s">
        <v>132</v>
      </c>
      <c r="G915" s="5" t="s">
        <v>33</v>
      </c>
      <c r="H915" s="5" t="s">
        <v>33</v>
      </c>
      <c r="I915" s="6" t="s">
        <v>180</v>
      </c>
      <c r="J915" s="8">
        <v>27.25</v>
      </c>
      <c r="K915" s="5" t="str">
        <f t="shared" si="1"/>
        <v>Delhi -&gt; Kolkata</v>
      </c>
    </row>
    <row r="916" ht="15.75" customHeight="1">
      <c r="A916" s="5" t="s">
        <v>416</v>
      </c>
      <c r="B916" s="5" t="s">
        <v>45</v>
      </c>
      <c r="C916" s="6" t="s">
        <v>2673</v>
      </c>
      <c r="D916" s="5" t="s">
        <v>131</v>
      </c>
      <c r="E916" s="5" t="s">
        <v>27</v>
      </c>
      <c r="F916" s="5" t="s">
        <v>132</v>
      </c>
      <c r="G916" s="5" t="s">
        <v>33</v>
      </c>
      <c r="H916" s="5" t="s">
        <v>33</v>
      </c>
      <c r="I916" s="6">
        <v>0.0</v>
      </c>
      <c r="J916" s="8">
        <v>2.17</v>
      </c>
      <c r="K916" s="5" t="str">
        <f t="shared" si="1"/>
        <v>Delhi -&gt; Kolkata</v>
      </c>
    </row>
    <row r="917" ht="15.75" customHeight="1">
      <c r="A917" s="5" t="s">
        <v>437</v>
      </c>
      <c r="B917" s="5" t="s">
        <v>58</v>
      </c>
      <c r="C917" s="6" t="s">
        <v>2649</v>
      </c>
      <c r="D917" s="5" t="s">
        <v>131</v>
      </c>
      <c r="E917" s="5" t="s">
        <v>27</v>
      </c>
      <c r="F917" s="5" t="s">
        <v>132</v>
      </c>
      <c r="G917" s="5" t="s">
        <v>33</v>
      </c>
      <c r="H917" s="5" t="s">
        <v>35</v>
      </c>
      <c r="I917" s="6">
        <v>1.0</v>
      </c>
      <c r="J917" s="8">
        <v>15.58</v>
      </c>
      <c r="K917" s="5" t="str">
        <f t="shared" si="1"/>
        <v>Delhi -&gt; Kolkata</v>
      </c>
    </row>
    <row r="918" ht="15.75" customHeight="1">
      <c r="A918" s="5" t="s">
        <v>532</v>
      </c>
      <c r="B918" s="5" t="s">
        <v>45</v>
      </c>
      <c r="C918" s="6" t="s">
        <v>2642</v>
      </c>
      <c r="D918" s="5" t="s">
        <v>131</v>
      </c>
      <c r="E918" s="5" t="s">
        <v>27</v>
      </c>
      <c r="F918" s="5" t="s">
        <v>132</v>
      </c>
      <c r="G918" s="5" t="s">
        <v>33</v>
      </c>
      <c r="H918" s="5" t="s">
        <v>54</v>
      </c>
      <c r="I918" s="6">
        <v>1.0</v>
      </c>
      <c r="J918" s="8">
        <v>13.67</v>
      </c>
      <c r="K918" s="5" t="str">
        <f t="shared" si="1"/>
        <v>Delhi -&gt; Kolkata</v>
      </c>
    </row>
    <row r="919" ht="15.75" customHeight="1">
      <c r="A919" s="5" t="s">
        <v>427</v>
      </c>
      <c r="B919" s="5" t="s">
        <v>43</v>
      </c>
      <c r="C919" s="6" t="s">
        <v>2696</v>
      </c>
      <c r="D919" s="5" t="s">
        <v>131</v>
      </c>
      <c r="E919" s="5" t="s">
        <v>27</v>
      </c>
      <c r="F919" s="5" t="s">
        <v>132</v>
      </c>
      <c r="G919" s="5" t="s">
        <v>33</v>
      </c>
      <c r="H919" s="5" t="s">
        <v>54</v>
      </c>
      <c r="I919" s="6">
        <v>1.0</v>
      </c>
      <c r="J919" s="8">
        <v>8.0</v>
      </c>
      <c r="K919" s="5" t="str">
        <f t="shared" si="1"/>
        <v>Delhi -&gt; Kolkata</v>
      </c>
    </row>
    <row r="920" ht="15.75" customHeight="1">
      <c r="A920" s="5" t="s">
        <v>407</v>
      </c>
      <c r="B920" s="5" t="s">
        <v>43</v>
      </c>
      <c r="C920" s="6" t="s">
        <v>2698</v>
      </c>
      <c r="D920" s="5" t="s">
        <v>131</v>
      </c>
      <c r="E920" s="5" t="s">
        <v>27</v>
      </c>
      <c r="F920" s="5" t="s">
        <v>132</v>
      </c>
      <c r="G920" s="5" t="s">
        <v>35</v>
      </c>
      <c r="H920" s="5" t="s">
        <v>33</v>
      </c>
      <c r="I920" s="6">
        <v>0.0</v>
      </c>
      <c r="J920" s="8">
        <v>2.17</v>
      </c>
      <c r="K920" s="5" t="str">
        <f t="shared" si="1"/>
        <v>Delhi -&gt; Kolkata</v>
      </c>
    </row>
    <row r="921" ht="15.75" customHeight="1">
      <c r="A921" s="5" t="s">
        <v>487</v>
      </c>
      <c r="B921" s="5" t="s">
        <v>20</v>
      </c>
      <c r="C921" s="6" t="s">
        <v>2700</v>
      </c>
      <c r="D921" s="5" t="s">
        <v>131</v>
      </c>
      <c r="E921" s="5" t="s">
        <v>27</v>
      </c>
      <c r="F921" s="5" t="s">
        <v>132</v>
      </c>
      <c r="G921" s="5" t="s">
        <v>54</v>
      </c>
      <c r="H921" s="5" t="s">
        <v>54</v>
      </c>
      <c r="I921" s="6" t="s">
        <v>66</v>
      </c>
      <c r="J921" s="8">
        <v>26.17</v>
      </c>
      <c r="K921" s="5" t="str">
        <f t="shared" si="1"/>
        <v>Delhi -&gt; Kolkata</v>
      </c>
    </row>
    <row r="922" ht="15.75" customHeight="1">
      <c r="A922" s="5" t="s">
        <v>2701</v>
      </c>
      <c r="B922" s="5" t="s">
        <v>45</v>
      </c>
      <c r="C922" s="6" t="s">
        <v>2504</v>
      </c>
      <c r="D922" s="5" t="s">
        <v>797</v>
      </c>
      <c r="E922" s="5" t="s">
        <v>164</v>
      </c>
      <c r="F922" s="5" t="s">
        <v>154</v>
      </c>
      <c r="G922" s="5" t="s">
        <v>35</v>
      </c>
      <c r="H922" s="5" t="s">
        <v>35</v>
      </c>
      <c r="I922" s="6" t="s">
        <v>180</v>
      </c>
      <c r="J922" s="8">
        <v>25.25</v>
      </c>
      <c r="K922" s="5" t="str">
        <f t="shared" si="1"/>
        <v>Chennai -&gt; Hyderabad</v>
      </c>
    </row>
    <row r="923" ht="15.75" customHeight="1">
      <c r="A923" s="5" t="s">
        <v>2703</v>
      </c>
      <c r="B923" s="5" t="s">
        <v>72</v>
      </c>
      <c r="C923" s="6" t="s">
        <v>2705</v>
      </c>
      <c r="D923" s="5" t="s">
        <v>797</v>
      </c>
      <c r="E923" s="5" t="s">
        <v>164</v>
      </c>
      <c r="F923" s="5" t="s">
        <v>154</v>
      </c>
      <c r="G923" s="5" t="s">
        <v>33</v>
      </c>
      <c r="H923" s="5" t="s">
        <v>33</v>
      </c>
      <c r="I923" s="6">
        <v>0.0</v>
      </c>
      <c r="J923" s="8">
        <v>1.25</v>
      </c>
      <c r="K923" s="5" t="str">
        <f t="shared" si="1"/>
        <v>Chennai -&gt; Hyderabad</v>
      </c>
    </row>
    <row r="924" ht="15.75" customHeight="1">
      <c r="A924" s="5" t="s">
        <v>2707</v>
      </c>
      <c r="B924" s="5" t="s">
        <v>20</v>
      </c>
      <c r="C924" s="6" t="s">
        <v>2208</v>
      </c>
      <c r="D924" s="5" t="s">
        <v>797</v>
      </c>
      <c r="E924" s="5" t="s">
        <v>164</v>
      </c>
      <c r="F924" s="5" t="s">
        <v>154</v>
      </c>
      <c r="G924" s="5" t="s">
        <v>33</v>
      </c>
      <c r="H924" s="5" t="s">
        <v>47</v>
      </c>
      <c r="I924" s="6">
        <v>1.0</v>
      </c>
      <c r="J924" s="8">
        <v>5.25</v>
      </c>
      <c r="K924" s="5" t="str">
        <f t="shared" si="1"/>
        <v>Chennai -&gt; Hyderabad</v>
      </c>
    </row>
    <row r="925" ht="15.75" customHeight="1">
      <c r="A925" s="5" t="s">
        <v>2709</v>
      </c>
      <c r="B925" s="5" t="s">
        <v>43</v>
      </c>
      <c r="C925" s="6" t="s">
        <v>2710</v>
      </c>
      <c r="D925" s="5" t="s">
        <v>797</v>
      </c>
      <c r="E925" s="5" t="s">
        <v>164</v>
      </c>
      <c r="F925" s="5" t="s">
        <v>154</v>
      </c>
      <c r="G925" s="5" t="s">
        <v>33</v>
      </c>
      <c r="H925" s="5" t="s">
        <v>54</v>
      </c>
      <c r="I925" s="6" t="s">
        <v>180</v>
      </c>
      <c r="J925" s="8">
        <v>6.33</v>
      </c>
      <c r="K925" s="5" t="str">
        <f t="shared" si="1"/>
        <v>Chennai -&gt; Hyderabad</v>
      </c>
    </row>
    <row r="926" ht="15.75" customHeight="1">
      <c r="A926" s="5" t="s">
        <v>2712</v>
      </c>
      <c r="B926" s="5" t="s">
        <v>43</v>
      </c>
      <c r="C926" s="6" t="s">
        <v>2713</v>
      </c>
      <c r="D926" s="5" t="s">
        <v>797</v>
      </c>
      <c r="E926" s="5" t="s">
        <v>164</v>
      </c>
      <c r="F926" s="5" t="s">
        <v>154</v>
      </c>
      <c r="G926" s="5" t="s">
        <v>54</v>
      </c>
      <c r="H926" s="5" t="s">
        <v>35</v>
      </c>
      <c r="I926" s="6">
        <v>1.0</v>
      </c>
      <c r="J926" s="8">
        <v>4.17</v>
      </c>
      <c r="K926" s="5" t="str">
        <f t="shared" si="1"/>
        <v>Chennai -&gt; Hyderabad</v>
      </c>
    </row>
    <row r="927" ht="15.75" customHeight="1">
      <c r="A927" s="5" t="s">
        <v>2715</v>
      </c>
      <c r="B927" s="5" t="s">
        <v>20</v>
      </c>
      <c r="C927" s="6" t="s">
        <v>2208</v>
      </c>
      <c r="D927" s="5" t="s">
        <v>797</v>
      </c>
      <c r="E927" s="5" t="s">
        <v>164</v>
      </c>
      <c r="F927" s="5" t="s">
        <v>154</v>
      </c>
      <c r="G927" s="5" t="s">
        <v>33</v>
      </c>
      <c r="H927" s="5" t="s">
        <v>54</v>
      </c>
      <c r="I927" s="6" t="s">
        <v>180</v>
      </c>
      <c r="J927" s="8">
        <v>10.0</v>
      </c>
      <c r="K927" s="5" t="str">
        <f t="shared" si="1"/>
        <v>Chennai -&gt; Hyderabad</v>
      </c>
    </row>
    <row r="928" ht="15.75" customHeight="1">
      <c r="A928" s="5" t="s">
        <v>2717</v>
      </c>
      <c r="B928" s="5" t="s">
        <v>45</v>
      </c>
      <c r="C928" s="6" t="s">
        <v>2211</v>
      </c>
      <c r="D928" s="5" t="s">
        <v>797</v>
      </c>
      <c r="E928" s="5" t="s">
        <v>164</v>
      </c>
      <c r="F928" s="5" t="s">
        <v>154</v>
      </c>
      <c r="G928" s="5" t="s">
        <v>47</v>
      </c>
      <c r="H928" s="5" t="s">
        <v>35</v>
      </c>
      <c r="I928" s="6">
        <v>1.0</v>
      </c>
      <c r="J928" s="8">
        <v>5.92</v>
      </c>
      <c r="K928" s="5" t="str">
        <f t="shared" si="1"/>
        <v>Chennai -&gt; Hyderabad</v>
      </c>
    </row>
    <row r="929" ht="15.75" customHeight="1">
      <c r="A929" s="5" t="s">
        <v>2719</v>
      </c>
      <c r="B929" s="5" t="s">
        <v>20</v>
      </c>
      <c r="C929" s="6" t="s">
        <v>2310</v>
      </c>
      <c r="D929" s="5" t="s">
        <v>797</v>
      </c>
      <c r="E929" s="5" t="s">
        <v>164</v>
      </c>
      <c r="F929" s="5" t="s">
        <v>154</v>
      </c>
      <c r="G929" s="5" t="s">
        <v>33</v>
      </c>
      <c r="H929" s="5" t="s">
        <v>35</v>
      </c>
      <c r="I929" s="6">
        <v>1.0</v>
      </c>
      <c r="J929" s="8">
        <v>10.17</v>
      </c>
      <c r="K929" s="5" t="str">
        <f t="shared" si="1"/>
        <v>Chennai -&gt; Hyderabad</v>
      </c>
    </row>
    <row r="930" ht="15.75" customHeight="1">
      <c r="A930" s="5" t="s">
        <v>2721</v>
      </c>
      <c r="B930" s="5" t="s">
        <v>43</v>
      </c>
      <c r="C930" s="6">
        <v>6.0E-269</v>
      </c>
      <c r="D930" s="5" t="s">
        <v>797</v>
      </c>
      <c r="E930" s="5" t="s">
        <v>164</v>
      </c>
      <c r="F930" s="5" t="s">
        <v>154</v>
      </c>
      <c r="G930" s="5" t="s">
        <v>33</v>
      </c>
      <c r="H930" s="5" t="s">
        <v>33</v>
      </c>
      <c r="I930" s="6">
        <v>0.0</v>
      </c>
      <c r="J930" s="8">
        <v>1.17</v>
      </c>
      <c r="K930" s="5" t="str">
        <f t="shared" si="1"/>
        <v>Chennai -&gt; Hyderabad</v>
      </c>
    </row>
    <row r="931" ht="15.75" customHeight="1">
      <c r="A931" s="5" t="s">
        <v>2722</v>
      </c>
      <c r="B931" s="5" t="s">
        <v>45</v>
      </c>
      <c r="C931" s="6" t="s">
        <v>2179</v>
      </c>
      <c r="D931" s="5" t="s">
        <v>797</v>
      </c>
      <c r="E931" s="5" t="s">
        <v>164</v>
      </c>
      <c r="F931" s="5" t="s">
        <v>154</v>
      </c>
      <c r="G931" s="5" t="s">
        <v>47</v>
      </c>
      <c r="H931" s="5" t="s">
        <v>33</v>
      </c>
      <c r="I931" s="6">
        <v>1.0</v>
      </c>
      <c r="J931" s="8">
        <v>21.0</v>
      </c>
      <c r="K931" s="5" t="str">
        <f t="shared" si="1"/>
        <v>Chennai -&gt; Hyderabad</v>
      </c>
    </row>
    <row r="932" ht="15.75" customHeight="1">
      <c r="A932" s="5" t="s">
        <v>2724</v>
      </c>
      <c r="B932" s="5" t="s">
        <v>20</v>
      </c>
      <c r="C932" s="6" t="s">
        <v>2316</v>
      </c>
      <c r="D932" s="5" t="s">
        <v>797</v>
      </c>
      <c r="E932" s="5" t="s">
        <v>164</v>
      </c>
      <c r="F932" s="5" t="s">
        <v>154</v>
      </c>
      <c r="G932" s="5" t="s">
        <v>33</v>
      </c>
      <c r="H932" s="5" t="s">
        <v>54</v>
      </c>
      <c r="I932" s="6">
        <v>1.0</v>
      </c>
      <c r="J932" s="8">
        <v>10.08</v>
      </c>
      <c r="K932" s="5" t="str">
        <f t="shared" si="1"/>
        <v>Chennai -&gt; Hyderabad</v>
      </c>
    </row>
    <row r="933" ht="15.75" customHeight="1">
      <c r="A933" s="5" t="s">
        <v>2726</v>
      </c>
      <c r="B933" s="5" t="s">
        <v>29</v>
      </c>
      <c r="C933" s="6" t="s">
        <v>2727</v>
      </c>
      <c r="D933" s="5" t="s">
        <v>797</v>
      </c>
      <c r="E933" s="5" t="s">
        <v>164</v>
      </c>
      <c r="F933" s="5" t="s">
        <v>154</v>
      </c>
      <c r="G933" s="5" t="s">
        <v>35</v>
      </c>
      <c r="H933" s="5" t="s">
        <v>33</v>
      </c>
      <c r="I933" s="6">
        <v>1.0</v>
      </c>
      <c r="J933" s="8">
        <v>10.17</v>
      </c>
      <c r="K933" s="5" t="str">
        <f t="shared" si="1"/>
        <v>Chennai -&gt; Hyderabad</v>
      </c>
    </row>
    <row r="934" ht="15.75" customHeight="1">
      <c r="A934" s="5" t="s">
        <v>2729</v>
      </c>
      <c r="B934" s="5" t="s">
        <v>45</v>
      </c>
      <c r="C934" s="6" t="s">
        <v>2306</v>
      </c>
      <c r="D934" s="5" t="s">
        <v>797</v>
      </c>
      <c r="E934" s="5" t="s">
        <v>164</v>
      </c>
      <c r="F934" s="5" t="s">
        <v>154</v>
      </c>
      <c r="G934" s="5" t="s">
        <v>33</v>
      </c>
      <c r="H934" s="5" t="s">
        <v>35</v>
      </c>
      <c r="I934" s="6" t="s">
        <v>180</v>
      </c>
      <c r="J934" s="8">
        <v>11.67</v>
      </c>
      <c r="K934" s="5" t="str">
        <f t="shared" si="1"/>
        <v>Chennai -&gt; Hyderabad</v>
      </c>
    </row>
    <row r="935" ht="15.75" customHeight="1">
      <c r="A935" s="5" t="s">
        <v>2731</v>
      </c>
      <c r="B935" s="5" t="s">
        <v>20</v>
      </c>
      <c r="C935" s="6" t="s">
        <v>2208</v>
      </c>
      <c r="D935" s="5" t="s">
        <v>797</v>
      </c>
      <c r="E935" s="5" t="s">
        <v>164</v>
      </c>
      <c r="F935" s="5" t="s">
        <v>154</v>
      </c>
      <c r="G935" s="5" t="s">
        <v>33</v>
      </c>
      <c r="H935" s="5" t="s">
        <v>35</v>
      </c>
      <c r="I935" s="6" t="s">
        <v>180</v>
      </c>
      <c r="J935" s="8">
        <v>13.92</v>
      </c>
      <c r="K935" s="5" t="str">
        <f t="shared" si="1"/>
        <v>Chennai -&gt; Hyderabad</v>
      </c>
    </row>
    <row r="936" ht="15.75" customHeight="1">
      <c r="A936" s="5" t="s">
        <v>2734</v>
      </c>
      <c r="B936" s="5" t="s">
        <v>45</v>
      </c>
      <c r="C936" s="6" t="s">
        <v>2504</v>
      </c>
      <c r="D936" s="5" t="s">
        <v>797</v>
      </c>
      <c r="E936" s="5" t="s">
        <v>164</v>
      </c>
      <c r="F936" s="5" t="s">
        <v>154</v>
      </c>
      <c r="G936" s="5" t="s">
        <v>35</v>
      </c>
      <c r="H936" s="5" t="s">
        <v>54</v>
      </c>
      <c r="I936" s="6" t="s">
        <v>180</v>
      </c>
      <c r="J936" s="8">
        <v>21.25</v>
      </c>
      <c r="K936" s="5" t="str">
        <f t="shared" si="1"/>
        <v>Chennai -&gt; Hyderabad</v>
      </c>
    </row>
    <row r="937" ht="15.75" customHeight="1">
      <c r="A937" s="5" t="s">
        <v>2736</v>
      </c>
      <c r="B937" s="5" t="s">
        <v>43</v>
      </c>
      <c r="C937" s="6" t="s">
        <v>2737</v>
      </c>
      <c r="D937" s="5" t="s">
        <v>797</v>
      </c>
      <c r="E937" s="5" t="s">
        <v>164</v>
      </c>
      <c r="F937" s="5" t="s">
        <v>154</v>
      </c>
      <c r="G937" s="5" t="s">
        <v>47</v>
      </c>
      <c r="H937" s="5" t="s">
        <v>35</v>
      </c>
      <c r="I937" s="6">
        <v>1.0</v>
      </c>
      <c r="J937" s="8">
        <v>5.92</v>
      </c>
      <c r="K937" s="5" t="str">
        <f t="shared" si="1"/>
        <v>Chennai -&gt; Hyderabad</v>
      </c>
    </row>
    <row r="938" ht="15.75" customHeight="1">
      <c r="A938" s="5" t="s">
        <v>2739</v>
      </c>
      <c r="B938" s="5" t="s">
        <v>45</v>
      </c>
      <c r="C938" s="6" t="s">
        <v>2306</v>
      </c>
      <c r="D938" s="5" t="s">
        <v>797</v>
      </c>
      <c r="E938" s="5" t="s">
        <v>164</v>
      </c>
      <c r="F938" s="5" t="s">
        <v>154</v>
      </c>
      <c r="G938" s="5" t="s">
        <v>33</v>
      </c>
      <c r="H938" s="5" t="s">
        <v>33</v>
      </c>
      <c r="I938" s="6">
        <v>1.0</v>
      </c>
      <c r="J938" s="8">
        <v>23.08</v>
      </c>
      <c r="K938" s="5" t="str">
        <f t="shared" si="1"/>
        <v>Chennai -&gt; Hyderabad</v>
      </c>
    </row>
    <row r="939" ht="15.75" customHeight="1">
      <c r="A939" s="5" t="s">
        <v>2741</v>
      </c>
      <c r="B939" s="5" t="s">
        <v>43</v>
      </c>
      <c r="C939" s="6" t="s">
        <v>2742</v>
      </c>
      <c r="D939" s="5" t="s">
        <v>797</v>
      </c>
      <c r="E939" s="5" t="s">
        <v>164</v>
      </c>
      <c r="F939" s="5" t="s">
        <v>154</v>
      </c>
      <c r="G939" s="5" t="s">
        <v>33</v>
      </c>
      <c r="H939" s="5" t="s">
        <v>33</v>
      </c>
      <c r="I939" s="6">
        <v>0.0</v>
      </c>
      <c r="J939" s="8">
        <v>1.17</v>
      </c>
      <c r="K939" s="5" t="str">
        <f t="shared" si="1"/>
        <v>Chennai -&gt; Hyderabad</v>
      </c>
    </row>
    <row r="940" ht="15.75" customHeight="1">
      <c r="A940" s="5" t="s">
        <v>2744</v>
      </c>
      <c r="B940" s="5" t="s">
        <v>20</v>
      </c>
      <c r="C940" s="6" t="s">
        <v>2234</v>
      </c>
      <c r="D940" s="5" t="s">
        <v>797</v>
      </c>
      <c r="E940" s="5" t="s">
        <v>164</v>
      </c>
      <c r="F940" s="5" t="s">
        <v>154</v>
      </c>
      <c r="G940" s="5" t="s">
        <v>47</v>
      </c>
      <c r="H940" s="5" t="s">
        <v>35</v>
      </c>
      <c r="I940" s="6" t="s">
        <v>180</v>
      </c>
      <c r="J940" s="8">
        <v>8.42</v>
      </c>
      <c r="K940" s="5" t="str">
        <f t="shared" si="1"/>
        <v>Chennai -&gt; Hyderabad</v>
      </c>
    </row>
    <row r="941" ht="15.75" customHeight="1">
      <c r="A941" s="5" t="s">
        <v>2746</v>
      </c>
      <c r="B941" s="5" t="s">
        <v>45</v>
      </c>
      <c r="C941" s="6" t="s">
        <v>2331</v>
      </c>
      <c r="D941" s="5" t="s">
        <v>797</v>
      </c>
      <c r="E941" s="5" t="s">
        <v>164</v>
      </c>
      <c r="F941" s="5" t="s">
        <v>154</v>
      </c>
      <c r="G941" s="5" t="s">
        <v>54</v>
      </c>
      <c r="H941" s="5" t="s">
        <v>54</v>
      </c>
      <c r="I941" s="6">
        <v>1.0</v>
      </c>
      <c r="J941" s="8">
        <v>24.58</v>
      </c>
      <c r="K941" s="5" t="str">
        <f t="shared" si="1"/>
        <v>Chennai -&gt; Hyderabad</v>
      </c>
    </row>
    <row r="942" ht="15.75" customHeight="1">
      <c r="A942" s="5" t="s">
        <v>2748</v>
      </c>
      <c r="B942" s="5" t="s">
        <v>29</v>
      </c>
      <c r="C942" s="6" t="s">
        <v>2464</v>
      </c>
      <c r="D942" s="5" t="s">
        <v>797</v>
      </c>
      <c r="E942" s="5" t="s">
        <v>164</v>
      </c>
      <c r="F942" s="5" t="s">
        <v>154</v>
      </c>
      <c r="G942" s="5" t="s">
        <v>35</v>
      </c>
      <c r="H942" s="5" t="s">
        <v>33</v>
      </c>
      <c r="I942" s="6">
        <v>1.0</v>
      </c>
      <c r="J942" s="8">
        <v>10.17</v>
      </c>
      <c r="K942" s="5" t="str">
        <f t="shared" si="1"/>
        <v>Chennai -&gt; Hyderabad</v>
      </c>
    </row>
    <row r="943" ht="15.75" customHeight="1">
      <c r="A943" s="5" t="s">
        <v>2750</v>
      </c>
      <c r="B943" s="5" t="s">
        <v>43</v>
      </c>
      <c r="C943" s="6" t="s">
        <v>2242</v>
      </c>
      <c r="D943" s="5" t="s">
        <v>797</v>
      </c>
      <c r="E943" s="5" t="s">
        <v>164</v>
      </c>
      <c r="F943" s="5" t="s">
        <v>154</v>
      </c>
      <c r="G943" s="5" t="s">
        <v>33</v>
      </c>
      <c r="H943" s="5" t="s">
        <v>54</v>
      </c>
      <c r="I943" s="6" t="s">
        <v>180</v>
      </c>
      <c r="J943" s="8">
        <v>10.67</v>
      </c>
      <c r="K943" s="5" t="str">
        <f t="shared" si="1"/>
        <v>Chennai -&gt; Hyderabad</v>
      </c>
    </row>
    <row r="944" ht="15.75" customHeight="1">
      <c r="A944" s="5" t="s">
        <v>2753</v>
      </c>
      <c r="B944" s="5" t="s">
        <v>45</v>
      </c>
      <c r="C944" s="6" t="s">
        <v>2598</v>
      </c>
      <c r="D944" s="5" t="s">
        <v>797</v>
      </c>
      <c r="E944" s="5" t="s">
        <v>164</v>
      </c>
      <c r="F944" s="5" t="s">
        <v>154</v>
      </c>
      <c r="G944" s="5" t="s">
        <v>35</v>
      </c>
      <c r="H944" s="5" t="s">
        <v>35</v>
      </c>
      <c r="I944" s="6">
        <v>0.0</v>
      </c>
      <c r="J944" s="8">
        <v>1.33</v>
      </c>
      <c r="K944" s="5" t="str">
        <f t="shared" si="1"/>
        <v>Chennai -&gt; Hyderabad</v>
      </c>
    </row>
    <row r="945" ht="15.75" customHeight="1">
      <c r="A945" s="5" t="s">
        <v>2756</v>
      </c>
      <c r="B945" s="5" t="s">
        <v>45</v>
      </c>
      <c r="C945" s="6" t="s">
        <v>2504</v>
      </c>
      <c r="D945" s="5" t="s">
        <v>797</v>
      </c>
      <c r="E945" s="5" t="s">
        <v>164</v>
      </c>
      <c r="F945" s="5" t="s">
        <v>154</v>
      </c>
      <c r="G945" s="5" t="s">
        <v>35</v>
      </c>
      <c r="H945" s="5" t="s">
        <v>35</v>
      </c>
      <c r="I945" s="6" t="s">
        <v>180</v>
      </c>
      <c r="J945" s="8">
        <v>27.25</v>
      </c>
      <c r="K945" s="5" t="str">
        <f t="shared" si="1"/>
        <v>Chennai -&gt; Hyderabad</v>
      </c>
    </row>
    <row r="946" ht="15.75" customHeight="1">
      <c r="A946" s="5" t="s">
        <v>2758</v>
      </c>
      <c r="B946" s="5" t="s">
        <v>43</v>
      </c>
      <c r="C946" s="6" t="s">
        <v>2249</v>
      </c>
      <c r="D946" s="5" t="s">
        <v>797</v>
      </c>
      <c r="E946" s="5" t="s">
        <v>164</v>
      </c>
      <c r="F946" s="5" t="s">
        <v>154</v>
      </c>
      <c r="G946" s="5" t="s">
        <v>54</v>
      </c>
      <c r="H946" s="5" t="s">
        <v>35</v>
      </c>
      <c r="I946" s="6">
        <v>1.0</v>
      </c>
      <c r="J946" s="8">
        <v>4.92</v>
      </c>
      <c r="K946" s="5" t="str">
        <f t="shared" si="1"/>
        <v>Chennai -&gt; Hyderabad</v>
      </c>
    </row>
    <row r="947" ht="15.75" customHeight="1">
      <c r="A947" s="5" t="s">
        <v>2760</v>
      </c>
      <c r="B947" s="5" t="s">
        <v>45</v>
      </c>
      <c r="C947" s="6" t="s">
        <v>2762</v>
      </c>
      <c r="D947" s="5" t="s">
        <v>797</v>
      </c>
      <c r="E947" s="5" t="s">
        <v>164</v>
      </c>
      <c r="F947" s="5" t="s">
        <v>154</v>
      </c>
      <c r="G947" s="5" t="s">
        <v>47</v>
      </c>
      <c r="H947" s="5" t="s">
        <v>35</v>
      </c>
      <c r="I947" s="6" t="s">
        <v>180</v>
      </c>
      <c r="J947" s="8">
        <v>34.25</v>
      </c>
      <c r="K947" s="5" t="str">
        <f t="shared" si="1"/>
        <v>Chennai -&gt; Hyderabad</v>
      </c>
    </row>
    <row r="948" ht="15.75" customHeight="1">
      <c r="A948" s="5" t="s">
        <v>2764</v>
      </c>
      <c r="B948" s="5" t="s">
        <v>45</v>
      </c>
      <c r="C948" s="6" t="s">
        <v>2197</v>
      </c>
      <c r="D948" s="5" t="s">
        <v>797</v>
      </c>
      <c r="E948" s="5" t="s">
        <v>164</v>
      </c>
      <c r="F948" s="5" t="s">
        <v>154</v>
      </c>
      <c r="G948" s="5" t="s">
        <v>33</v>
      </c>
      <c r="H948" s="5" t="s">
        <v>33</v>
      </c>
      <c r="I948" s="6">
        <v>0.0</v>
      </c>
      <c r="J948" s="8">
        <v>1.42</v>
      </c>
      <c r="K948" s="5" t="str">
        <f t="shared" si="1"/>
        <v>Chennai -&gt; Hyderabad</v>
      </c>
    </row>
    <row r="949" ht="15.75" customHeight="1">
      <c r="A949" s="5" t="s">
        <v>2766</v>
      </c>
      <c r="B949" s="5" t="s">
        <v>43</v>
      </c>
      <c r="C949" s="6" t="s">
        <v>2524</v>
      </c>
      <c r="D949" s="5" t="s">
        <v>797</v>
      </c>
      <c r="E949" s="5" t="s">
        <v>164</v>
      </c>
      <c r="F949" s="5" t="s">
        <v>154</v>
      </c>
      <c r="G949" s="5" t="s">
        <v>33</v>
      </c>
      <c r="H949" s="5" t="s">
        <v>47</v>
      </c>
      <c r="I949" s="6">
        <v>0.0</v>
      </c>
      <c r="J949" s="8">
        <v>1.17</v>
      </c>
      <c r="K949" s="5" t="str">
        <f t="shared" si="1"/>
        <v>Chennai -&gt; Hyderabad</v>
      </c>
    </row>
    <row r="950" ht="15.75" customHeight="1">
      <c r="A950" s="5" t="s">
        <v>2767</v>
      </c>
      <c r="B950" s="5" t="s">
        <v>20</v>
      </c>
      <c r="C950" s="6" t="s">
        <v>2316</v>
      </c>
      <c r="D950" s="5" t="s">
        <v>797</v>
      </c>
      <c r="E950" s="5" t="s">
        <v>164</v>
      </c>
      <c r="F950" s="5" t="s">
        <v>154</v>
      </c>
      <c r="G950" s="5" t="s">
        <v>33</v>
      </c>
      <c r="H950" s="5" t="s">
        <v>33</v>
      </c>
      <c r="I950" s="6">
        <v>1.0</v>
      </c>
      <c r="J950" s="8">
        <v>26.5</v>
      </c>
      <c r="K950" s="5" t="str">
        <f t="shared" si="1"/>
        <v>Chennai -&gt; Hyderabad</v>
      </c>
    </row>
    <row r="951" ht="15.75" customHeight="1">
      <c r="A951" s="5" t="s">
        <v>2769</v>
      </c>
      <c r="B951" s="5" t="s">
        <v>20</v>
      </c>
      <c r="C951" s="6" t="s">
        <v>2234</v>
      </c>
      <c r="D951" s="5" t="s">
        <v>797</v>
      </c>
      <c r="E951" s="5" t="s">
        <v>164</v>
      </c>
      <c r="F951" s="5" t="s">
        <v>154</v>
      </c>
      <c r="G951" s="5" t="s">
        <v>47</v>
      </c>
      <c r="H951" s="5" t="s">
        <v>33</v>
      </c>
      <c r="I951" s="6" t="s">
        <v>180</v>
      </c>
      <c r="J951" s="8">
        <v>19.33</v>
      </c>
      <c r="K951" s="5" t="str">
        <f t="shared" si="1"/>
        <v>Chennai -&gt; Hyderabad</v>
      </c>
    </row>
    <row r="952" ht="15.75" customHeight="1">
      <c r="A952" s="5" t="s">
        <v>2771</v>
      </c>
      <c r="B952" s="5" t="s">
        <v>20</v>
      </c>
      <c r="C952" s="6" t="s">
        <v>2234</v>
      </c>
      <c r="D952" s="5" t="s">
        <v>797</v>
      </c>
      <c r="E952" s="5" t="s">
        <v>164</v>
      </c>
      <c r="F952" s="5" t="s">
        <v>154</v>
      </c>
      <c r="G952" s="5" t="s">
        <v>47</v>
      </c>
      <c r="H952" s="5" t="s">
        <v>33</v>
      </c>
      <c r="I952" s="6">
        <v>1.0</v>
      </c>
      <c r="J952" s="8">
        <v>20.58</v>
      </c>
      <c r="K952" s="5" t="str">
        <f t="shared" si="1"/>
        <v>Chennai -&gt; Hyderabad</v>
      </c>
    </row>
    <row r="953" ht="15.75" customHeight="1">
      <c r="A953" s="5" t="s">
        <v>2773</v>
      </c>
      <c r="B953" s="5" t="s">
        <v>20</v>
      </c>
      <c r="C953" s="6" t="s">
        <v>2303</v>
      </c>
      <c r="D953" s="5" t="s">
        <v>797</v>
      </c>
      <c r="E953" s="5" t="s">
        <v>164</v>
      </c>
      <c r="F953" s="5" t="s">
        <v>154</v>
      </c>
      <c r="G953" s="5" t="s">
        <v>54</v>
      </c>
      <c r="H953" s="5" t="s">
        <v>33</v>
      </c>
      <c r="I953" s="6">
        <v>1.0</v>
      </c>
      <c r="J953" s="8">
        <v>16.0</v>
      </c>
      <c r="K953" s="5" t="str">
        <f t="shared" si="1"/>
        <v>Chennai -&gt; Hyderabad</v>
      </c>
    </row>
    <row r="954" ht="15.75" customHeight="1">
      <c r="A954" s="5" t="s">
        <v>2775</v>
      </c>
      <c r="B954" s="5" t="s">
        <v>20</v>
      </c>
      <c r="C954" s="6" t="s">
        <v>2321</v>
      </c>
      <c r="D954" s="5" t="s">
        <v>797</v>
      </c>
      <c r="E954" s="5" t="s">
        <v>164</v>
      </c>
      <c r="F954" s="5" t="s">
        <v>154</v>
      </c>
      <c r="G954" s="5" t="s">
        <v>35</v>
      </c>
      <c r="H954" s="5" t="s">
        <v>54</v>
      </c>
      <c r="I954" s="6">
        <v>1.0</v>
      </c>
      <c r="J954" s="8">
        <v>22.83</v>
      </c>
      <c r="K954" s="5" t="str">
        <f t="shared" si="1"/>
        <v>Chennai -&gt; Hyderabad</v>
      </c>
    </row>
    <row r="955" ht="15.75" customHeight="1">
      <c r="A955" s="5" t="s">
        <v>2777</v>
      </c>
      <c r="B955" s="5" t="s">
        <v>20</v>
      </c>
      <c r="C955" s="6" t="s">
        <v>2310</v>
      </c>
      <c r="D955" s="5" t="s">
        <v>797</v>
      </c>
      <c r="E955" s="5" t="s">
        <v>164</v>
      </c>
      <c r="F955" s="5" t="s">
        <v>154</v>
      </c>
      <c r="G955" s="5" t="s">
        <v>33</v>
      </c>
      <c r="H955" s="5" t="s">
        <v>33</v>
      </c>
      <c r="I955" s="6">
        <v>1.0</v>
      </c>
      <c r="J955" s="8">
        <v>22.67</v>
      </c>
      <c r="K955" s="5" t="str">
        <f t="shared" si="1"/>
        <v>Chennai -&gt; Hyderabad</v>
      </c>
    </row>
    <row r="956" ht="15.75" customHeight="1">
      <c r="A956" s="5" t="s">
        <v>2778</v>
      </c>
      <c r="B956" s="5" t="s">
        <v>43</v>
      </c>
      <c r="C956" s="6" t="s">
        <v>2710</v>
      </c>
      <c r="D956" s="5" t="s">
        <v>797</v>
      </c>
      <c r="E956" s="5" t="s">
        <v>164</v>
      </c>
      <c r="F956" s="5" t="s">
        <v>154</v>
      </c>
      <c r="G956" s="5" t="s">
        <v>33</v>
      </c>
      <c r="H956" s="5" t="s">
        <v>54</v>
      </c>
      <c r="I956" s="6">
        <v>1.0</v>
      </c>
      <c r="J956" s="8">
        <v>7.92</v>
      </c>
      <c r="K956" s="5" t="str">
        <f t="shared" si="1"/>
        <v>Chennai -&gt; Hyderabad</v>
      </c>
    </row>
    <row r="957" ht="15.75" customHeight="1">
      <c r="A957" s="5" t="s">
        <v>2780</v>
      </c>
      <c r="B957" s="5" t="s">
        <v>45</v>
      </c>
      <c r="C957" s="6" t="s">
        <v>2504</v>
      </c>
      <c r="D957" s="5" t="s">
        <v>797</v>
      </c>
      <c r="E957" s="5" t="s">
        <v>164</v>
      </c>
      <c r="F957" s="5" t="s">
        <v>154</v>
      </c>
      <c r="G957" s="5" t="s">
        <v>35</v>
      </c>
      <c r="H957" s="5" t="s">
        <v>54</v>
      </c>
      <c r="I957" s="6">
        <v>1.0</v>
      </c>
      <c r="J957" s="8">
        <v>23.0</v>
      </c>
      <c r="K957" s="5" t="str">
        <f t="shared" si="1"/>
        <v>Chennai -&gt; Hyderabad</v>
      </c>
    </row>
    <row r="958" ht="15.75" customHeight="1">
      <c r="A958" s="5" t="s">
        <v>2782</v>
      </c>
      <c r="B958" s="5" t="s">
        <v>43</v>
      </c>
      <c r="C958" s="6" t="s">
        <v>2783</v>
      </c>
      <c r="D958" s="5" t="s">
        <v>797</v>
      </c>
      <c r="E958" s="5" t="s">
        <v>164</v>
      </c>
      <c r="F958" s="5" t="s">
        <v>154</v>
      </c>
      <c r="G958" s="5" t="s">
        <v>33</v>
      </c>
      <c r="H958" s="5" t="s">
        <v>47</v>
      </c>
      <c r="I958" s="6">
        <v>1.0</v>
      </c>
      <c r="J958" s="8">
        <v>6.33</v>
      </c>
      <c r="K958" s="5" t="str">
        <f t="shared" si="1"/>
        <v>Chennai -&gt; Hyderabad</v>
      </c>
    </row>
    <row r="959" ht="15.75" customHeight="1">
      <c r="A959" s="5" t="s">
        <v>2784</v>
      </c>
      <c r="B959" s="5" t="s">
        <v>43</v>
      </c>
      <c r="C959" s="6" t="s">
        <v>2365</v>
      </c>
      <c r="D959" s="5" t="s">
        <v>797</v>
      </c>
      <c r="E959" s="5" t="s">
        <v>164</v>
      </c>
      <c r="F959" s="5" t="s">
        <v>154</v>
      </c>
      <c r="G959" s="5" t="s">
        <v>47</v>
      </c>
      <c r="H959" s="5" t="s">
        <v>54</v>
      </c>
      <c r="I959" s="6">
        <v>1.0</v>
      </c>
      <c r="J959" s="8">
        <v>4.75</v>
      </c>
      <c r="K959" s="5" t="str">
        <f t="shared" si="1"/>
        <v>Chennai -&gt; Hyderabad</v>
      </c>
    </row>
    <row r="960" ht="15.75" customHeight="1">
      <c r="A960" s="5" t="s">
        <v>2785</v>
      </c>
      <c r="B960" s="5" t="s">
        <v>20</v>
      </c>
      <c r="C960" s="6" t="s">
        <v>2270</v>
      </c>
      <c r="D960" s="5" t="s">
        <v>797</v>
      </c>
      <c r="E960" s="5" t="s">
        <v>164</v>
      </c>
      <c r="F960" s="5" t="s">
        <v>154</v>
      </c>
      <c r="G960" s="5" t="s">
        <v>35</v>
      </c>
      <c r="H960" s="5" t="s">
        <v>47</v>
      </c>
      <c r="I960" s="6">
        <v>1.0</v>
      </c>
      <c r="J960" s="8">
        <v>15.75</v>
      </c>
      <c r="K960" s="5" t="str">
        <f t="shared" si="1"/>
        <v>Chennai -&gt; Hyderabad</v>
      </c>
    </row>
    <row r="961" ht="15.75" customHeight="1">
      <c r="A961" s="5" t="s">
        <v>2787</v>
      </c>
      <c r="B961" s="5" t="s">
        <v>20</v>
      </c>
      <c r="C961" s="6" t="s">
        <v>2208</v>
      </c>
      <c r="D961" s="5" t="s">
        <v>797</v>
      </c>
      <c r="E961" s="5" t="s">
        <v>164</v>
      </c>
      <c r="F961" s="5" t="s">
        <v>154</v>
      </c>
      <c r="G961" s="5" t="s">
        <v>33</v>
      </c>
      <c r="H961" s="5" t="s">
        <v>33</v>
      </c>
      <c r="I961" s="6" t="s">
        <v>180</v>
      </c>
      <c r="J961" s="8">
        <v>26.08</v>
      </c>
      <c r="K961" s="5" t="str">
        <f t="shared" si="1"/>
        <v>Chennai -&gt; Hyderabad</v>
      </c>
    </row>
    <row r="962" ht="15.75" customHeight="1">
      <c r="A962" s="5" t="s">
        <v>649</v>
      </c>
      <c r="B962" s="5" t="s">
        <v>20</v>
      </c>
      <c r="C962" s="6" t="s">
        <v>2790</v>
      </c>
      <c r="D962" s="5" t="s">
        <v>152</v>
      </c>
      <c r="E962" s="5" t="s">
        <v>27</v>
      </c>
      <c r="F962" s="5" t="s">
        <v>154</v>
      </c>
      <c r="G962" s="5" t="s">
        <v>35</v>
      </c>
      <c r="H962" s="5" t="s">
        <v>33</v>
      </c>
      <c r="I962" s="6">
        <v>1.0</v>
      </c>
      <c r="J962" s="8">
        <v>10.0</v>
      </c>
      <c r="K962" s="5" t="str">
        <f t="shared" si="1"/>
        <v>Delhi -&gt; Hyderabad</v>
      </c>
    </row>
    <row r="963" ht="15.75" customHeight="1">
      <c r="A963" s="5" t="s">
        <v>573</v>
      </c>
      <c r="B963" s="5" t="s">
        <v>58</v>
      </c>
      <c r="C963" s="6" t="s">
        <v>2791</v>
      </c>
      <c r="D963" s="5" t="s">
        <v>152</v>
      </c>
      <c r="E963" s="5" t="s">
        <v>27</v>
      </c>
      <c r="F963" s="5" t="s">
        <v>154</v>
      </c>
      <c r="G963" s="5" t="s">
        <v>54</v>
      </c>
      <c r="H963" s="5" t="s">
        <v>33</v>
      </c>
      <c r="I963" s="6">
        <v>1.0</v>
      </c>
      <c r="J963" s="8">
        <v>14.42</v>
      </c>
      <c r="K963" s="5" t="str">
        <f t="shared" si="1"/>
        <v>Delhi -&gt; Hyderabad</v>
      </c>
    </row>
    <row r="964" ht="15.75" customHeight="1">
      <c r="A964" s="5" t="s">
        <v>557</v>
      </c>
      <c r="B964" s="5" t="s">
        <v>20</v>
      </c>
      <c r="C964" s="6" t="s">
        <v>122</v>
      </c>
      <c r="D964" s="5" t="s">
        <v>152</v>
      </c>
      <c r="E964" s="5" t="s">
        <v>27</v>
      </c>
      <c r="F964" s="5" t="s">
        <v>154</v>
      </c>
      <c r="G964" s="5" t="s">
        <v>35</v>
      </c>
      <c r="H964" s="5" t="s">
        <v>35</v>
      </c>
      <c r="I964" s="6">
        <v>0.0</v>
      </c>
      <c r="J964" s="8">
        <v>2.33</v>
      </c>
      <c r="K964" s="5" t="str">
        <f t="shared" si="1"/>
        <v>Delhi -&gt; Hyderabad</v>
      </c>
    </row>
    <row r="965" ht="15.75" customHeight="1">
      <c r="A965" s="5" t="s">
        <v>716</v>
      </c>
      <c r="B965" s="5" t="s">
        <v>20</v>
      </c>
      <c r="C965" s="6" t="s">
        <v>2794</v>
      </c>
      <c r="D965" s="5" t="s">
        <v>152</v>
      </c>
      <c r="E965" s="5" t="s">
        <v>27</v>
      </c>
      <c r="F965" s="5" t="s">
        <v>154</v>
      </c>
      <c r="G965" s="5" t="s">
        <v>54</v>
      </c>
      <c r="H965" s="5" t="s">
        <v>33</v>
      </c>
      <c r="I965" s="6">
        <v>1.0</v>
      </c>
      <c r="J965" s="8">
        <v>12.92</v>
      </c>
      <c r="K965" s="5" t="str">
        <f t="shared" si="1"/>
        <v>Delhi -&gt; Hyderabad</v>
      </c>
    </row>
    <row r="966" ht="15.75" customHeight="1">
      <c r="A966" s="5" t="s">
        <v>589</v>
      </c>
      <c r="B966" s="5" t="s">
        <v>45</v>
      </c>
      <c r="C966" s="6" t="s">
        <v>2795</v>
      </c>
      <c r="D966" s="5" t="s">
        <v>152</v>
      </c>
      <c r="E966" s="5" t="s">
        <v>27</v>
      </c>
      <c r="F966" s="5" t="s">
        <v>154</v>
      </c>
      <c r="G966" s="5" t="s">
        <v>47</v>
      </c>
      <c r="H966" s="5" t="s">
        <v>35</v>
      </c>
      <c r="I966" s="6">
        <v>1.0</v>
      </c>
      <c r="J966" s="8">
        <v>6.75</v>
      </c>
      <c r="K966" s="5" t="str">
        <f t="shared" si="1"/>
        <v>Delhi -&gt; Hyderabad</v>
      </c>
    </row>
    <row r="967" ht="15.75" customHeight="1">
      <c r="A967" s="5" t="s">
        <v>664</v>
      </c>
      <c r="B967" s="5" t="s">
        <v>43</v>
      </c>
      <c r="C967" s="6">
        <v>6.0E-128</v>
      </c>
      <c r="D967" s="5" t="s">
        <v>152</v>
      </c>
      <c r="E967" s="5" t="s">
        <v>27</v>
      </c>
      <c r="F967" s="5" t="s">
        <v>154</v>
      </c>
      <c r="G967" s="5" t="s">
        <v>33</v>
      </c>
      <c r="H967" s="5" t="s">
        <v>47</v>
      </c>
      <c r="I967" s="6" t="s">
        <v>180</v>
      </c>
      <c r="J967" s="8">
        <v>7.17</v>
      </c>
      <c r="K967" s="5" t="str">
        <f t="shared" si="1"/>
        <v>Delhi -&gt; Hyderabad</v>
      </c>
    </row>
    <row r="968" ht="15.75" customHeight="1">
      <c r="A968" s="5" t="s">
        <v>600</v>
      </c>
      <c r="B968" s="5" t="s">
        <v>58</v>
      </c>
      <c r="C968" s="6" t="s">
        <v>2798</v>
      </c>
      <c r="D968" s="5" t="s">
        <v>152</v>
      </c>
      <c r="E968" s="5" t="s">
        <v>27</v>
      </c>
      <c r="F968" s="5" t="s">
        <v>154</v>
      </c>
      <c r="G968" s="5" t="s">
        <v>54</v>
      </c>
      <c r="H968" s="5" t="s">
        <v>35</v>
      </c>
      <c r="I968" s="6">
        <v>0.0</v>
      </c>
      <c r="J968" s="8">
        <v>2.25</v>
      </c>
      <c r="K968" s="5" t="str">
        <f t="shared" si="1"/>
        <v>Delhi -&gt; Hyderabad</v>
      </c>
    </row>
    <row r="969" ht="15.75" customHeight="1">
      <c r="A969" s="5" t="s">
        <v>621</v>
      </c>
      <c r="B969" s="5" t="s">
        <v>29</v>
      </c>
      <c r="C969" s="6" t="s">
        <v>2632</v>
      </c>
      <c r="D969" s="5" t="s">
        <v>152</v>
      </c>
      <c r="E969" s="5" t="s">
        <v>27</v>
      </c>
      <c r="F969" s="5" t="s">
        <v>154</v>
      </c>
      <c r="G969" s="5" t="s">
        <v>33</v>
      </c>
      <c r="H969" s="5" t="s">
        <v>54</v>
      </c>
      <c r="I969" s="6">
        <v>1.0</v>
      </c>
      <c r="J969" s="8">
        <v>8.17</v>
      </c>
      <c r="K969" s="5" t="str">
        <f t="shared" si="1"/>
        <v>Delhi -&gt; Hyderabad</v>
      </c>
    </row>
    <row r="970" ht="15.75" customHeight="1">
      <c r="A970" s="5" t="s">
        <v>705</v>
      </c>
      <c r="B970" s="5" t="s">
        <v>43</v>
      </c>
      <c r="C970" s="6" t="s">
        <v>1533</v>
      </c>
      <c r="D970" s="5" t="s">
        <v>152</v>
      </c>
      <c r="E970" s="5" t="s">
        <v>27</v>
      </c>
      <c r="F970" s="5" t="s">
        <v>154</v>
      </c>
      <c r="G970" s="5" t="s">
        <v>33</v>
      </c>
      <c r="H970" s="5" t="s">
        <v>33</v>
      </c>
      <c r="I970" s="6">
        <v>0.0</v>
      </c>
      <c r="J970" s="8">
        <v>2.33</v>
      </c>
      <c r="K970" s="5" t="str">
        <f t="shared" si="1"/>
        <v>Delhi -&gt; Hyderabad</v>
      </c>
    </row>
    <row r="971" ht="15.75" customHeight="1">
      <c r="A971" s="5" t="s">
        <v>625</v>
      </c>
      <c r="B971" s="5" t="s">
        <v>45</v>
      </c>
      <c r="C971" s="6" t="s">
        <v>1498</v>
      </c>
      <c r="D971" s="5" t="s">
        <v>152</v>
      </c>
      <c r="E971" s="5" t="s">
        <v>27</v>
      </c>
      <c r="F971" s="5" t="s">
        <v>154</v>
      </c>
      <c r="G971" s="5" t="s">
        <v>33</v>
      </c>
      <c r="H971" s="5" t="s">
        <v>54</v>
      </c>
      <c r="I971" s="6">
        <v>1.0</v>
      </c>
      <c r="J971" s="8">
        <v>13.25</v>
      </c>
      <c r="K971" s="5" t="str">
        <f t="shared" si="1"/>
        <v>Delhi -&gt; Hyderabad</v>
      </c>
    </row>
    <row r="972" ht="15.75" customHeight="1">
      <c r="A972" s="5" t="s">
        <v>698</v>
      </c>
      <c r="B972" s="5" t="s">
        <v>58</v>
      </c>
      <c r="C972" s="6" t="s">
        <v>2802</v>
      </c>
      <c r="D972" s="5" t="s">
        <v>152</v>
      </c>
      <c r="E972" s="5" t="s">
        <v>27</v>
      </c>
      <c r="F972" s="5" t="s">
        <v>154</v>
      </c>
      <c r="G972" s="5" t="s">
        <v>54</v>
      </c>
      <c r="H972" s="5" t="s">
        <v>33</v>
      </c>
      <c r="I972" s="6">
        <v>1.0</v>
      </c>
      <c r="J972" s="8">
        <v>11.25</v>
      </c>
      <c r="K972" s="5" t="str">
        <f t="shared" si="1"/>
        <v>Delhi -&gt; Hyderabad</v>
      </c>
    </row>
    <row r="973" ht="15.75" customHeight="1">
      <c r="A973" s="5" t="s">
        <v>577</v>
      </c>
      <c r="B973" s="5" t="s">
        <v>29</v>
      </c>
      <c r="C973" s="6" t="s">
        <v>1531</v>
      </c>
      <c r="D973" s="5" t="s">
        <v>152</v>
      </c>
      <c r="E973" s="5" t="s">
        <v>27</v>
      </c>
      <c r="F973" s="5" t="s">
        <v>154</v>
      </c>
      <c r="G973" s="5" t="s">
        <v>47</v>
      </c>
      <c r="H973" s="5" t="s">
        <v>54</v>
      </c>
      <c r="I973" s="6">
        <v>1.0</v>
      </c>
      <c r="J973" s="8">
        <v>6.58</v>
      </c>
      <c r="K973" s="5" t="str">
        <f t="shared" si="1"/>
        <v>Delhi -&gt; Hyderabad</v>
      </c>
    </row>
    <row r="974" ht="15.75" customHeight="1">
      <c r="A974" s="5" t="s">
        <v>690</v>
      </c>
      <c r="B974" s="5" t="s">
        <v>45</v>
      </c>
      <c r="C974" s="6" t="s">
        <v>2804</v>
      </c>
      <c r="D974" s="5" t="s">
        <v>152</v>
      </c>
      <c r="E974" s="5" t="s">
        <v>27</v>
      </c>
      <c r="F974" s="5" t="s">
        <v>154</v>
      </c>
      <c r="G974" s="5" t="s">
        <v>33</v>
      </c>
      <c r="H974" s="5" t="s">
        <v>33</v>
      </c>
      <c r="I974" s="6">
        <v>1.0</v>
      </c>
      <c r="J974" s="8">
        <v>22.25</v>
      </c>
      <c r="K974" s="5" t="str">
        <f t="shared" si="1"/>
        <v>Delhi -&gt; Hyderabad</v>
      </c>
    </row>
    <row r="975" ht="15.75" customHeight="1">
      <c r="A975" s="5" t="s">
        <v>585</v>
      </c>
      <c r="B975" s="5" t="s">
        <v>45</v>
      </c>
      <c r="C975" s="6" t="s">
        <v>2805</v>
      </c>
      <c r="D975" s="5" t="s">
        <v>152</v>
      </c>
      <c r="E975" s="5" t="s">
        <v>27</v>
      </c>
      <c r="F975" s="5" t="s">
        <v>154</v>
      </c>
      <c r="G975" s="5" t="s">
        <v>47</v>
      </c>
      <c r="H975" s="5" t="s">
        <v>35</v>
      </c>
      <c r="I975" s="6">
        <v>1.0</v>
      </c>
      <c r="J975" s="8">
        <v>9.08</v>
      </c>
      <c r="K975" s="5" t="str">
        <f t="shared" si="1"/>
        <v>Delhi -&gt; Hyderabad</v>
      </c>
    </row>
    <row r="976" ht="15.75" customHeight="1">
      <c r="A976" s="5" t="s">
        <v>632</v>
      </c>
      <c r="B976" s="5" t="s">
        <v>20</v>
      </c>
      <c r="C976" s="6" t="s">
        <v>88</v>
      </c>
      <c r="D976" s="5" t="s">
        <v>152</v>
      </c>
      <c r="E976" s="5" t="s">
        <v>27</v>
      </c>
      <c r="F976" s="5" t="s">
        <v>154</v>
      </c>
      <c r="G976" s="5" t="s">
        <v>54</v>
      </c>
      <c r="H976" s="5" t="s">
        <v>54</v>
      </c>
      <c r="I976" s="6">
        <v>1.0</v>
      </c>
      <c r="J976" s="8">
        <v>24.33</v>
      </c>
      <c r="K976" s="5" t="str">
        <f t="shared" si="1"/>
        <v>Delhi -&gt; Hyderabad</v>
      </c>
    </row>
    <row r="977" ht="15.75" customHeight="1">
      <c r="A977" s="5" t="s">
        <v>678</v>
      </c>
      <c r="B977" s="5" t="s">
        <v>43</v>
      </c>
      <c r="C977" s="6">
        <v>6.0E-128</v>
      </c>
      <c r="D977" s="5" t="s">
        <v>152</v>
      </c>
      <c r="E977" s="5" t="s">
        <v>27</v>
      </c>
      <c r="F977" s="5" t="s">
        <v>154</v>
      </c>
      <c r="G977" s="5" t="s">
        <v>33</v>
      </c>
      <c r="H977" s="5" t="s">
        <v>47</v>
      </c>
      <c r="I977" s="6" t="s">
        <v>180</v>
      </c>
      <c r="J977" s="8">
        <v>7.33</v>
      </c>
      <c r="K977" s="5" t="str">
        <f t="shared" si="1"/>
        <v>Delhi -&gt; Hyderabad</v>
      </c>
    </row>
    <row r="978" ht="15.75" customHeight="1">
      <c r="A978" s="5" t="s">
        <v>694</v>
      </c>
      <c r="B978" s="5" t="s">
        <v>45</v>
      </c>
      <c r="C978" s="6" t="s">
        <v>134</v>
      </c>
      <c r="D978" s="5" t="s">
        <v>152</v>
      </c>
      <c r="E978" s="5" t="s">
        <v>27</v>
      </c>
      <c r="F978" s="5" t="s">
        <v>154</v>
      </c>
      <c r="G978" s="5" t="s">
        <v>54</v>
      </c>
      <c r="H978" s="5" t="s">
        <v>47</v>
      </c>
      <c r="I978" s="6">
        <v>1.0</v>
      </c>
      <c r="J978" s="8">
        <v>19.5</v>
      </c>
      <c r="K978" s="5" t="str">
        <f t="shared" si="1"/>
        <v>Delhi -&gt; Hyderabad</v>
      </c>
    </row>
    <row r="979" ht="15.75" customHeight="1">
      <c r="A979" s="5" t="s">
        <v>686</v>
      </c>
      <c r="B979" s="5" t="s">
        <v>58</v>
      </c>
      <c r="C979" s="6" t="s">
        <v>2808</v>
      </c>
      <c r="D979" s="5" t="s">
        <v>152</v>
      </c>
      <c r="E979" s="5" t="s">
        <v>27</v>
      </c>
      <c r="F979" s="5" t="s">
        <v>154</v>
      </c>
      <c r="G979" s="5" t="s">
        <v>33</v>
      </c>
      <c r="H979" s="5" t="s">
        <v>47</v>
      </c>
      <c r="I979" s="6">
        <v>1.0</v>
      </c>
      <c r="J979" s="8">
        <v>9.5</v>
      </c>
      <c r="K979" s="5" t="str">
        <f t="shared" si="1"/>
        <v>Delhi -&gt; Hyderabad</v>
      </c>
    </row>
    <row r="980" ht="15.75" customHeight="1">
      <c r="A980" s="5" t="s">
        <v>719</v>
      </c>
      <c r="B980" s="5" t="s">
        <v>58</v>
      </c>
      <c r="C980" s="6" t="s">
        <v>1504</v>
      </c>
      <c r="D980" s="5" t="s">
        <v>152</v>
      </c>
      <c r="E980" s="5" t="s">
        <v>27</v>
      </c>
      <c r="F980" s="5" t="s">
        <v>154</v>
      </c>
      <c r="G980" s="5" t="s">
        <v>33</v>
      </c>
      <c r="H980" s="5" t="s">
        <v>35</v>
      </c>
      <c r="I980" s="6">
        <v>1.0</v>
      </c>
      <c r="J980" s="8">
        <v>15.5</v>
      </c>
      <c r="K980" s="5" t="str">
        <f t="shared" si="1"/>
        <v>Delhi -&gt; Hyderabad</v>
      </c>
    </row>
    <row r="981" ht="15.75" customHeight="1">
      <c r="A981" s="5" t="s">
        <v>605</v>
      </c>
      <c r="B981" s="5" t="s">
        <v>45</v>
      </c>
      <c r="C981" s="6" t="s">
        <v>1498</v>
      </c>
      <c r="D981" s="5" t="s">
        <v>152</v>
      </c>
      <c r="E981" s="5" t="s">
        <v>27</v>
      </c>
      <c r="F981" s="5" t="s">
        <v>154</v>
      </c>
      <c r="G981" s="5" t="s">
        <v>33</v>
      </c>
      <c r="H981" s="5" t="s">
        <v>35</v>
      </c>
      <c r="I981" s="6">
        <v>1.0</v>
      </c>
      <c r="J981" s="8">
        <v>15.08</v>
      </c>
      <c r="K981" s="5" t="str">
        <f t="shared" si="1"/>
        <v>Delhi -&gt; Hyderabad</v>
      </c>
    </row>
    <row r="982" ht="15.75" customHeight="1">
      <c r="A982" s="5" t="s">
        <v>555</v>
      </c>
      <c r="B982" s="5" t="s">
        <v>20</v>
      </c>
      <c r="C982" s="6" t="s">
        <v>1499</v>
      </c>
      <c r="D982" s="5" t="s">
        <v>152</v>
      </c>
      <c r="E982" s="5" t="s">
        <v>27</v>
      </c>
      <c r="F982" s="5" t="s">
        <v>154</v>
      </c>
      <c r="G982" s="5" t="s">
        <v>33</v>
      </c>
      <c r="H982" s="5" t="s">
        <v>33</v>
      </c>
      <c r="I982" s="6">
        <v>0.0</v>
      </c>
      <c r="J982" s="8">
        <v>2.17</v>
      </c>
      <c r="K982" s="5" t="str">
        <f t="shared" si="1"/>
        <v>Delhi -&gt; Hyderabad</v>
      </c>
    </row>
    <row r="983" ht="15.75" customHeight="1">
      <c r="A983" s="5" t="s">
        <v>670</v>
      </c>
      <c r="B983" s="5" t="s">
        <v>43</v>
      </c>
      <c r="C983" s="6" t="s">
        <v>2810</v>
      </c>
      <c r="D983" s="5" t="s">
        <v>152</v>
      </c>
      <c r="E983" s="5" t="s">
        <v>27</v>
      </c>
      <c r="F983" s="5" t="s">
        <v>154</v>
      </c>
      <c r="G983" s="5" t="s">
        <v>33</v>
      </c>
      <c r="H983" s="5" t="s">
        <v>47</v>
      </c>
      <c r="I983" s="6">
        <v>1.0</v>
      </c>
      <c r="J983" s="8">
        <v>7.17</v>
      </c>
      <c r="K983" s="5" t="str">
        <f t="shared" si="1"/>
        <v>Delhi -&gt; Hyderabad</v>
      </c>
    </row>
    <row r="984" ht="15.75" customHeight="1">
      <c r="A984" s="5" t="s">
        <v>597</v>
      </c>
      <c r="B984" s="5" t="s">
        <v>29</v>
      </c>
      <c r="C984" s="6" t="s">
        <v>2811</v>
      </c>
      <c r="D984" s="5" t="s">
        <v>152</v>
      </c>
      <c r="E984" s="5" t="s">
        <v>27</v>
      </c>
      <c r="F984" s="5" t="s">
        <v>154</v>
      </c>
      <c r="G984" s="5" t="s">
        <v>33</v>
      </c>
      <c r="H984" s="5" t="s">
        <v>47</v>
      </c>
      <c r="I984" s="6">
        <v>1.0</v>
      </c>
      <c r="J984" s="8">
        <v>7.58</v>
      </c>
      <c r="K984" s="5" t="str">
        <f t="shared" si="1"/>
        <v>Delhi -&gt; Hyderabad</v>
      </c>
    </row>
    <row r="985" ht="15.75" customHeight="1">
      <c r="A985" s="5" t="s">
        <v>708</v>
      </c>
      <c r="B985" s="5" t="s">
        <v>43</v>
      </c>
      <c r="C985" s="6" t="s">
        <v>2813</v>
      </c>
      <c r="D985" s="5" t="s">
        <v>152</v>
      </c>
      <c r="E985" s="5" t="s">
        <v>27</v>
      </c>
      <c r="F985" s="5" t="s">
        <v>154</v>
      </c>
      <c r="G985" s="5" t="s">
        <v>33</v>
      </c>
      <c r="H985" s="5" t="s">
        <v>54</v>
      </c>
      <c r="I985" s="6">
        <v>1.0</v>
      </c>
      <c r="J985" s="8">
        <v>10.08</v>
      </c>
      <c r="K985" s="5" t="str">
        <f t="shared" si="1"/>
        <v>Delhi -&gt; Hyderabad</v>
      </c>
    </row>
    <row r="986" ht="15.75" customHeight="1">
      <c r="A986" s="5" t="s">
        <v>722</v>
      </c>
      <c r="B986" s="5" t="s">
        <v>45</v>
      </c>
      <c r="C986" s="6" t="s">
        <v>116</v>
      </c>
      <c r="D986" s="5" t="s">
        <v>152</v>
      </c>
      <c r="E986" s="5" t="s">
        <v>27</v>
      </c>
      <c r="F986" s="5" t="s">
        <v>154</v>
      </c>
      <c r="G986" s="5" t="s">
        <v>47</v>
      </c>
      <c r="H986" s="5" t="s">
        <v>33</v>
      </c>
      <c r="I986" s="6">
        <v>1.0</v>
      </c>
      <c r="J986" s="8">
        <v>16.17</v>
      </c>
      <c r="K986" s="5" t="str">
        <f t="shared" si="1"/>
        <v>Delhi -&gt; Hyderabad</v>
      </c>
    </row>
    <row r="987" ht="15.75" customHeight="1">
      <c r="A987" s="5" t="s">
        <v>675</v>
      </c>
      <c r="B987" s="5" t="s">
        <v>45</v>
      </c>
      <c r="C987" s="6" t="s">
        <v>2795</v>
      </c>
      <c r="D987" s="5" t="s">
        <v>152</v>
      </c>
      <c r="E987" s="5" t="s">
        <v>27</v>
      </c>
      <c r="F987" s="5" t="s">
        <v>154</v>
      </c>
      <c r="G987" s="5" t="s">
        <v>47</v>
      </c>
      <c r="H987" s="5" t="s">
        <v>33</v>
      </c>
      <c r="I987" s="6">
        <v>1.0</v>
      </c>
      <c r="J987" s="8">
        <v>19.33</v>
      </c>
      <c r="K987" s="5" t="str">
        <f t="shared" si="1"/>
        <v>Delhi -&gt; Hyderabad</v>
      </c>
    </row>
    <row r="988" ht="15.75" customHeight="1">
      <c r="A988" s="5" t="s">
        <v>683</v>
      </c>
      <c r="B988" s="5" t="s">
        <v>29</v>
      </c>
      <c r="C988" s="6" t="s">
        <v>2815</v>
      </c>
      <c r="D988" s="5" t="s">
        <v>152</v>
      </c>
      <c r="E988" s="5" t="s">
        <v>27</v>
      </c>
      <c r="F988" s="5" t="s">
        <v>154</v>
      </c>
      <c r="G988" s="5" t="s">
        <v>35</v>
      </c>
      <c r="H988" s="5" t="s">
        <v>33</v>
      </c>
      <c r="I988" s="6">
        <v>1.0</v>
      </c>
      <c r="J988" s="8">
        <v>9.75</v>
      </c>
      <c r="K988" s="5" t="str">
        <f t="shared" si="1"/>
        <v>Delhi -&gt; Hyderabad</v>
      </c>
    </row>
    <row r="989" ht="15.75" customHeight="1">
      <c r="A989" s="5" t="s">
        <v>655</v>
      </c>
      <c r="B989" s="5" t="s">
        <v>20</v>
      </c>
      <c r="C989" s="6" t="s">
        <v>2816</v>
      </c>
      <c r="D989" s="5" t="s">
        <v>152</v>
      </c>
      <c r="E989" s="5" t="s">
        <v>27</v>
      </c>
      <c r="F989" s="5" t="s">
        <v>154</v>
      </c>
      <c r="G989" s="5" t="s">
        <v>47</v>
      </c>
      <c r="H989" s="5" t="s">
        <v>33</v>
      </c>
      <c r="I989" s="6">
        <v>1.0</v>
      </c>
      <c r="J989" s="8">
        <v>19.0</v>
      </c>
      <c r="K989" s="5" t="str">
        <f t="shared" si="1"/>
        <v>Delhi -&gt; Hyderabad</v>
      </c>
    </row>
    <row r="990" ht="15.75" customHeight="1">
      <c r="A990" s="5" t="s">
        <v>636</v>
      </c>
      <c r="B990" s="5" t="s">
        <v>20</v>
      </c>
      <c r="C990" s="6" t="s">
        <v>2818</v>
      </c>
      <c r="D990" s="5" t="s">
        <v>152</v>
      </c>
      <c r="E990" s="5" t="s">
        <v>27</v>
      </c>
      <c r="F990" s="5" t="s">
        <v>154</v>
      </c>
      <c r="G990" s="5" t="s">
        <v>54</v>
      </c>
      <c r="H990" s="5" t="s">
        <v>35</v>
      </c>
      <c r="I990" s="6">
        <v>1.0</v>
      </c>
      <c r="J990" s="8">
        <v>27.33</v>
      </c>
      <c r="K990" s="5" t="str">
        <f t="shared" si="1"/>
        <v>Delhi -&gt; Hyderabad</v>
      </c>
    </row>
    <row r="991" ht="15.75" customHeight="1">
      <c r="A991" s="5" t="s">
        <v>2819</v>
      </c>
      <c r="B991" s="5" t="s">
        <v>20</v>
      </c>
      <c r="C991" s="6" t="s">
        <v>2820</v>
      </c>
      <c r="D991" s="5" t="s">
        <v>152</v>
      </c>
      <c r="E991" s="5" t="s">
        <v>27</v>
      </c>
      <c r="F991" s="5" t="s">
        <v>154</v>
      </c>
      <c r="G991" s="5" t="s">
        <v>33</v>
      </c>
      <c r="H991" s="5" t="s">
        <v>33</v>
      </c>
      <c r="I991" s="6">
        <v>1.0</v>
      </c>
      <c r="J991" s="8">
        <v>24.33</v>
      </c>
      <c r="K991" s="5" t="str">
        <f t="shared" si="1"/>
        <v>Delhi -&gt; Hyderabad</v>
      </c>
    </row>
    <row r="992" ht="15.75" customHeight="1">
      <c r="A992" s="5" t="s">
        <v>570</v>
      </c>
      <c r="B992" s="5" t="s">
        <v>72</v>
      </c>
      <c r="C992" s="6" t="s">
        <v>2822</v>
      </c>
      <c r="D992" s="5" t="s">
        <v>152</v>
      </c>
      <c r="E992" s="5" t="s">
        <v>27</v>
      </c>
      <c r="F992" s="5" t="s">
        <v>154</v>
      </c>
      <c r="G992" s="5" t="s">
        <v>47</v>
      </c>
      <c r="H992" s="5" t="s">
        <v>35</v>
      </c>
      <c r="I992" s="6">
        <v>1.0</v>
      </c>
      <c r="J992" s="8">
        <v>5.92</v>
      </c>
      <c r="K992" s="5" t="str">
        <f t="shared" si="1"/>
        <v>Delhi -&gt; Hyderabad</v>
      </c>
    </row>
    <row r="993" ht="15.75" customHeight="1">
      <c r="A993" s="5" t="s">
        <v>610</v>
      </c>
      <c r="B993" s="5" t="s">
        <v>29</v>
      </c>
      <c r="C993" s="6" t="s">
        <v>2823</v>
      </c>
      <c r="D993" s="5" t="s">
        <v>152</v>
      </c>
      <c r="E993" s="5" t="s">
        <v>27</v>
      </c>
      <c r="F993" s="5" t="s">
        <v>154</v>
      </c>
      <c r="G993" s="5" t="s">
        <v>33</v>
      </c>
      <c r="H993" s="5" t="s">
        <v>54</v>
      </c>
      <c r="I993" s="6">
        <v>1.0</v>
      </c>
      <c r="J993" s="8">
        <v>13.92</v>
      </c>
      <c r="K993" s="5" t="str">
        <f t="shared" si="1"/>
        <v>Delhi -&gt; Hyderabad</v>
      </c>
    </row>
    <row r="994" ht="15.75" customHeight="1">
      <c r="A994" s="5" t="s">
        <v>580</v>
      </c>
      <c r="B994" s="5" t="s">
        <v>43</v>
      </c>
      <c r="C994" s="6" t="s">
        <v>2825</v>
      </c>
      <c r="D994" s="5" t="s">
        <v>152</v>
      </c>
      <c r="E994" s="5" t="s">
        <v>27</v>
      </c>
      <c r="F994" s="5" t="s">
        <v>154</v>
      </c>
      <c r="G994" s="5" t="s">
        <v>47</v>
      </c>
      <c r="H994" s="5" t="s">
        <v>35</v>
      </c>
      <c r="I994" s="6">
        <v>1.0</v>
      </c>
      <c r="J994" s="8">
        <v>8.08</v>
      </c>
      <c r="K994" s="5" t="str">
        <f t="shared" si="1"/>
        <v>Delhi -&gt; Hyderabad</v>
      </c>
    </row>
    <row r="995" ht="15.75" customHeight="1">
      <c r="A995" s="5" t="s">
        <v>727</v>
      </c>
      <c r="B995" s="5" t="s">
        <v>45</v>
      </c>
      <c r="C995" s="6" t="s">
        <v>124</v>
      </c>
      <c r="D995" s="5" t="s">
        <v>152</v>
      </c>
      <c r="E995" s="5" t="s">
        <v>27</v>
      </c>
      <c r="F995" s="5" t="s">
        <v>154</v>
      </c>
      <c r="G995" s="5" t="s">
        <v>33</v>
      </c>
      <c r="H995" s="5" t="s">
        <v>35</v>
      </c>
      <c r="I995" s="6">
        <v>1.0</v>
      </c>
      <c r="J995" s="8">
        <v>16.0</v>
      </c>
      <c r="K995" s="5" t="str">
        <f t="shared" si="1"/>
        <v>Delhi -&gt; Hyderabad</v>
      </c>
    </row>
    <row r="996" ht="15.75" customHeight="1">
      <c r="A996" s="5" t="s">
        <v>645</v>
      </c>
      <c r="B996" s="5" t="s">
        <v>45</v>
      </c>
      <c r="C996" s="6" t="s">
        <v>2642</v>
      </c>
      <c r="D996" s="5" t="s">
        <v>152</v>
      </c>
      <c r="E996" s="5" t="s">
        <v>27</v>
      </c>
      <c r="F996" s="5" t="s">
        <v>154</v>
      </c>
      <c r="G996" s="5" t="s">
        <v>33</v>
      </c>
      <c r="H996" s="5" t="s">
        <v>35</v>
      </c>
      <c r="I996" s="6" t="s">
        <v>180</v>
      </c>
      <c r="J996" s="8">
        <v>16.67</v>
      </c>
      <c r="K996" s="5" t="str">
        <f t="shared" si="1"/>
        <v>Delhi -&gt; Hyderabad</v>
      </c>
    </row>
    <row r="997" ht="15.75" customHeight="1">
      <c r="A997" s="5" t="s">
        <v>615</v>
      </c>
      <c r="B997" s="5" t="s">
        <v>45</v>
      </c>
      <c r="C997" s="6" t="s">
        <v>2827</v>
      </c>
      <c r="D997" s="5" t="s">
        <v>152</v>
      </c>
      <c r="E997" s="5" t="s">
        <v>27</v>
      </c>
      <c r="F997" s="5" t="s">
        <v>154</v>
      </c>
      <c r="G997" s="5" t="s">
        <v>54</v>
      </c>
      <c r="H997" s="5" t="s">
        <v>35</v>
      </c>
      <c r="I997" s="6">
        <v>1.0</v>
      </c>
      <c r="J997" s="8">
        <v>26.92</v>
      </c>
      <c r="K997" s="5" t="str">
        <f t="shared" si="1"/>
        <v>Delhi -&gt; Hyderabad</v>
      </c>
    </row>
    <row r="998" ht="15.75" customHeight="1">
      <c r="A998" s="5" t="s">
        <v>593</v>
      </c>
      <c r="B998" s="5" t="s">
        <v>20</v>
      </c>
      <c r="C998" s="6" t="s">
        <v>101</v>
      </c>
      <c r="D998" s="5" t="s">
        <v>152</v>
      </c>
      <c r="E998" s="5" t="s">
        <v>27</v>
      </c>
      <c r="F998" s="5" t="s">
        <v>154</v>
      </c>
      <c r="G998" s="5" t="s">
        <v>33</v>
      </c>
      <c r="H998" s="5" t="s">
        <v>35</v>
      </c>
      <c r="I998" s="6">
        <v>1.0</v>
      </c>
      <c r="J998" s="8">
        <v>11.42</v>
      </c>
      <c r="K998" s="5" t="str">
        <f t="shared" si="1"/>
        <v>Delhi -&gt; Hyderabad</v>
      </c>
    </row>
    <row r="999" ht="15.75" customHeight="1">
      <c r="A999" s="5" t="s">
        <v>561</v>
      </c>
      <c r="B999" s="5" t="s">
        <v>20</v>
      </c>
      <c r="C999" s="6" t="s">
        <v>1501</v>
      </c>
      <c r="D999" s="5" t="s">
        <v>152</v>
      </c>
      <c r="E999" s="5" t="s">
        <v>27</v>
      </c>
      <c r="F999" s="5" t="s">
        <v>154</v>
      </c>
      <c r="G999" s="5" t="s">
        <v>33</v>
      </c>
      <c r="H999" s="5" t="s">
        <v>47</v>
      </c>
      <c r="I999" s="6">
        <v>1.0</v>
      </c>
      <c r="J999" s="8">
        <v>25.92</v>
      </c>
      <c r="K999" s="5" t="str">
        <f t="shared" si="1"/>
        <v>Delhi -&gt; Hyderabad</v>
      </c>
    </row>
    <row r="1000" ht="15.75" customHeight="1">
      <c r="A1000" s="5" t="s">
        <v>711</v>
      </c>
      <c r="B1000" s="5" t="s">
        <v>45</v>
      </c>
      <c r="C1000" s="6" t="s">
        <v>2804</v>
      </c>
      <c r="D1000" s="5" t="s">
        <v>152</v>
      </c>
      <c r="E1000" s="5" t="s">
        <v>27</v>
      </c>
      <c r="F1000" s="5" t="s">
        <v>154</v>
      </c>
      <c r="G1000" s="5" t="s">
        <v>33</v>
      </c>
      <c r="H1000" s="5" t="s">
        <v>35</v>
      </c>
      <c r="I1000" s="6">
        <v>1.0</v>
      </c>
      <c r="J1000" s="8">
        <v>11.75</v>
      </c>
      <c r="K1000" s="5" t="str">
        <f t="shared" si="1"/>
        <v>Delhi -&gt; Hyderabad</v>
      </c>
    </row>
    <row r="1001" ht="15.75" customHeight="1">
      <c r="A1001" s="5" t="s">
        <v>661</v>
      </c>
      <c r="B1001" s="5" t="s">
        <v>20</v>
      </c>
      <c r="C1001" s="6" t="s">
        <v>157</v>
      </c>
      <c r="D1001" s="5" t="s">
        <v>152</v>
      </c>
      <c r="E1001" s="5" t="s">
        <v>27</v>
      </c>
      <c r="F1001" s="5" t="s">
        <v>154</v>
      </c>
      <c r="G1001" s="5" t="s">
        <v>47</v>
      </c>
      <c r="H1001" s="5" t="s">
        <v>35</v>
      </c>
      <c r="I1001" s="6">
        <v>1.0</v>
      </c>
      <c r="J1001" s="8">
        <v>6.67</v>
      </c>
      <c r="K1001" s="5" t="str">
        <f t="shared" si="1"/>
        <v>Delhi -&gt; Hyderabad</v>
      </c>
    </row>
    <row r="1002" ht="15.75" customHeight="1">
      <c r="A1002" s="5" t="s">
        <v>851</v>
      </c>
      <c r="B1002" s="5" t="s">
        <v>45</v>
      </c>
      <c r="C1002" s="6" t="s">
        <v>2831</v>
      </c>
      <c r="D1002" s="5" t="s">
        <v>174</v>
      </c>
      <c r="E1002" s="5" t="s">
        <v>27</v>
      </c>
      <c r="F1002" s="5" t="s">
        <v>164</v>
      </c>
      <c r="G1002" s="5" t="s">
        <v>33</v>
      </c>
      <c r="H1002" s="5" t="s">
        <v>33</v>
      </c>
      <c r="I1002" s="6" t="s">
        <v>180</v>
      </c>
      <c r="J1002" s="8">
        <v>24.33</v>
      </c>
      <c r="K1002" s="5" t="str">
        <f t="shared" si="1"/>
        <v>Delhi -&gt; Chennai</v>
      </c>
    </row>
    <row r="1003" ht="15.75" customHeight="1">
      <c r="A1003" s="5" t="s">
        <v>756</v>
      </c>
      <c r="B1003" s="5" t="s">
        <v>45</v>
      </c>
      <c r="C1003" s="6" t="s">
        <v>2833</v>
      </c>
      <c r="D1003" s="5" t="s">
        <v>174</v>
      </c>
      <c r="E1003" s="5" t="s">
        <v>27</v>
      </c>
      <c r="F1003" s="5" t="s">
        <v>164</v>
      </c>
      <c r="G1003" s="5" t="s">
        <v>33</v>
      </c>
      <c r="H1003" s="5" t="s">
        <v>33</v>
      </c>
      <c r="I1003" s="6">
        <v>1.0</v>
      </c>
      <c r="J1003" s="8">
        <v>24.33</v>
      </c>
      <c r="K1003" s="5" t="str">
        <f t="shared" si="1"/>
        <v>Delhi -&gt; Chennai</v>
      </c>
    </row>
    <row r="1004" ht="15.75" customHeight="1">
      <c r="A1004" s="5" t="s">
        <v>793</v>
      </c>
      <c r="B1004" s="5" t="s">
        <v>20</v>
      </c>
      <c r="C1004" s="6" t="s">
        <v>1562</v>
      </c>
      <c r="D1004" s="5" t="s">
        <v>174</v>
      </c>
      <c r="E1004" s="5" t="s">
        <v>27</v>
      </c>
      <c r="F1004" s="5" t="s">
        <v>164</v>
      </c>
      <c r="G1004" s="5" t="s">
        <v>33</v>
      </c>
      <c r="H1004" s="5" t="s">
        <v>35</v>
      </c>
      <c r="I1004" s="6" t="s">
        <v>180</v>
      </c>
      <c r="J1004" s="8">
        <v>15.0</v>
      </c>
      <c r="K1004" s="5" t="str">
        <f t="shared" si="1"/>
        <v>Delhi -&gt; Chennai</v>
      </c>
    </row>
    <row r="1005" ht="15.75" customHeight="1">
      <c r="A1005" s="5" t="s">
        <v>738</v>
      </c>
      <c r="B1005" s="5" t="s">
        <v>43</v>
      </c>
      <c r="C1005" s="6" t="s">
        <v>2836</v>
      </c>
      <c r="D1005" s="5" t="s">
        <v>174</v>
      </c>
      <c r="E1005" s="5" t="s">
        <v>27</v>
      </c>
      <c r="F1005" s="5" t="s">
        <v>164</v>
      </c>
      <c r="G1005" s="5" t="s">
        <v>33</v>
      </c>
      <c r="H1005" s="5" t="s">
        <v>35</v>
      </c>
      <c r="I1005" s="6">
        <v>1.0</v>
      </c>
      <c r="J1005" s="8">
        <v>9.08</v>
      </c>
      <c r="K1005" s="5" t="str">
        <f t="shared" si="1"/>
        <v>Delhi -&gt; Chennai</v>
      </c>
    </row>
    <row r="1006" ht="15.75" customHeight="1">
      <c r="A1006" s="5" t="s">
        <v>836</v>
      </c>
      <c r="B1006" s="5" t="s">
        <v>43</v>
      </c>
      <c r="C1006" s="6" t="s">
        <v>2837</v>
      </c>
      <c r="D1006" s="5" t="s">
        <v>174</v>
      </c>
      <c r="E1006" s="5" t="s">
        <v>27</v>
      </c>
      <c r="F1006" s="5" t="s">
        <v>164</v>
      </c>
      <c r="G1006" s="5" t="s">
        <v>35</v>
      </c>
      <c r="H1006" s="5" t="s">
        <v>33</v>
      </c>
      <c r="I1006" s="6">
        <v>1.0</v>
      </c>
      <c r="J1006" s="8">
        <v>10.08</v>
      </c>
      <c r="K1006" s="5" t="str">
        <f t="shared" si="1"/>
        <v>Delhi -&gt; Chennai</v>
      </c>
    </row>
    <row r="1007" ht="15.75" customHeight="1">
      <c r="A1007" s="5" t="s">
        <v>833</v>
      </c>
      <c r="B1007" s="5" t="s">
        <v>45</v>
      </c>
      <c r="C1007" s="6" t="s">
        <v>116</v>
      </c>
      <c r="D1007" s="5" t="s">
        <v>174</v>
      </c>
      <c r="E1007" s="5" t="s">
        <v>27</v>
      </c>
      <c r="F1007" s="5" t="s">
        <v>164</v>
      </c>
      <c r="G1007" s="5" t="s">
        <v>47</v>
      </c>
      <c r="H1007" s="5" t="s">
        <v>33</v>
      </c>
      <c r="I1007" s="6">
        <v>1.0</v>
      </c>
      <c r="J1007" s="8">
        <v>16.17</v>
      </c>
      <c r="K1007" s="5" t="str">
        <f t="shared" si="1"/>
        <v>Delhi -&gt; Chennai</v>
      </c>
    </row>
    <row r="1008" ht="15.75" customHeight="1">
      <c r="A1008" s="5" t="s">
        <v>787</v>
      </c>
      <c r="B1008" s="5" t="s">
        <v>43</v>
      </c>
      <c r="C1008" s="6" t="s">
        <v>2839</v>
      </c>
      <c r="D1008" s="5" t="s">
        <v>174</v>
      </c>
      <c r="E1008" s="5" t="s">
        <v>27</v>
      </c>
      <c r="F1008" s="5" t="s">
        <v>164</v>
      </c>
      <c r="G1008" s="5" t="s">
        <v>54</v>
      </c>
      <c r="H1008" s="5" t="s">
        <v>35</v>
      </c>
      <c r="I1008" s="6">
        <v>0.0</v>
      </c>
      <c r="J1008" s="8">
        <v>3.0</v>
      </c>
      <c r="K1008" s="5" t="str">
        <f t="shared" si="1"/>
        <v>Delhi -&gt; Chennai</v>
      </c>
    </row>
    <row r="1009" ht="15.75" customHeight="1">
      <c r="A1009" s="5" t="s">
        <v>784</v>
      </c>
      <c r="B1009" s="5" t="s">
        <v>20</v>
      </c>
      <c r="C1009" s="6" t="s">
        <v>97</v>
      </c>
      <c r="D1009" s="5" t="s">
        <v>174</v>
      </c>
      <c r="E1009" s="5" t="s">
        <v>27</v>
      </c>
      <c r="F1009" s="5" t="s">
        <v>164</v>
      </c>
      <c r="G1009" s="5" t="s">
        <v>33</v>
      </c>
      <c r="H1009" s="5" t="s">
        <v>54</v>
      </c>
      <c r="I1009" s="6" t="s">
        <v>180</v>
      </c>
      <c r="J1009" s="8">
        <v>13.42</v>
      </c>
      <c r="K1009" s="5" t="str">
        <f t="shared" si="1"/>
        <v>Delhi -&gt; Chennai</v>
      </c>
    </row>
    <row r="1010" ht="15.75" customHeight="1">
      <c r="A1010" s="5" t="s">
        <v>849</v>
      </c>
      <c r="B1010" s="5" t="s">
        <v>45</v>
      </c>
      <c r="C1010" s="6" t="s">
        <v>1529</v>
      </c>
      <c r="D1010" s="5" t="s">
        <v>174</v>
      </c>
      <c r="E1010" s="5" t="s">
        <v>27</v>
      </c>
      <c r="F1010" s="5" t="s">
        <v>164</v>
      </c>
      <c r="G1010" s="5" t="s">
        <v>33</v>
      </c>
      <c r="H1010" s="5" t="s">
        <v>33</v>
      </c>
      <c r="I1010" s="6" t="s">
        <v>180</v>
      </c>
      <c r="J1010" s="8">
        <v>22.92</v>
      </c>
      <c r="K1010" s="5" t="str">
        <f t="shared" si="1"/>
        <v>Delhi -&gt; Chennai</v>
      </c>
    </row>
    <row r="1011" ht="15.75" customHeight="1">
      <c r="A1011" s="5" t="s">
        <v>789</v>
      </c>
      <c r="B1011" s="5" t="s">
        <v>20</v>
      </c>
      <c r="C1011" s="6" t="s">
        <v>1511</v>
      </c>
      <c r="D1011" s="5" t="s">
        <v>174</v>
      </c>
      <c r="E1011" s="5" t="s">
        <v>27</v>
      </c>
      <c r="F1011" s="5" t="s">
        <v>164</v>
      </c>
      <c r="G1011" s="5" t="s">
        <v>54</v>
      </c>
      <c r="H1011" s="5" t="s">
        <v>35</v>
      </c>
      <c r="I1011" s="6" t="s">
        <v>66</v>
      </c>
      <c r="J1011" s="8">
        <v>6.33</v>
      </c>
      <c r="K1011" s="5" t="str">
        <f t="shared" si="1"/>
        <v>Delhi -&gt; Chennai</v>
      </c>
    </row>
    <row r="1012" ht="15.75" customHeight="1">
      <c r="A1012" s="5" t="s">
        <v>843</v>
      </c>
      <c r="B1012" s="5" t="s">
        <v>45</v>
      </c>
      <c r="C1012" s="6" t="s">
        <v>2843</v>
      </c>
      <c r="D1012" s="5" t="s">
        <v>174</v>
      </c>
      <c r="E1012" s="5" t="s">
        <v>27</v>
      </c>
      <c r="F1012" s="5" t="s">
        <v>164</v>
      </c>
      <c r="G1012" s="5" t="s">
        <v>33</v>
      </c>
      <c r="H1012" s="5" t="s">
        <v>35</v>
      </c>
      <c r="I1012" s="6">
        <v>1.0</v>
      </c>
      <c r="J1012" s="8">
        <v>14.17</v>
      </c>
      <c r="K1012" s="5" t="str">
        <f t="shared" si="1"/>
        <v>Delhi -&gt; Chennai</v>
      </c>
    </row>
    <row r="1013" ht="15.75" customHeight="1">
      <c r="A1013" s="5" t="s">
        <v>747</v>
      </c>
      <c r="B1013" s="5" t="s">
        <v>45</v>
      </c>
      <c r="C1013" s="6" t="s">
        <v>2845</v>
      </c>
      <c r="D1013" s="5" t="s">
        <v>174</v>
      </c>
      <c r="E1013" s="5" t="s">
        <v>27</v>
      </c>
      <c r="F1013" s="5" t="s">
        <v>164</v>
      </c>
      <c r="G1013" s="5" t="s">
        <v>54</v>
      </c>
      <c r="H1013" s="5" t="s">
        <v>33</v>
      </c>
      <c r="I1013" s="6">
        <v>1.0</v>
      </c>
      <c r="J1013" s="8">
        <v>12.33</v>
      </c>
      <c r="K1013" s="5" t="str">
        <f t="shared" si="1"/>
        <v>Delhi -&gt; Chennai</v>
      </c>
    </row>
    <row r="1014" ht="15.75" customHeight="1">
      <c r="A1014" s="5" t="s">
        <v>803</v>
      </c>
      <c r="B1014" s="5" t="s">
        <v>45</v>
      </c>
      <c r="C1014" s="6" t="s">
        <v>2846</v>
      </c>
      <c r="D1014" s="5" t="s">
        <v>174</v>
      </c>
      <c r="E1014" s="5" t="s">
        <v>27</v>
      </c>
      <c r="F1014" s="5" t="s">
        <v>164</v>
      </c>
      <c r="G1014" s="5" t="s">
        <v>35</v>
      </c>
      <c r="H1014" s="5" t="s">
        <v>54</v>
      </c>
      <c r="I1014" s="6">
        <v>1.0</v>
      </c>
      <c r="J1014" s="8">
        <v>20.83</v>
      </c>
      <c r="K1014" s="5" t="str">
        <f t="shared" si="1"/>
        <v>Delhi -&gt; Chennai</v>
      </c>
    </row>
    <row r="1015" ht="15.75" customHeight="1">
      <c r="A1015" s="5" t="s">
        <v>827</v>
      </c>
      <c r="B1015" s="5" t="s">
        <v>43</v>
      </c>
      <c r="C1015" s="6" t="s">
        <v>2848</v>
      </c>
      <c r="D1015" s="5" t="s">
        <v>174</v>
      </c>
      <c r="E1015" s="5" t="s">
        <v>27</v>
      </c>
      <c r="F1015" s="5" t="s">
        <v>164</v>
      </c>
      <c r="G1015" s="5" t="s">
        <v>33</v>
      </c>
      <c r="H1015" s="5" t="s">
        <v>33</v>
      </c>
      <c r="I1015" s="6" t="s">
        <v>37</v>
      </c>
      <c r="J1015" s="8">
        <v>2.92</v>
      </c>
      <c r="K1015" s="5" t="str">
        <f t="shared" si="1"/>
        <v>Delhi -&gt; Chennai</v>
      </c>
    </row>
    <row r="1016" ht="15.75" customHeight="1">
      <c r="A1016" s="5" t="s">
        <v>741</v>
      </c>
      <c r="B1016" s="5" t="s">
        <v>20</v>
      </c>
      <c r="C1016" s="6" t="s">
        <v>2850</v>
      </c>
      <c r="D1016" s="5" t="s">
        <v>174</v>
      </c>
      <c r="E1016" s="5" t="s">
        <v>27</v>
      </c>
      <c r="F1016" s="5" t="s">
        <v>164</v>
      </c>
      <c r="G1016" s="5" t="s">
        <v>54</v>
      </c>
      <c r="H1016" s="5" t="s">
        <v>54</v>
      </c>
      <c r="I1016" s="6" t="s">
        <v>180</v>
      </c>
      <c r="J1016" s="8">
        <v>27.83</v>
      </c>
      <c r="K1016" s="5" t="str">
        <f t="shared" si="1"/>
        <v>Delhi -&gt; Chennai</v>
      </c>
    </row>
    <row r="1017" ht="15.75" customHeight="1">
      <c r="A1017" s="5" t="s">
        <v>777</v>
      </c>
      <c r="B1017" s="5" t="s">
        <v>45</v>
      </c>
      <c r="C1017" s="6" t="s">
        <v>134</v>
      </c>
      <c r="D1017" s="5" t="s">
        <v>174</v>
      </c>
      <c r="E1017" s="5" t="s">
        <v>27</v>
      </c>
      <c r="F1017" s="5" t="s">
        <v>164</v>
      </c>
      <c r="G1017" s="5" t="s">
        <v>54</v>
      </c>
      <c r="H1017" s="5" t="s">
        <v>35</v>
      </c>
      <c r="I1017" s="6">
        <v>1.0</v>
      </c>
      <c r="J1017" s="8">
        <v>28.42</v>
      </c>
      <c r="K1017" s="5" t="str">
        <f t="shared" si="1"/>
        <v>Delhi -&gt; Chennai</v>
      </c>
    </row>
    <row r="1018" ht="15.75" customHeight="1">
      <c r="A1018" s="5" t="s">
        <v>813</v>
      </c>
      <c r="B1018" s="5" t="s">
        <v>43</v>
      </c>
      <c r="C1018" s="6" t="s">
        <v>2852</v>
      </c>
      <c r="D1018" s="5" t="s">
        <v>174</v>
      </c>
      <c r="E1018" s="5" t="s">
        <v>27</v>
      </c>
      <c r="F1018" s="5" t="s">
        <v>164</v>
      </c>
      <c r="G1018" s="5" t="s">
        <v>33</v>
      </c>
      <c r="H1018" s="5" t="s">
        <v>54</v>
      </c>
      <c r="I1018" s="6">
        <v>1.0</v>
      </c>
      <c r="J1018" s="8">
        <v>8.0</v>
      </c>
      <c r="K1018" s="5" t="str">
        <f t="shared" si="1"/>
        <v>Delhi -&gt; Chennai</v>
      </c>
    </row>
    <row r="1019" ht="15.75" customHeight="1">
      <c r="A1019" s="5" t="s">
        <v>752</v>
      </c>
      <c r="B1019" s="5" t="s">
        <v>45</v>
      </c>
      <c r="C1019" s="6" t="s">
        <v>2661</v>
      </c>
      <c r="D1019" s="5" t="s">
        <v>174</v>
      </c>
      <c r="E1019" s="5" t="s">
        <v>27</v>
      </c>
      <c r="F1019" s="5" t="s">
        <v>164</v>
      </c>
      <c r="G1019" s="5" t="s">
        <v>54</v>
      </c>
      <c r="H1019" s="5" t="s">
        <v>33</v>
      </c>
      <c r="I1019" s="6">
        <v>1.0</v>
      </c>
      <c r="J1019" s="8">
        <v>13.5</v>
      </c>
      <c r="K1019" s="5" t="str">
        <f t="shared" si="1"/>
        <v>Delhi -&gt; Chennai</v>
      </c>
    </row>
    <row r="1020" ht="15.75" customHeight="1">
      <c r="A1020" s="5" t="s">
        <v>733</v>
      </c>
      <c r="B1020" s="5" t="s">
        <v>29</v>
      </c>
      <c r="C1020" s="6" t="s">
        <v>2854</v>
      </c>
      <c r="D1020" s="5" t="s">
        <v>174</v>
      </c>
      <c r="E1020" s="5" t="s">
        <v>27</v>
      </c>
      <c r="F1020" s="5" t="s">
        <v>164</v>
      </c>
      <c r="G1020" s="5" t="s">
        <v>54</v>
      </c>
      <c r="H1020" s="5" t="s">
        <v>33</v>
      </c>
      <c r="I1020" s="6">
        <v>1.0</v>
      </c>
      <c r="J1020" s="8">
        <v>13.5</v>
      </c>
      <c r="K1020" s="5" t="str">
        <f t="shared" si="1"/>
        <v>Delhi -&gt; Chennai</v>
      </c>
    </row>
    <row r="1021" ht="15.75" customHeight="1">
      <c r="A1021" s="5" t="s">
        <v>816</v>
      </c>
      <c r="B1021" s="5" t="s">
        <v>20</v>
      </c>
      <c r="C1021" s="6" t="s">
        <v>2790</v>
      </c>
      <c r="D1021" s="5" t="s">
        <v>174</v>
      </c>
      <c r="E1021" s="5" t="s">
        <v>27</v>
      </c>
      <c r="F1021" s="5" t="s">
        <v>164</v>
      </c>
      <c r="G1021" s="5" t="s">
        <v>35</v>
      </c>
      <c r="H1021" s="5" t="s">
        <v>54</v>
      </c>
      <c r="I1021" s="6">
        <v>1.0</v>
      </c>
      <c r="J1021" s="8">
        <v>22.25</v>
      </c>
      <c r="K1021" s="5" t="str">
        <f t="shared" si="1"/>
        <v>Delhi -&gt; Chennai</v>
      </c>
    </row>
    <row r="1022" ht="15.75" customHeight="1">
      <c r="A1022" s="5" t="s">
        <v>819</v>
      </c>
      <c r="B1022" s="5" t="s">
        <v>20</v>
      </c>
      <c r="C1022" s="6" t="s">
        <v>1542</v>
      </c>
      <c r="D1022" s="5" t="s">
        <v>174</v>
      </c>
      <c r="E1022" s="5" t="s">
        <v>27</v>
      </c>
      <c r="F1022" s="5" t="s">
        <v>164</v>
      </c>
      <c r="G1022" s="5" t="s">
        <v>54</v>
      </c>
      <c r="H1022" s="5" t="s">
        <v>35</v>
      </c>
      <c r="I1022" s="6" t="s">
        <v>180</v>
      </c>
      <c r="J1022" s="8">
        <v>28.42</v>
      </c>
      <c r="K1022" s="5" t="str">
        <f t="shared" si="1"/>
        <v>Delhi -&gt; Chennai</v>
      </c>
    </row>
    <row r="1023" ht="15.75" customHeight="1">
      <c r="A1023" s="5" t="s">
        <v>808</v>
      </c>
      <c r="B1023" s="5" t="s">
        <v>29</v>
      </c>
      <c r="C1023" s="6" t="s">
        <v>2811</v>
      </c>
      <c r="D1023" s="5" t="s">
        <v>174</v>
      </c>
      <c r="E1023" s="5" t="s">
        <v>27</v>
      </c>
      <c r="F1023" s="5" t="s">
        <v>164</v>
      </c>
      <c r="G1023" s="5" t="s">
        <v>33</v>
      </c>
      <c r="H1023" s="5" t="s">
        <v>47</v>
      </c>
      <c r="I1023" s="6">
        <v>1.0</v>
      </c>
      <c r="J1023" s="8">
        <v>5.75</v>
      </c>
      <c r="K1023" s="5" t="str">
        <f t="shared" si="1"/>
        <v>Delhi -&gt; Chennai</v>
      </c>
    </row>
    <row r="1024" ht="15.75" customHeight="1">
      <c r="A1024" s="5" t="s">
        <v>795</v>
      </c>
      <c r="B1024" s="5" t="s">
        <v>72</v>
      </c>
      <c r="C1024" s="6" t="s">
        <v>2868</v>
      </c>
      <c r="D1024" s="5" t="s">
        <v>174</v>
      </c>
      <c r="E1024" s="5" t="s">
        <v>27</v>
      </c>
      <c r="F1024" s="5" t="s">
        <v>164</v>
      </c>
      <c r="G1024" s="5" t="s">
        <v>54</v>
      </c>
      <c r="H1024" s="5" t="s">
        <v>47</v>
      </c>
      <c r="I1024" s="6">
        <v>1.0</v>
      </c>
      <c r="J1024" s="8">
        <v>19.83</v>
      </c>
      <c r="K1024" s="5" t="str">
        <f t="shared" si="1"/>
        <v>Delhi -&gt; Chennai</v>
      </c>
    </row>
    <row r="1025" ht="15.75" customHeight="1">
      <c r="A1025" s="5" t="s">
        <v>744</v>
      </c>
      <c r="B1025" s="5" t="s">
        <v>72</v>
      </c>
      <c r="C1025" s="6" t="s">
        <v>2870</v>
      </c>
      <c r="D1025" s="5" t="s">
        <v>174</v>
      </c>
      <c r="E1025" s="5" t="s">
        <v>27</v>
      </c>
      <c r="F1025" s="5" t="s">
        <v>164</v>
      </c>
      <c r="G1025" s="5" t="s">
        <v>54</v>
      </c>
      <c r="H1025" s="5" t="s">
        <v>33</v>
      </c>
      <c r="I1025" s="6">
        <v>1.0</v>
      </c>
      <c r="J1025" s="8">
        <v>12.25</v>
      </c>
      <c r="K1025" s="5" t="str">
        <f t="shared" si="1"/>
        <v>Delhi -&gt; Chennai</v>
      </c>
    </row>
    <row r="1026" ht="15.75" customHeight="1">
      <c r="A1026" s="5" t="s">
        <v>773</v>
      </c>
      <c r="B1026" s="5" t="s">
        <v>45</v>
      </c>
      <c r="C1026" s="6" t="s">
        <v>2804</v>
      </c>
      <c r="D1026" s="5" t="s">
        <v>174</v>
      </c>
      <c r="E1026" s="5" t="s">
        <v>27</v>
      </c>
      <c r="F1026" s="5" t="s">
        <v>164</v>
      </c>
      <c r="G1026" s="5" t="s">
        <v>33</v>
      </c>
      <c r="H1026" s="5" t="s">
        <v>33</v>
      </c>
      <c r="I1026" s="6">
        <v>1.0</v>
      </c>
      <c r="J1026" s="8">
        <v>22.33</v>
      </c>
      <c r="K1026" s="5" t="str">
        <f t="shared" si="1"/>
        <v>Delhi -&gt; Chennai</v>
      </c>
    </row>
    <row r="1027" ht="15.75" customHeight="1">
      <c r="A1027" s="5" t="s">
        <v>800</v>
      </c>
      <c r="B1027" s="5" t="s">
        <v>43</v>
      </c>
      <c r="C1027" s="6" t="s">
        <v>2872</v>
      </c>
      <c r="D1027" s="5" t="s">
        <v>174</v>
      </c>
      <c r="E1027" s="5" t="s">
        <v>27</v>
      </c>
      <c r="F1027" s="5" t="s">
        <v>164</v>
      </c>
      <c r="G1027" s="5" t="s">
        <v>33</v>
      </c>
      <c r="H1027" s="5" t="s">
        <v>54</v>
      </c>
      <c r="I1027" s="6">
        <v>1.0</v>
      </c>
      <c r="J1027" s="8">
        <v>11.92</v>
      </c>
      <c r="K1027" s="5" t="str">
        <f t="shared" si="1"/>
        <v>Delhi -&gt; Chennai</v>
      </c>
    </row>
    <row r="1028" ht="15.75" customHeight="1">
      <c r="A1028" s="5" t="s">
        <v>781</v>
      </c>
      <c r="B1028" s="5" t="s">
        <v>20</v>
      </c>
      <c r="C1028" s="6" t="s">
        <v>2874</v>
      </c>
      <c r="D1028" s="5" t="s">
        <v>174</v>
      </c>
      <c r="E1028" s="5" t="s">
        <v>27</v>
      </c>
      <c r="F1028" s="5" t="s">
        <v>164</v>
      </c>
      <c r="G1028" s="5" t="s">
        <v>33</v>
      </c>
      <c r="H1028" s="5" t="s">
        <v>33</v>
      </c>
      <c r="I1028" s="6" t="s">
        <v>180</v>
      </c>
      <c r="J1028" s="8">
        <v>23.75</v>
      </c>
      <c r="K1028" s="5" t="str">
        <f t="shared" si="1"/>
        <v>Delhi -&gt; Chennai</v>
      </c>
    </row>
    <row r="1029" ht="15.75" customHeight="1">
      <c r="A1029" s="5" t="s">
        <v>839</v>
      </c>
      <c r="B1029" s="5" t="s">
        <v>45</v>
      </c>
      <c r="C1029" s="6" t="s">
        <v>1518</v>
      </c>
      <c r="D1029" s="5" t="s">
        <v>174</v>
      </c>
      <c r="E1029" s="5" t="s">
        <v>27</v>
      </c>
      <c r="F1029" s="5" t="s">
        <v>164</v>
      </c>
      <c r="G1029" s="5" t="s">
        <v>54</v>
      </c>
      <c r="H1029" s="5" t="s">
        <v>35</v>
      </c>
      <c r="I1029" s="6">
        <v>1.0</v>
      </c>
      <c r="J1029" s="8">
        <v>27.92</v>
      </c>
      <c r="K1029" s="5" t="str">
        <f t="shared" si="1"/>
        <v>Delhi -&gt; Chennai</v>
      </c>
    </row>
    <row r="1030" ht="15.75" customHeight="1">
      <c r="A1030" s="5" t="s">
        <v>846</v>
      </c>
      <c r="B1030" s="5" t="s">
        <v>45</v>
      </c>
      <c r="C1030" s="6" t="s">
        <v>2804</v>
      </c>
      <c r="D1030" s="5" t="s">
        <v>174</v>
      </c>
      <c r="E1030" s="5" t="s">
        <v>27</v>
      </c>
      <c r="F1030" s="5" t="s">
        <v>164</v>
      </c>
      <c r="G1030" s="5" t="s">
        <v>33</v>
      </c>
      <c r="H1030" s="5" t="s">
        <v>35</v>
      </c>
      <c r="I1030" s="6">
        <v>1.0</v>
      </c>
      <c r="J1030" s="8">
        <v>14.92</v>
      </c>
      <c r="K1030" s="5" t="str">
        <f t="shared" si="1"/>
        <v>Delhi -&gt; Chennai</v>
      </c>
    </row>
    <row r="1031" ht="15.75" customHeight="1">
      <c r="A1031" s="5" t="s">
        <v>811</v>
      </c>
      <c r="B1031" s="5" t="s">
        <v>29</v>
      </c>
      <c r="C1031" s="6" t="s">
        <v>2877</v>
      </c>
      <c r="D1031" s="5" t="s">
        <v>174</v>
      </c>
      <c r="E1031" s="5" t="s">
        <v>27</v>
      </c>
      <c r="F1031" s="5" t="s">
        <v>164</v>
      </c>
      <c r="G1031" s="5" t="s">
        <v>54</v>
      </c>
      <c r="H1031" s="5" t="s">
        <v>35</v>
      </c>
      <c r="I1031" s="6" t="s">
        <v>180</v>
      </c>
      <c r="J1031" s="8">
        <v>6.42</v>
      </c>
      <c r="K1031" s="5" t="str">
        <f t="shared" si="1"/>
        <v>Delhi -&gt; Chennai</v>
      </c>
    </row>
    <row r="1032" ht="15.75" customHeight="1">
      <c r="A1032" s="5" t="s">
        <v>769</v>
      </c>
      <c r="B1032" s="5" t="s">
        <v>20</v>
      </c>
      <c r="C1032" s="6" t="s">
        <v>157</v>
      </c>
      <c r="D1032" s="5" t="s">
        <v>174</v>
      </c>
      <c r="E1032" s="5" t="s">
        <v>27</v>
      </c>
      <c r="F1032" s="5" t="s">
        <v>164</v>
      </c>
      <c r="G1032" s="5" t="s">
        <v>47</v>
      </c>
      <c r="H1032" s="5" t="s">
        <v>33</v>
      </c>
      <c r="I1032" s="6" t="s">
        <v>180</v>
      </c>
      <c r="J1032" s="8">
        <v>21.58</v>
      </c>
      <c r="K1032" s="5" t="str">
        <f t="shared" si="1"/>
        <v>Delhi -&gt; Chennai</v>
      </c>
    </row>
    <row r="1033" ht="15.75" customHeight="1">
      <c r="A1033" s="5" t="s">
        <v>805</v>
      </c>
      <c r="B1033" s="5" t="s">
        <v>58</v>
      </c>
      <c r="C1033" s="6" t="s">
        <v>2879</v>
      </c>
      <c r="D1033" s="5" t="s">
        <v>174</v>
      </c>
      <c r="E1033" s="5" t="s">
        <v>27</v>
      </c>
      <c r="F1033" s="5" t="s">
        <v>164</v>
      </c>
      <c r="G1033" s="5" t="s">
        <v>33</v>
      </c>
      <c r="H1033" s="5" t="s">
        <v>35</v>
      </c>
      <c r="I1033" s="6">
        <v>1.0</v>
      </c>
      <c r="J1033" s="8">
        <v>15.33</v>
      </c>
      <c r="K1033" s="5" t="str">
        <f t="shared" si="1"/>
        <v>Delhi -&gt; Chennai</v>
      </c>
    </row>
    <row r="1034" ht="15.75" customHeight="1">
      <c r="A1034" s="5" t="s">
        <v>821</v>
      </c>
      <c r="B1034" s="5" t="s">
        <v>45</v>
      </c>
      <c r="C1034" s="6" t="s">
        <v>2881</v>
      </c>
      <c r="D1034" s="5" t="s">
        <v>174</v>
      </c>
      <c r="E1034" s="5" t="s">
        <v>27</v>
      </c>
      <c r="F1034" s="5" t="s">
        <v>164</v>
      </c>
      <c r="G1034" s="5" t="s">
        <v>33</v>
      </c>
      <c r="H1034" s="5" t="s">
        <v>33</v>
      </c>
      <c r="I1034" s="6">
        <v>1.0</v>
      </c>
      <c r="J1034" s="8">
        <v>23.25</v>
      </c>
      <c r="K1034" s="5" t="str">
        <f t="shared" si="1"/>
        <v>Delhi -&gt; Chennai</v>
      </c>
    </row>
    <row r="1035" ht="15.75" customHeight="1">
      <c r="A1035" s="5" t="s">
        <v>765</v>
      </c>
      <c r="B1035" s="5" t="s">
        <v>45</v>
      </c>
      <c r="C1035" s="6" t="s">
        <v>1518</v>
      </c>
      <c r="D1035" s="5" t="s">
        <v>174</v>
      </c>
      <c r="E1035" s="5" t="s">
        <v>27</v>
      </c>
      <c r="F1035" s="5" t="s">
        <v>164</v>
      </c>
      <c r="G1035" s="5" t="s">
        <v>54</v>
      </c>
      <c r="H1035" s="5" t="s">
        <v>33</v>
      </c>
      <c r="I1035" s="6" t="s">
        <v>66</v>
      </c>
      <c r="J1035" s="8">
        <v>14.92</v>
      </c>
      <c r="K1035" s="5" t="str">
        <f t="shared" si="1"/>
        <v>Delhi -&gt; Chennai</v>
      </c>
    </row>
    <row r="1036" ht="15.75" customHeight="1">
      <c r="A1036" s="5" t="s">
        <v>2883</v>
      </c>
      <c r="B1036" s="5" t="s">
        <v>20</v>
      </c>
      <c r="C1036" s="6" t="s">
        <v>2616</v>
      </c>
      <c r="D1036" s="5" t="s">
        <v>174</v>
      </c>
      <c r="E1036" s="5" t="s">
        <v>27</v>
      </c>
      <c r="F1036" s="5" t="s">
        <v>164</v>
      </c>
      <c r="G1036" s="5" t="s">
        <v>33</v>
      </c>
      <c r="H1036" s="5" t="s">
        <v>33</v>
      </c>
      <c r="I1036" s="6">
        <v>1.0</v>
      </c>
      <c r="J1036" s="8">
        <v>24.0</v>
      </c>
      <c r="K1036" s="5" t="str">
        <f t="shared" si="1"/>
        <v>Delhi -&gt; Chennai</v>
      </c>
    </row>
    <row r="1037" ht="15.75" customHeight="1">
      <c r="A1037" s="5" t="s">
        <v>762</v>
      </c>
      <c r="B1037" s="5" t="s">
        <v>72</v>
      </c>
      <c r="C1037" s="6" t="s">
        <v>2885</v>
      </c>
      <c r="D1037" s="5" t="s">
        <v>174</v>
      </c>
      <c r="E1037" s="5" t="s">
        <v>27</v>
      </c>
      <c r="F1037" s="5" t="s">
        <v>164</v>
      </c>
      <c r="G1037" s="5" t="s">
        <v>33</v>
      </c>
      <c r="H1037" s="5" t="s">
        <v>54</v>
      </c>
      <c r="I1037" s="6">
        <v>1.0</v>
      </c>
      <c r="J1037" s="8">
        <v>6.17</v>
      </c>
      <c r="K1037" s="5" t="str">
        <f t="shared" si="1"/>
        <v>Delhi -&gt; Chennai</v>
      </c>
    </row>
    <row r="1038" ht="15.75" customHeight="1">
      <c r="A1038" s="5" t="s">
        <v>830</v>
      </c>
      <c r="B1038" s="5" t="s">
        <v>43</v>
      </c>
      <c r="C1038" s="6" t="s">
        <v>2887</v>
      </c>
      <c r="D1038" s="5" t="s">
        <v>174</v>
      </c>
      <c r="E1038" s="5" t="s">
        <v>27</v>
      </c>
      <c r="F1038" s="5" t="s">
        <v>164</v>
      </c>
      <c r="G1038" s="5" t="s">
        <v>47</v>
      </c>
      <c r="H1038" s="5" t="s">
        <v>35</v>
      </c>
      <c r="I1038" s="6">
        <v>1.0</v>
      </c>
      <c r="J1038" s="8">
        <v>8.42</v>
      </c>
      <c r="K1038" s="5" t="str">
        <f t="shared" si="1"/>
        <v>Delhi -&gt; Chennai</v>
      </c>
    </row>
    <row r="1039" ht="15.75" customHeight="1">
      <c r="A1039" s="5" t="s">
        <v>823</v>
      </c>
      <c r="B1039" s="5" t="s">
        <v>45</v>
      </c>
      <c r="C1039" s="6" t="s">
        <v>2889</v>
      </c>
      <c r="D1039" s="5" t="s">
        <v>174</v>
      </c>
      <c r="E1039" s="5" t="s">
        <v>27</v>
      </c>
      <c r="F1039" s="5" t="s">
        <v>164</v>
      </c>
      <c r="G1039" s="5" t="s">
        <v>35</v>
      </c>
      <c r="H1039" s="5" t="s">
        <v>33</v>
      </c>
      <c r="I1039" s="6" t="s">
        <v>180</v>
      </c>
      <c r="J1039" s="8">
        <v>12.92</v>
      </c>
      <c r="K1039" s="5" t="str">
        <f t="shared" si="1"/>
        <v>Delhi -&gt; Chennai</v>
      </c>
    </row>
    <row r="1040" ht="15.75" customHeight="1">
      <c r="A1040" s="5" t="s">
        <v>825</v>
      </c>
      <c r="B1040" s="5" t="s">
        <v>29</v>
      </c>
      <c r="C1040" s="6" t="s">
        <v>2811</v>
      </c>
      <c r="D1040" s="5" t="s">
        <v>174</v>
      </c>
      <c r="E1040" s="5" t="s">
        <v>27</v>
      </c>
      <c r="F1040" s="5" t="s">
        <v>164</v>
      </c>
      <c r="G1040" s="5" t="s">
        <v>33</v>
      </c>
      <c r="H1040" s="5" t="s">
        <v>54</v>
      </c>
      <c r="I1040" s="6">
        <v>1.0</v>
      </c>
      <c r="J1040" s="8">
        <v>8.5</v>
      </c>
      <c r="K1040" s="5" t="str">
        <f t="shared" si="1"/>
        <v>Delhi -&gt; Chennai</v>
      </c>
    </row>
    <row r="1041" ht="15.75" customHeight="1">
      <c r="A1041" s="5" t="s">
        <v>2891</v>
      </c>
      <c r="B1041" s="5" t="s">
        <v>20</v>
      </c>
      <c r="C1041" s="6" t="s">
        <v>92</v>
      </c>
      <c r="D1041" s="5" t="s">
        <v>174</v>
      </c>
      <c r="E1041" s="5" t="s">
        <v>27</v>
      </c>
      <c r="F1041" s="5" t="s">
        <v>164</v>
      </c>
      <c r="G1041" s="5" t="s">
        <v>54</v>
      </c>
      <c r="H1041" s="5" t="s">
        <v>33</v>
      </c>
      <c r="I1041" s="6" t="s">
        <v>180</v>
      </c>
      <c r="J1041" s="8">
        <v>15.17</v>
      </c>
      <c r="K1041" s="5" t="str">
        <f t="shared" si="1"/>
        <v>Delhi -&gt; Chennai</v>
      </c>
    </row>
    <row r="1042" ht="15.75" customHeight="1">
      <c r="A1042" s="5" t="s">
        <v>900</v>
      </c>
      <c r="B1042" s="5" t="s">
        <v>20</v>
      </c>
      <c r="C1042" s="6" t="s">
        <v>2893</v>
      </c>
      <c r="D1042" s="5" t="s">
        <v>195</v>
      </c>
      <c r="E1042" s="5" t="s">
        <v>31</v>
      </c>
      <c r="F1042" s="5" t="s">
        <v>27</v>
      </c>
      <c r="G1042" s="5" t="s">
        <v>33</v>
      </c>
      <c r="H1042" s="5" t="s">
        <v>54</v>
      </c>
      <c r="I1042" s="6">
        <v>1.0</v>
      </c>
      <c r="J1042" s="8">
        <v>10.5</v>
      </c>
      <c r="K1042" s="5" t="str">
        <f t="shared" si="1"/>
        <v>Mumbai -&gt; Delhi</v>
      </c>
    </row>
    <row r="1043" ht="15.75" customHeight="1">
      <c r="A1043" s="5" t="s">
        <v>868</v>
      </c>
      <c r="B1043" s="5" t="s">
        <v>20</v>
      </c>
      <c r="C1043" s="6" t="s">
        <v>2894</v>
      </c>
      <c r="D1043" s="5" t="s">
        <v>195</v>
      </c>
      <c r="E1043" s="5" t="s">
        <v>31</v>
      </c>
      <c r="F1043" s="5" t="s">
        <v>27</v>
      </c>
      <c r="G1043" s="5" t="s">
        <v>33</v>
      </c>
      <c r="H1043" s="5" t="s">
        <v>54</v>
      </c>
      <c r="I1043" s="6">
        <v>1.0</v>
      </c>
      <c r="J1043" s="8">
        <v>10.75</v>
      </c>
      <c r="K1043" s="5" t="str">
        <f t="shared" si="1"/>
        <v>Mumbai -&gt; Delhi</v>
      </c>
    </row>
    <row r="1044" ht="15.75" customHeight="1">
      <c r="A1044" s="5" t="s">
        <v>925</v>
      </c>
      <c r="B1044" s="5" t="s">
        <v>45</v>
      </c>
      <c r="C1044" s="6" t="s">
        <v>2897</v>
      </c>
      <c r="D1044" s="5" t="s">
        <v>195</v>
      </c>
      <c r="E1044" s="5" t="s">
        <v>31</v>
      </c>
      <c r="F1044" s="5" t="s">
        <v>27</v>
      </c>
      <c r="G1044" s="5" t="s">
        <v>54</v>
      </c>
      <c r="H1044" s="5" t="s">
        <v>35</v>
      </c>
      <c r="I1044" s="6">
        <v>1.0</v>
      </c>
      <c r="J1044" s="8">
        <v>8.58</v>
      </c>
      <c r="K1044" s="5" t="str">
        <f t="shared" si="1"/>
        <v>Mumbai -&gt; Delhi</v>
      </c>
    </row>
    <row r="1045" ht="15.75" customHeight="1">
      <c r="A1045" s="5" t="s">
        <v>875</v>
      </c>
      <c r="B1045" s="5" t="s">
        <v>58</v>
      </c>
      <c r="C1045" s="6" t="s">
        <v>2899</v>
      </c>
      <c r="D1045" s="5" t="s">
        <v>195</v>
      </c>
      <c r="E1045" s="5" t="s">
        <v>31</v>
      </c>
      <c r="F1045" s="5" t="s">
        <v>27</v>
      </c>
      <c r="G1045" s="5" t="s">
        <v>33</v>
      </c>
      <c r="H1045" s="5" t="s">
        <v>33</v>
      </c>
      <c r="I1045" s="6">
        <v>0.0</v>
      </c>
      <c r="J1045" s="8">
        <v>2.17</v>
      </c>
      <c r="K1045" s="5" t="str">
        <f t="shared" si="1"/>
        <v>Mumbai -&gt; Delhi</v>
      </c>
    </row>
    <row r="1046" ht="15.75" customHeight="1">
      <c r="A1046" s="5" t="s">
        <v>963</v>
      </c>
      <c r="B1046" s="5" t="s">
        <v>58</v>
      </c>
      <c r="C1046" s="6" t="s">
        <v>2901</v>
      </c>
      <c r="D1046" s="5" t="s">
        <v>195</v>
      </c>
      <c r="E1046" s="5" t="s">
        <v>31</v>
      </c>
      <c r="F1046" s="5" t="s">
        <v>27</v>
      </c>
      <c r="G1046" s="5" t="s">
        <v>33</v>
      </c>
      <c r="H1046" s="5" t="s">
        <v>54</v>
      </c>
      <c r="I1046" s="6">
        <v>1.0</v>
      </c>
      <c r="J1046" s="8">
        <v>9.17</v>
      </c>
      <c r="K1046" s="5" t="str">
        <f t="shared" si="1"/>
        <v>Mumbai -&gt; Delhi</v>
      </c>
    </row>
    <row r="1047" ht="15.75" customHeight="1">
      <c r="A1047" s="5" t="s">
        <v>873</v>
      </c>
      <c r="B1047" s="5" t="s">
        <v>45</v>
      </c>
      <c r="C1047" s="6" t="s">
        <v>2903</v>
      </c>
      <c r="D1047" s="5" t="s">
        <v>195</v>
      </c>
      <c r="E1047" s="5" t="s">
        <v>31</v>
      </c>
      <c r="F1047" s="5" t="s">
        <v>27</v>
      </c>
      <c r="G1047" s="5" t="s">
        <v>54</v>
      </c>
      <c r="H1047" s="5" t="s">
        <v>35</v>
      </c>
      <c r="I1047" s="6">
        <v>1.0</v>
      </c>
      <c r="J1047" s="8">
        <v>27.17</v>
      </c>
      <c r="K1047" s="5" t="str">
        <f t="shared" si="1"/>
        <v>Mumbai -&gt; Delhi</v>
      </c>
    </row>
    <row r="1048" ht="15.75" customHeight="1">
      <c r="A1048" s="5" t="s">
        <v>911</v>
      </c>
      <c r="B1048" s="5" t="s">
        <v>43</v>
      </c>
      <c r="C1048" s="6" t="s">
        <v>2905</v>
      </c>
      <c r="D1048" s="5" t="s">
        <v>195</v>
      </c>
      <c r="E1048" s="5" t="s">
        <v>31</v>
      </c>
      <c r="F1048" s="5" t="s">
        <v>27</v>
      </c>
      <c r="G1048" s="5" t="s">
        <v>33</v>
      </c>
      <c r="H1048" s="5" t="s">
        <v>33</v>
      </c>
      <c r="I1048" s="6">
        <v>0.0</v>
      </c>
      <c r="J1048" s="8">
        <v>2.08</v>
      </c>
      <c r="K1048" s="5" t="str">
        <f t="shared" si="1"/>
        <v>Mumbai -&gt; Delhi</v>
      </c>
    </row>
    <row r="1049" ht="15.75" customHeight="1">
      <c r="A1049" s="5" t="s">
        <v>959</v>
      </c>
      <c r="B1049" s="5" t="s">
        <v>45</v>
      </c>
      <c r="C1049" s="6" t="s">
        <v>2907</v>
      </c>
      <c r="D1049" s="5" t="s">
        <v>195</v>
      </c>
      <c r="E1049" s="5" t="s">
        <v>31</v>
      </c>
      <c r="F1049" s="5" t="s">
        <v>27</v>
      </c>
      <c r="G1049" s="5" t="s">
        <v>33</v>
      </c>
      <c r="H1049" s="5" t="s">
        <v>35</v>
      </c>
      <c r="I1049" s="6">
        <v>1.0</v>
      </c>
      <c r="J1049" s="8">
        <v>11.75</v>
      </c>
      <c r="K1049" s="5" t="str">
        <f t="shared" si="1"/>
        <v>Mumbai -&gt; Delhi</v>
      </c>
    </row>
    <row r="1050" ht="15.75" customHeight="1">
      <c r="A1050" s="5" t="s">
        <v>921</v>
      </c>
      <c r="B1050" s="5" t="s">
        <v>43</v>
      </c>
      <c r="C1050" s="6" t="s">
        <v>2909</v>
      </c>
      <c r="D1050" s="5" t="s">
        <v>195</v>
      </c>
      <c r="E1050" s="5" t="s">
        <v>31</v>
      </c>
      <c r="F1050" s="5" t="s">
        <v>27</v>
      </c>
      <c r="G1050" s="5" t="s">
        <v>47</v>
      </c>
      <c r="H1050" s="5" t="s">
        <v>54</v>
      </c>
      <c r="I1050" s="6" t="s">
        <v>37</v>
      </c>
      <c r="J1050" s="8">
        <v>2.17</v>
      </c>
      <c r="K1050" s="5" t="str">
        <f t="shared" si="1"/>
        <v>Mumbai -&gt; Delhi</v>
      </c>
    </row>
    <row r="1051" ht="15.75" customHeight="1">
      <c r="A1051" s="5" t="s">
        <v>934</v>
      </c>
      <c r="B1051" s="5" t="s">
        <v>43</v>
      </c>
      <c r="C1051" s="6" t="s">
        <v>2910</v>
      </c>
      <c r="D1051" s="5" t="s">
        <v>195</v>
      </c>
      <c r="E1051" s="5" t="s">
        <v>31</v>
      </c>
      <c r="F1051" s="5" t="s">
        <v>27</v>
      </c>
      <c r="G1051" s="5" t="s">
        <v>33</v>
      </c>
      <c r="H1051" s="5" t="s">
        <v>33</v>
      </c>
      <c r="I1051" s="6">
        <v>0.0</v>
      </c>
      <c r="J1051" s="8">
        <v>2.17</v>
      </c>
      <c r="K1051" s="5" t="str">
        <f t="shared" si="1"/>
        <v>Mumbai -&gt; Delhi</v>
      </c>
    </row>
    <row r="1052" ht="15.75" customHeight="1">
      <c r="A1052" s="5" t="s">
        <v>856</v>
      </c>
      <c r="B1052" s="5" t="s">
        <v>45</v>
      </c>
      <c r="C1052" s="6" t="s">
        <v>188</v>
      </c>
      <c r="D1052" s="5" t="s">
        <v>195</v>
      </c>
      <c r="E1052" s="5" t="s">
        <v>31</v>
      </c>
      <c r="F1052" s="5" t="s">
        <v>27</v>
      </c>
      <c r="G1052" s="5" t="s">
        <v>35</v>
      </c>
      <c r="H1052" s="5" t="s">
        <v>35</v>
      </c>
      <c r="I1052" s="6">
        <v>0.0</v>
      </c>
      <c r="J1052" s="8">
        <v>2.25</v>
      </c>
      <c r="K1052" s="5" t="str">
        <f t="shared" si="1"/>
        <v>Mumbai -&gt; Delhi</v>
      </c>
    </row>
    <row r="1053" ht="15.75" customHeight="1">
      <c r="A1053" s="5" t="s">
        <v>881</v>
      </c>
      <c r="B1053" s="5" t="s">
        <v>45</v>
      </c>
      <c r="C1053" s="6" t="s">
        <v>204</v>
      </c>
      <c r="D1053" s="5" t="s">
        <v>195</v>
      </c>
      <c r="E1053" s="5" t="s">
        <v>31</v>
      </c>
      <c r="F1053" s="5" t="s">
        <v>27</v>
      </c>
      <c r="G1053" s="5" t="s">
        <v>33</v>
      </c>
      <c r="H1053" s="5" t="s">
        <v>35</v>
      </c>
      <c r="I1053" s="6">
        <v>1.0</v>
      </c>
      <c r="J1053" s="8">
        <v>11.0</v>
      </c>
      <c r="K1053" s="5" t="str">
        <f t="shared" si="1"/>
        <v>Mumbai -&gt; Delhi</v>
      </c>
    </row>
    <row r="1054" ht="15.75" customHeight="1">
      <c r="A1054" s="5" t="s">
        <v>949</v>
      </c>
      <c r="B1054" s="5" t="s">
        <v>43</v>
      </c>
      <c r="C1054" s="6" t="s">
        <v>2913</v>
      </c>
      <c r="D1054" s="5" t="s">
        <v>195</v>
      </c>
      <c r="E1054" s="5" t="s">
        <v>31</v>
      </c>
      <c r="F1054" s="5" t="s">
        <v>27</v>
      </c>
      <c r="G1054" s="5" t="s">
        <v>33</v>
      </c>
      <c r="H1054" s="5" t="s">
        <v>54</v>
      </c>
      <c r="I1054" s="6">
        <v>1.0</v>
      </c>
      <c r="J1054" s="8">
        <v>8.08</v>
      </c>
      <c r="K1054" s="5" t="str">
        <f t="shared" si="1"/>
        <v>Mumbai -&gt; Delhi</v>
      </c>
    </row>
    <row r="1055" ht="15.75" customHeight="1">
      <c r="A1055" s="5" t="s">
        <v>870</v>
      </c>
      <c r="B1055" s="5" t="s">
        <v>45</v>
      </c>
      <c r="C1055" s="6" t="s">
        <v>211</v>
      </c>
      <c r="D1055" s="5" t="s">
        <v>195</v>
      </c>
      <c r="E1055" s="5" t="s">
        <v>31</v>
      </c>
      <c r="F1055" s="5" t="s">
        <v>27</v>
      </c>
      <c r="G1055" s="5" t="s">
        <v>33</v>
      </c>
      <c r="H1055" s="5" t="s">
        <v>35</v>
      </c>
      <c r="I1055" s="6">
        <v>1.0</v>
      </c>
      <c r="J1055" s="8">
        <v>13.0</v>
      </c>
      <c r="K1055" s="5" t="str">
        <f t="shared" si="1"/>
        <v>Mumbai -&gt; Delhi</v>
      </c>
    </row>
    <row r="1056" ht="15.75" customHeight="1">
      <c r="A1056" s="5" t="s">
        <v>908</v>
      </c>
      <c r="B1056" s="5" t="s">
        <v>58</v>
      </c>
      <c r="C1056" s="6" t="s">
        <v>2915</v>
      </c>
      <c r="D1056" s="5" t="s">
        <v>195</v>
      </c>
      <c r="E1056" s="5" t="s">
        <v>31</v>
      </c>
      <c r="F1056" s="5" t="s">
        <v>27</v>
      </c>
      <c r="G1056" s="5" t="s">
        <v>33</v>
      </c>
      <c r="H1056" s="5" t="s">
        <v>54</v>
      </c>
      <c r="I1056" s="6" t="s">
        <v>180</v>
      </c>
      <c r="J1056" s="8">
        <v>7.25</v>
      </c>
      <c r="K1056" s="5" t="str">
        <f t="shared" si="1"/>
        <v>Mumbai -&gt; Delhi</v>
      </c>
    </row>
    <row r="1057" ht="15.75" customHeight="1">
      <c r="A1057" s="5" t="s">
        <v>895</v>
      </c>
      <c r="B1057" s="5" t="s">
        <v>58</v>
      </c>
      <c r="C1057" s="6" t="s">
        <v>2917</v>
      </c>
      <c r="D1057" s="5" t="s">
        <v>195</v>
      </c>
      <c r="E1057" s="5" t="s">
        <v>31</v>
      </c>
      <c r="F1057" s="5" t="s">
        <v>27</v>
      </c>
      <c r="G1057" s="5" t="s">
        <v>33</v>
      </c>
      <c r="H1057" s="5" t="s">
        <v>54</v>
      </c>
      <c r="I1057" s="6">
        <v>1.0</v>
      </c>
      <c r="J1057" s="8">
        <v>11.33</v>
      </c>
      <c r="K1057" s="5" t="str">
        <f t="shared" si="1"/>
        <v>Mumbai -&gt; Delhi</v>
      </c>
    </row>
    <row r="1058" ht="15.75" customHeight="1">
      <c r="A1058" s="5" t="s">
        <v>967</v>
      </c>
      <c r="B1058" s="5" t="s">
        <v>58</v>
      </c>
      <c r="C1058" s="6" t="s">
        <v>2918</v>
      </c>
      <c r="D1058" s="5" t="s">
        <v>195</v>
      </c>
      <c r="E1058" s="5" t="s">
        <v>31</v>
      </c>
      <c r="F1058" s="5" t="s">
        <v>27</v>
      </c>
      <c r="G1058" s="5" t="s">
        <v>47</v>
      </c>
      <c r="H1058" s="5" t="s">
        <v>35</v>
      </c>
      <c r="I1058" s="6">
        <v>1.0</v>
      </c>
      <c r="J1058" s="8">
        <v>9.08</v>
      </c>
      <c r="K1058" s="5" t="str">
        <f t="shared" si="1"/>
        <v>Mumbai -&gt; Delhi</v>
      </c>
    </row>
    <row r="1059" ht="15.75" customHeight="1">
      <c r="A1059" s="5" t="s">
        <v>878</v>
      </c>
      <c r="B1059" s="5" t="s">
        <v>72</v>
      </c>
      <c r="C1059" s="6" t="s">
        <v>2646</v>
      </c>
      <c r="D1059" s="5" t="s">
        <v>195</v>
      </c>
      <c r="E1059" s="5" t="s">
        <v>31</v>
      </c>
      <c r="F1059" s="5" t="s">
        <v>27</v>
      </c>
      <c r="G1059" s="5" t="s">
        <v>33</v>
      </c>
      <c r="H1059" s="5" t="s">
        <v>33</v>
      </c>
      <c r="I1059" s="6">
        <v>0.0</v>
      </c>
      <c r="J1059" s="8">
        <v>2.25</v>
      </c>
      <c r="K1059" s="5" t="str">
        <f t="shared" si="1"/>
        <v>Mumbai -&gt; Delhi</v>
      </c>
    </row>
    <row r="1060" ht="15.75" customHeight="1">
      <c r="A1060" s="5" t="s">
        <v>977</v>
      </c>
      <c r="B1060" s="5" t="s">
        <v>45</v>
      </c>
      <c r="C1060" s="6" t="s">
        <v>204</v>
      </c>
      <c r="D1060" s="5" t="s">
        <v>195</v>
      </c>
      <c r="E1060" s="5" t="s">
        <v>31</v>
      </c>
      <c r="F1060" s="5" t="s">
        <v>27</v>
      </c>
      <c r="G1060" s="5" t="s">
        <v>33</v>
      </c>
      <c r="H1060" s="5" t="s">
        <v>33</v>
      </c>
      <c r="I1060" s="6">
        <v>1.0</v>
      </c>
      <c r="J1060" s="8">
        <v>25.42</v>
      </c>
      <c r="K1060" s="5" t="str">
        <f t="shared" si="1"/>
        <v>Mumbai -&gt; Delhi</v>
      </c>
    </row>
    <row r="1061" ht="15.75" customHeight="1">
      <c r="A1061" s="5" t="s">
        <v>862</v>
      </c>
      <c r="B1061" s="5" t="s">
        <v>20</v>
      </c>
      <c r="C1061" s="6" t="s">
        <v>231</v>
      </c>
      <c r="D1061" s="5" t="s">
        <v>195</v>
      </c>
      <c r="E1061" s="5" t="s">
        <v>31</v>
      </c>
      <c r="F1061" s="5" t="s">
        <v>27</v>
      </c>
      <c r="G1061" s="5" t="s">
        <v>33</v>
      </c>
      <c r="H1061" s="5" t="s">
        <v>35</v>
      </c>
      <c r="I1061" s="6">
        <v>1.0</v>
      </c>
      <c r="J1061" s="8">
        <v>15.42</v>
      </c>
      <c r="K1061" s="5" t="str">
        <f t="shared" si="1"/>
        <v>Mumbai -&gt; Delhi</v>
      </c>
    </row>
    <row r="1062" ht="15.75" customHeight="1">
      <c r="A1062" s="5" t="s">
        <v>930</v>
      </c>
      <c r="B1062" s="5" t="s">
        <v>58</v>
      </c>
      <c r="C1062" s="6" t="s">
        <v>2925</v>
      </c>
      <c r="D1062" s="5" t="s">
        <v>195</v>
      </c>
      <c r="E1062" s="5" t="s">
        <v>31</v>
      </c>
      <c r="F1062" s="5" t="s">
        <v>27</v>
      </c>
      <c r="G1062" s="5" t="s">
        <v>54</v>
      </c>
      <c r="H1062" s="5" t="s">
        <v>33</v>
      </c>
      <c r="I1062" s="6">
        <v>1.0</v>
      </c>
      <c r="J1062" s="8">
        <v>11.58</v>
      </c>
      <c r="K1062" s="5" t="str">
        <f t="shared" si="1"/>
        <v>Mumbai -&gt; Delhi</v>
      </c>
    </row>
    <row r="1063" ht="15.75" customHeight="1">
      <c r="A1063" s="5" t="s">
        <v>892</v>
      </c>
      <c r="B1063" s="5" t="s">
        <v>58</v>
      </c>
      <c r="C1063" s="6" t="s">
        <v>2926</v>
      </c>
      <c r="D1063" s="5" t="s">
        <v>195</v>
      </c>
      <c r="E1063" s="5" t="s">
        <v>31</v>
      </c>
      <c r="F1063" s="5" t="s">
        <v>27</v>
      </c>
      <c r="G1063" s="5" t="s">
        <v>33</v>
      </c>
      <c r="H1063" s="5" t="s">
        <v>47</v>
      </c>
      <c r="I1063" s="6">
        <v>1.0</v>
      </c>
      <c r="J1063" s="8">
        <v>5.75</v>
      </c>
      <c r="K1063" s="5" t="str">
        <f t="shared" si="1"/>
        <v>Mumbai -&gt; Delhi</v>
      </c>
    </row>
    <row r="1064" ht="15.75" customHeight="1">
      <c r="A1064" s="5" t="s">
        <v>914</v>
      </c>
      <c r="B1064" s="5" t="s">
        <v>29</v>
      </c>
      <c r="C1064" s="6" t="s">
        <v>2928</v>
      </c>
      <c r="D1064" s="5" t="s">
        <v>195</v>
      </c>
      <c r="E1064" s="5" t="s">
        <v>31</v>
      </c>
      <c r="F1064" s="5" t="s">
        <v>27</v>
      </c>
      <c r="G1064" s="5" t="s">
        <v>54</v>
      </c>
      <c r="H1064" s="5" t="s">
        <v>35</v>
      </c>
      <c r="I1064" s="6">
        <v>1.0</v>
      </c>
      <c r="J1064" s="8">
        <v>6.67</v>
      </c>
      <c r="K1064" s="5" t="str">
        <f t="shared" si="1"/>
        <v>Mumbai -&gt; Delhi</v>
      </c>
    </row>
    <row r="1065" ht="15.75" customHeight="1">
      <c r="A1065" s="5" t="s">
        <v>884</v>
      </c>
      <c r="B1065" s="5" t="s">
        <v>45</v>
      </c>
      <c r="C1065" s="6" t="s">
        <v>2929</v>
      </c>
      <c r="D1065" s="5" t="s">
        <v>195</v>
      </c>
      <c r="E1065" s="5" t="s">
        <v>31</v>
      </c>
      <c r="F1065" s="5" t="s">
        <v>27</v>
      </c>
      <c r="G1065" s="5" t="s">
        <v>47</v>
      </c>
      <c r="H1065" s="5" t="s">
        <v>54</v>
      </c>
      <c r="I1065" s="6">
        <v>1.0</v>
      </c>
      <c r="J1065" s="8">
        <v>27.33</v>
      </c>
      <c r="K1065" s="5" t="str">
        <f t="shared" si="1"/>
        <v>Mumbai -&gt; Delhi</v>
      </c>
    </row>
    <row r="1066" ht="15.75" customHeight="1">
      <c r="A1066" s="5" t="s">
        <v>937</v>
      </c>
      <c r="B1066" s="5" t="s">
        <v>43</v>
      </c>
      <c r="C1066" s="6" t="s">
        <v>2931</v>
      </c>
      <c r="D1066" s="5" t="s">
        <v>195</v>
      </c>
      <c r="E1066" s="5" t="s">
        <v>31</v>
      </c>
      <c r="F1066" s="5" t="s">
        <v>27</v>
      </c>
      <c r="G1066" s="5" t="s">
        <v>33</v>
      </c>
      <c r="H1066" s="5" t="s">
        <v>33</v>
      </c>
      <c r="I1066" s="6">
        <v>0.0</v>
      </c>
      <c r="J1066" s="8">
        <v>2.25</v>
      </c>
      <c r="K1066" s="5" t="str">
        <f t="shared" si="1"/>
        <v>Mumbai -&gt; Delhi</v>
      </c>
    </row>
    <row r="1067" ht="15.75" customHeight="1">
      <c r="A1067" s="5" t="s">
        <v>853</v>
      </c>
      <c r="B1067" s="5" t="s">
        <v>58</v>
      </c>
      <c r="C1067" s="6" t="s">
        <v>2932</v>
      </c>
      <c r="D1067" s="5" t="s">
        <v>195</v>
      </c>
      <c r="E1067" s="5" t="s">
        <v>31</v>
      </c>
      <c r="F1067" s="5" t="s">
        <v>27</v>
      </c>
      <c r="G1067" s="5" t="s">
        <v>54</v>
      </c>
      <c r="H1067" s="5" t="s">
        <v>35</v>
      </c>
      <c r="I1067" s="6">
        <v>0.0</v>
      </c>
      <c r="J1067" s="8">
        <v>2.17</v>
      </c>
      <c r="K1067" s="5" t="str">
        <f t="shared" si="1"/>
        <v>Mumbai -&gt; Delhi</v>
      </c>
    </row>
    <row r="1068" ht="15.75" customHeight="1">
      <c r="A1068" s="5" t="s">
        <v>889</v>
      </c>
      <c r="B1068" s="5" t="s">
        <v>45</v>
      </c>
      <c r="C1068" s="6" t="s">
        <v>2934</v>
      </c>
      <c r="D1068" s="5" t="s">
        <v>195</v>
      </c>
      <c r="E1068" s="5" t="s">
        <v>31</v>
      </c>
      <c r="F1068" s="5" t="s">
        <v>27</v>
      </c>
      <c r="G1068" s="5" t="s">
        <v>33</v>
      </c>
      <c r="H1068" s="5" t="s">
        <v>47</v>
      </c>
      <c r="I1068" s="6">
        <v>1.0</v>
      </c>
      <c r="J1068" s="8">
        <v>7.67</v>
      </c>
      <c r="K1068" s="5" t="str">
        <f t="shared" si="1"/>
        <v>Mumbai -&gt; Delhi</v>
      </c>
    </row>
    <row r="1069" ht="15.75" customHeight="1">
      <c r="A1069" s="5" t="s">
        <v>941</v>
      </c>
      <c r="B1069" s="5" t="s">
        <v>58</v>
      </c>
      <c r="C1069" s="6" t="s">
        <v>2935</v>
      </c>
      <c r="D1069" s="5" t="s">
        <v>195</v>
      </c>
      <c r="E1069" s="5" t="s">
        <v>31</v>
      </c>
      <c r="F1069" s="5" t="s">
        <v>27</v>
      </c>
      <c r="G1069" s="5" t="s">
        <v>35</v>
      </c>
      <c r="H1069" s="5" t="s">
        <v>35</v>
      </c>
      <c r="I1069" s="6">
        <v>0.0</v>
      </c>
      <c r="J1069" s="8">
        <v>2.25</v>
      </c>
      <c r="K1069" s="5" t="str">
        <f t="shared" si="1"/>
        <v>Mumbai -&gt; Delhi</v>
      </c>
    </row>
    <row r="1070" ht="15.75" customHeight="1">
      <c r="A1070" s="5" t="s">
        <v>859</v>
      </c>
      <c r="B1070" s="5" t="s">
        <v>20</v>
      </c>
      <c r="C1070" s="6" t="s">
        <v>278</v>
      </c>
      <c r="D1070" s="5" t="s">
        <v>195</v>
      </c>
      <c r="E1070" s="5" t="s">
        <v>31</v>
      </c>
      <c r="F1070" s="5" t="s">
        <v>27</v>
      </c>
      <c r="G1070" s="5" t="s">
        <v>47</v>
      </c>
      <c r="H1070" s="5" t="s">
        <v>47</v>
      </c>
      <c r="I1070" s="6">
        <v>0.0</v>
      </c>
      <c r="J1070" s="8">
        <v>2.08</v>
      </c>
      <c r="K1070" s="5" t="str">
        <f t="shared" si="1"/>
        <v>Mumbai -&gt; Delhi</v>
      </c>
    </row>
    <row r="1071" ht="15.75" customHeight="1">
      <c r="A1071" s="5" t="s">
        <v>918</v>
      </c>
      <c r="B1071" s="5" t="s">
        <v>58</v>
      </c>
      <c r="C1071" s="6" t="s">
        <v>2937</v>
      </c>
      <c r="D1071" s="5" t="s">
        <v>195</v>
      </c>
      <c r="E1071" s="5" t="s">
        <v>31</v>
      </c>
      <c r="F1071" s="5" t="s">
        <v>27</v>
      </c>
      <c r="G1071" s="5" t="s">
        <v>54</v>
      </c>
      <c r="H1071" s="5" t="s">
        <v>35</v>
      </c>
      <c r="I1071" s="6">
        <v>1.0</v>
      </c>
      <c r="J1071" s="8">
        <v>9.83</v>
      </c>
      <c r="K1071" s="5" t="str">
        <f t="shared" si="1"/>
        <v>Mumbai -&gt; Delhi</v>
      </c>
    </row>
    <row r="1072" ht="15.75" customHeight="1">
      <c r="A1072" s="5" t="s">
        <v>2939</v>
      </c>
      <c r="B1072" s="5" t="s">
        <v>45</v>
      </c>
      <c r="C1072" s="6" t="s">
        <v>2940</v>
      </c>
      <c r="D1072" s="5" t="s">
        <v>195</v>
      </c>
      <c r="E1072" s="5" t="s">
        <v>31</v>
      </c>
      <c r="F1072" s="5" t="s">
        <v>27</v>
      </c>
      <c r="G1072" s="5" t="s">
        <v>33</v>
      </c>
      <c r="H1072" s="5" t="s">
        <v>47</v>
      </c>
      <c r="I1072" s="6">
        <v>1.0</v>
      </c>
      <c r="J1072" s="8">
        <v>27.5</v>
      </c>
      <c r="K1072" s="5" t="str">
        <f t="shared" si="1"/>
        <v>Mumbai -&gt; Delhi</v>
      </c>
    </row>
    <row r="1073" ht="15.75" customHeight="1">
      <c r="A1073" s="5" t="s">
        <v>886</v>
      </c>
      <c r="B1073" s="5" t="s">
        <v>45</v>
      </c>
      <c r="C1073" s="6" t="s">
        <v>2941</v>
      </c>
      <c r="D1073" s="5" t="s">
        <v>195</v>
      </c>
      <c r="E1073" s="5" t="s">
        <v>31</v>
      </c>
      <c r="F1073" s="5" t="s">
        <v>27</v>
      </c>
      <c r="G1073" s="5" t="s">
        <v>35</v>
      </c>
      <c r="H1073" s="5" t="s">
        <v>35</v>
      </c>
      <c r="I1073" s="6">
        <v>1.0</v>
      </c>
      <c r="J1073" s="8">
        <v>24.0</v>
      </c>
      <c r="K1073" s="5" t="str">
        <f t="shared" si="1"/>
        <v>Mumbai -&gt; Delhi</v>
      </c>
    </row>
    <row r="1074" ht="15.75" customHeight="1">
      <c r="A1074" s="5" t="s">
        <v>903</v>
      </c>
      <c r="B1074" s="5" t="s">
        <v>45</v>
      </c>
      <c r="C1074" s="6" t="s">
        <v>2942</v>
      </c>
      <c r="D1074" s="5" t="s">
        <v>195</v>
      </c>
      <c r="E1074" s="5" t="s">
        <v>31</v>
      </c>
      <c r="F1074" s="5" t="s">
        <v>27</v>
      </c>
      <c r="G1074" s="5" t="s">
        <v>54</v>
      </c>
      <c r="H1074" s="5" t="s">
        <v>54</v>
      </c>
      <c r="I1074" s="6">
        <v>1.0</v>
      </c>
      <c r="J1074" s="8">
        <v>22.25</v>
      </c>
      <c r="K1074" s="5" t="str">
        <f t="shared" si="1"/>
        <v>Mumbai -&gt; Delhi</v>
      </c>
    </row>
    <row r="1075" ht="15.75" customHeight="1">
      <c r="A1075" s="5" t="s">
        <v>945</v>
      </c>
      <c r="B1075" s="5" t="s">
        <v>29</v>
      </c>
      <c r="C1075" s="6" t="s">
        <v>162</v>
      </c>
      <c r="D1075" s="5" t="s">
        <v>195</v>
      </c>
      <c r="E1075" s="5" t="s">
        <v>31</v>
      </c>
      <c r="F1075" s="5" t="s">
        <v>27</v>
      </c>
      <c r="G1075" s="5" t="s">
        <v>35</v>
      </c>
      <c r="H1075" s="5" t="s">
        <v>33</v>
      </c>
      <c r="I1075" s="6">
        <v>1.0</v>
      </c>
      <c r="J1075" s="8">
        <v>12.75</v>
      </c>
      <c r="K1075" s="5" t="str">
        <f t="shared" si="1"/>
        <v>Mumbai -&gt; Delhi</v>
      </c>
    </row>
    <row r="1076" ht="15.75" customHeight="1">
      <c r="A1076" s="5" t="s">
        <v>955</v>
      </c>
      <c r="B1076" s="5" t="s">
        <v>45</v>
      </c>
      <c r="C1076" s="6" t="s">
        <v>2945</v>
      </c>
      <c r="D1076" s="5" t="s">
        <v>195</v>
      </c>
      <c r="E1076" s="5" t="s">
        <v>31</v>
      </c>
      <c r="F1076" s="5" t="s">
        <v>27</v>
      </c>
      <c r="G1076" s="5" t="s">
        <v>54</v>
      </c>
      <c r="H1076" s="5" t="s">
        <v>35</v>
      </c>
      <c r="I1076" s="6">
        <v>1.0</v>
      </c>
      <c r="J1076" s="8">
        <v>4.0</v>
      </c>
      <c r="K1076" s="5" t="str">
        <f t="shared" si="1"/>
        <v>Mumbai -&gt; Delhi</v>
      </c>
    </row>
    <row r="1077" ht="15.75" customHeight="1">
      <c r="A1077" s="5" t="s">
        <v>972</v>
      </c>
      <c r="B1077" s="5" t="s">
        <v>45</v>
      </c>
      <c r="C1077" s="6" t="s">
        <v>2946</v>
      </c>
      <c r="D1077" s="5" t="s">
        <v>195</v>
      </c>
      <c r="E1077" s="5" t="s">
        <v>31</v>
      </c>
      <c r="F1077" s="5" t="s">
        <v>27</v>
      </c>
      <c r="G1077" s="5" t="s">
        <v>33</v>
      </c>
      <c r="H1077" s="5" t="s">
        <v>33</v>
      </c>
      <c r="I1077" s="6">
        <v>1.0</v>
      </c>
      <c r="J1077" s="8">
        <v>4.58</v>
      </c>
      <c r="K1077" s="5" t="str">
        <f t="shared" si="1"/>
        <v>Mumbai -&gt; Delhi</v>
      </c>
    </row>
    <row r="1078" ht="15.75" customHeight="1">
      <c r="A1078" s="5" t="s">
        <v>952</v>
      </c>
      <c r="B1078" s="5" t="s">
        <v>43</v>
      </c>
      <c r="C1078" s="6">
        <v>6.0E-296</v>
      </c>
      <c r="D1078" s="5" t="s">
        <v>195</v>
      </c>
      <c r="E1078" s="5" t="s">
        <v>31</v>
      </c>
      <c r="F1078" s="5" t="s">
        <v>27</v>
      </c>
      <c r="G1078" s="5" t="s">
        <v>35</v>
      </c>
      <c r="H1078" s="5" t="s">
        <v>33</v>
      </c>
      <c r="I1078" s="6">
        <v>1.0</v>
      </c>
      <c r="J1078" s="8">
        <v>10.75</v>
      </c>
      <c r="K1078" s="5" t="str">
        <f t="shared" si="1"/>
        <v>Mumbai -&gt; Delhi</v>
      </c>
    </row>
    <row r="1079" ht="15.75" customHeight="1">
      <c r="A1079" s="5" t="s">
        <v>864</v>
      </c>
      <c r="B1079" s="5" t="s">
        <v>20</v>
      </c>
      <c r="C1079" s="6" t="s">
        <v>231</v>
      </c>
      <c r="D1079" s="5" t="s">
        <v>195</v>
      </c>
      <c r="E1079" s="5" t="s">
        <v>31</v>
      </c>
      <c r="F1079" s="5" t="s">
        <v>27</v>
      </c>
      <c r="G1079" s="5" t="s">
        <v>33</v>
      </c>
      <c r="H1079" s="5" t="s">
        <v>33</v>
      </c>
      <c r="I1079" s="6">
        <v>1.0</v>
      </c>
      <c r="J1079" s="8">
        <v>27.67</v>
      </c>
      <c r="K1079" s="5" t="str">
        <f t="shared" si="1"/>
        <v>Mumbai -&gt; Delhi</v>
      </c>
    </row>
    <row r="1080" ht="15.75" customHeight="1">
      <c r="A1080" s="5" t="s">
        <v>898</v>
      </c>
      <c r="B1080" s="5" t="s">
        <v>58</v>
      </c>
      <c r="C1080" s="6" t="s">
        <v>2949</v>
      </c>
      <c r="D1080" s="5" t="s">
        <v>195</v>
      </c>
      <c r="E1080" s="5" t="s">
        <v>31</v>
      </c>
      <c r="F1080" s="5" t="s">
        <v>27</v>
      </c>
      <c r="G1080" s="5" t="s">
        <v>33</v>
      </c>
      <c r="H1080" s="5" t="s">
        <v>35</v>
      </c>
      <c r="I1080" s="6" t="s">
        <v>180</v>
      </c>
      <c r="J1080" s="8">
        <v>11.5</v>
      </c>
      <c r="K1080" s="5" t="str">
        <f t="shared" si="1"/>
        <v>Mumbai -&gt; Delhi</v>
      </c>
    </row>
    <row r="1081" ht="15.75" customHeight="1">
      <c r="A1081" s="5" t="s">
        <v>906</v>
      </c>
      <c r="B1081" s="5" t="s">
        <v>58</v>
      </c>
      <c r="C1081" s="6" t="s">
        <v>2915</v>
      </c>
      <c r="D1081" s="5" t="s">
        <v>195</v>
      </c>
      <c r="E1081" s="5" t="s">
        <v>31</v>
      </c>
      <c r="F1081" s="5" t="s">
        <v>27</v>
      </c>
      <c r="G1081" s="5" t="s">
        <v>33</v>
      </c>
      <c r="H1081" s="5" t="s">
        <v>54</v>
      </c>
      <c r="I1081" s="6" t="s">
        <v>180</v>
      </c>
      <c r="J1081" s="8">
        <v>7.67</v>
      </c>
      <c r="K1081" s="5" t="str">
        <f t="shared" si="1"/>
        <v>Mumbai -&gt; Delhi</v>
      </c>
    </row>
    <row r="1082" ht="15.75" customHeight="1">
      <c r="A1082" s="5" t="s">
        <v>1093</v>
      </c>
      <c r="B1082" s="5" t="s">
        <v>20</v>
      </c>
      <c r="C1082" s="6" t="s">
        <v>2952</v>
      </c>
      <c r="D1082" s="5" t="s">
        <v>220</v>
      </c>
      <c r="E1082" s="5" t="s">
        <v>31</v>
      </c>
      <c r="F1082" s="5" t="s">
        <v>109</v>
      </c>
      <c r="G1082" s="5" t="s">
        <v>33</v>
      </c>
      <c r="H1082" s="5" t="s">
        <v>54</v>
      </c>
      <c r="I1082" s="6">
        <v>1.0</v>
      </c>
      <c r="J1082" s="8">
        <v>11.0</v>
      </c>
      <c r="K1082" s="5" t="str">
        <f t="shared" si="1"/>
        <v>Mumbai -&gt; Bengaluru</v>
      </c>
    </row>
    <row r="1083" ht="15.75" customHeight="1">
      <c r="A1083" s="5" t="s">
        <v>2953</v>
      </c>
      <c r="B1083" s="5" t="s">
        <v>20</v>
      </c>
      <c r="C1083" s="6" t="s">
        <v>2955</v>
      </c>
      <c r="D1083" s="5" t="s">
        <v>220</v>
      </c>
      <c r="E1083" s="5" t="s">
        <v>31</v>
      </c>
      <c r="F1083" s="5" t="s">
        <v>109</v>
      </c>
      <c r="G1083" s="5" t="s">
        <v>35</v>
      </c>
      <c r="H1083" s="5" t="s">
        <v>33</v>
      </c>
      <c r="I1083" s="6">
        <v>1.0</v>
      </c>
      <c r="J1083" s="8">
        <v>12.08</v>
      </c>
      <c r="K1083" s="5" t="str">
        <f t="shared" si="1"/>
        <v>Mumbai -&gt; Bengaluru</v>
      </c>
    </row>
    <row r="1084" ht="15.75" customHeight="1">
      <c r="A1084" s="5" t="s">
        <v>1005</v>
      </c>
      <c r="B1084" s="5" t="s">
        <v>58</v>
      </c>
      <c r="C1084" s="6" t="s">
        <v>2957</v>
      </c>
      <c r="D1084" s="5" t="s">
        <v>220</v>
      </c>
      <c r="E1084" s="5" t="s">
        <v>31</v>
      </c>
      <c r="F1084" s="5" t="s">
        <v>109</v>
      </c>
      <c r="G1084" s="5" t="s">
        <v>33</v>
      </c>
      <c r="H1084" s="5" t="s">
        <v>35</v>
      </c>
      <c r="I1084" s="6">
        <v>1.0</v>
      </c>
      <c r="J1084" s="8">
        <v>13.42</v>
      </c>
      <c r="K1084" s="5" t="str">
        <f t="shared" si="1"/>
        <v>Mumbai -&gt; Bengaluru</v>
      </c>
    </row>
    <row r="1085" ht="15.75" customHeight="1">
      <c r="A1085" s="5" t="s">
        <v>1114</v>
      </c>
      <c r="B1085" s="5" t="s">
        <v>20</v>
      </c>
      <c r="C1085" s="6" t="s">
        <v>2958</v>
      </c>
      <c r="D1085" s="5" t="s">
        <v>220</v>
      </c>
      <c r="E1085" s="5" t="s">
        <v>31</v>
      </c>
      <c r="F1085" s="5" t="s">
        <v>109</v>
      </c>
      <c r="G1085" s="5" t="s">
        <v>35</v>
      </c>
      <c r="H1085" s="5" t="s">
        <v>35</v>
      </c>
      <c r="I1085" s="6" t="s">
        <v>180</v>
      </c>
      <c r="J1085" s="8">
        <v>26.33</v>
      </c>
      <c r="K1085" s="5" t="str">
        <f t="shared" si="1"/>
        <v>Mumbai -&gt; Bengaluru</v>
      </c>
    </row>
    <row r="1086" ht="15.75" customHeight="1">
      <c r="A1086" s="5" t="s">
        <v>1077</v>
      </c>
      <c r="B1086" s="5" t="s">
        <v>58</v>
      </c>
      <c r="C1086" s="6" t="s">
        <v>2960</v>
      </c>
      <c r="D1086" s="5" t="s">
        <v>220</v>
      </c>
      <c r="E1086" s="5" t="s">
        <v>31</v>
      </c>
      <c r="F1086" s="5" t="s">
        <v>109</v>
      </c>
      <c r="G1086" s="5" t="s">
        <v>33</v>
      </c>
      <c r="H1086" s="5" t="s">
        <v>47</v>
      </c>
      <c r="I1086" s="6">
        <v>1.0</v>
      </c>
      <c r="J1086" s="8">
        <v>8.17</v>
      </c>
      <c r="K1086" s="5" t="str">
        <f t="shared" si="1"/>
        <v>Mumbai -&gt; Bengaluru</v>
      </c>
    </row>
    <row r="1087" ht="15.75" customHeight="1">
      <c r="A1087" s="5" t="s">
        <v>1184</v>
      </c>
      <c r="B1087" s="5" t="s">
        <v>45</v>
      </c>
      <c r="C1087" s="6" t="s">
        <v>191</v>
      </c>
      <c r="D1087" s="5" t="s">
        <v>220</v>
      </c>
      <c r="E1087" s="5" t="s">
        <v>31</v>
      </c>
      <c r="F1087" s="5" t="s">
        <v>109</v>
      </c>
      <c r="G1087" s="5" t="s">
        <v>33</v>
      </c>
      <c r="H1087" s="5" t="s">
        <v>35</v>
      </c>
      <c r="I1087" s="6" t="s">
        <v>180</v>
      </c>
      <c r="J1087" s="8">
        <v>13.92</v>
      </c>
      <c r="K1087" s="5" t="str">
        <f t="shared" si="1"/>
        <v>Mumbai -&gt; Bengaluru</v>
      </c>
    </row>
    <row r="1088" ht="15.75" customHeight="1">
      <c r="A1088" s="5" t="s">
        <v>1000</v>
      </c>
      <c r="B1088" s="5" t="s">
        <v>43</v>
      </c>
      <c r="C1088" s="6" t="s">
        <v>173</v>
      </c>
      <c r="D1088" s="5" t="s">
        <v>220</v>
      </c>
      <c r="E1088" s="5" t="s">
        <v>31</v>
      </c>
      <c r="F1088" s="5" t="s">
        <v>109</v>
      </c>
      <c r="G1088" s="5" t="s">
        <v>47</v>
      </c>
      <c r="H1088" s="5" t="s">
        <v>54</v>
      </c>
      <c r="I1088" s="6">
        <v>1.0</v>
      </c>
      <c r="J1088" s="8">
        <v>6.0</v>
      </c>
      <c r="K1088" s="5" t="str">
        <f t="shared" si="1"/>
        <v>Mumbai -&gt; Bengaluru</v>
      </c>
    </row>
    <row r="1089" ht="15.75" customHeight="1">
      <c r="A1089" s="5" t="s">
        <v>1019</v>
      </c>
      <c r="B1089" s="5" t="s">
        <v>43</v>
      </c>
      <c r="C1089" s="6" t="s">
        <v>2969</v>
      </c>
      <c r="D1089" s="5" t="s">
        <v>220</v>
      </c>
      <c r="E1089" s="5" t="s">
        <v>31</v>
      </c>
      <c r="F1089" s="5" t="s">
        <v>109</v>
      </c>
      <c r="G1089" s="5" t="s">
        <v>33</v>
      </c>
      <c r="H1089" s="5" t="s">
        <v>33</v>
      </c>
      <c r="I1089" s="6" t="s">
        <v>37</v>
      </c>
      <c r="J1089" s="8">
        <v>1.67</v>
      </c>
      <c r="K1089" s="5" t="str">
        <f t="shared" si="1"/>
        <v>Mumbai -&gt; Bengaluru</v>
      </c>
    </row>
    <row r="1090" ht="15.75" customHeight="1">
      <c r="A1090" s="5" t="s">
        <v>1181</v>
      </c>
      <c r="B1090" s="5" t="s">
        <v>20</v>
      </c>
      <c r="C1090" s="6" t="s">
        <v>2893</v>
      </c>
      <c r="D1090" s="5" t="s">
        <v>220</v>
      </c>
      <c r="E1090" s="5" t="s">
        <v>31</v>
      </c>
      <c r="F1090" s="5" t="s">
        <v>109</v>
      </c>
      <c r="G1090" s="5" t="s">
        <v>33</v>
      </c>
      <c r="H1090" s="5" t="s">
        <v>33</v>
      </c>
      <c r="I1090" s="6">
        <v>1.0</v>
      </c>
      <c r="J1090" s="8">
        <v>27.5</v>
      </c>
      <c r="K1090" s="5" t="str">
        <f t="shared" si="1"/>
        <v>Mumbai -&gt; Bengaluru</v>
      </c>
    </row>
    <row r="1091" ht="15.75" customHeight="1">
      <c r="A1091" s="5" t="s">
        <v>1084</v>
      </c>
      <c r="B1091" s="5" t="s">
        <v>45</v>
      </c>
      <c r="C1091" s="6" t="s">
        <v>170</v>
      </c>
      <c r="D1091" s="5" t="s">
        <v>220</v>
      </c>
      <c r="E1091" s="5" t="s">
        <v>31</v>
      </c>
      <c r="F1091" s="5" t="s">
        <v>109</v>
      </c>
      <c r="G1091" s="5" t="s">
        <v>47</v>
      </c>
      <c r="H1091" s="5" t="s">
        <v>35</v>
      </c>
      <c r="I1091" s="6">
        <v>1.0</v>
      </c>
      <c r="J1091" s="8">
        <v>8.58</v>
      </c>
      <c r="K1091" s="5" t="str">
        <f t="shared" si="1"/>
        <v>Mumbai -&gt; Bengaluru</v>
      </c>
    </row>
    <row r="1092" ht="15.75" customHeight="1">
      <c r="A1092" s="5" t="s">
        <v>1176</v>
      </c>
      <c r="B1092" s="5" t="s">
        <v>45</v>
      </c>
      <c r="C1092" s="6" t="s">
        <v>2941</v>
      </c>
      <c r="D1092" s="5" t="s">
        <v>220</v>
      </c>
      <c r="E1092" s="5" t="s">
        <v>31</v>
      </c>
      <c r="F1092" s="5" t="s">
        <v>109</v>
      </c>
      <c r="G1092" s="5" t="s">
        <v>35</v>
      </c>
      <c r="H1092" s="5" t="s">
        <v>54</v>
      </c>
      <c r="I1092" s="6">
        <v>1.0</v>
      </c>
      <c r="J1092" s="8">
        <v>20.25</v>
      </c>
      <c r="K1092" s="5" t="str">
        <f t="shared" si="1"/>
        <v>Mumbai -&gt; Bengaluru</v>
      </c>
    </row>
    <row r="1093" ht="15.75" customHeight="1">
      <c r="A1093" s="5" t="s">
        <v>1089</v>
      </c>
      <c r="B1093" s="5" t="s">
        <v>45</v>
      </c>
      <c r="C1093" s="6" t="s">
        <v>2973</v>
      </c>
      <c r="D1093" s="5" t="s">
        <v>220</v>
      </c>
      <c r="E1093" s="5" t="s">
        <v>31</v>
      </c>
      <c r="F1093" s="5" t="s">
        <v>109</v>
      </c>
      <c r="G1093" s="5" t="s">
        <v>33</v>
      </c>
      <c r="H1093" s="5" t="s">
        <v>35</v>
      </c>
      <c r="I1093" s="6">
        <v>1.0</v>
      </c>
      <c r="J1093" s="8">
        <v>16.83</v>
      </c>
      <c r="K1093" s="5" t="str">
        <f t="shared" si="1"/>
        <v>Mumbai -&gt; Bengaluru</v>
      </c>
    </row>
    <row r="1094" ht="15.75" customHeight="1">
      <c r="A1094" s="5" t="s">
        <v>1168</v>
      </c>
      <c r="B1094" s="5" t="s">
        <v>43</v>
      </c>
      <c r="C1094" s="6" t="s">
        <v>2975</v>
      </c>
      <c r="D1094" s="5" t="s">
        <v>220</v>
      </c>
      <c r="E1094" s="5" t="s">
        <v>31</v>
      </c>
      <c r="F1094" s="5" t="s">
        <v>109</v>
      </c>
      <c r="G1094" s="5" t="s">
        <v>47</v>
      </c>
      <c r="H1094" s="5" t="s">
        <v>35</v>
      </c>
      <c r="I1094" s="6">
        <v>1.0</v>
      </c>
      <c r="J1094" s="8">
        <v>5.0</v>
      </c>
      <c r="K1094" s="5" t="str">
        <f t="shared" si="1"/>
        <v>Mumbai -&gt; Bengaluru</v>
      </c>
    </row>
    <row r="1095" ht="15.75" customHeight="1">
      <c r="A1095" s="5" t="s">
        <v>1188</v>
      </c>
      <c r="B1095" s="5" t="s">
        <v>45</v>
      </c>
      <c r="C1095" s="6" t="s">
        <v>264</v>
      </c>
      <c r="D1095" s="5" t="s">
        <v>220</v>
      </c>
      <c r="E1095" s="5" t="s">
        <v>31</v>
      </c>
      <c r="F1095" s="5" t="s">
        <v>109</v>
      </c>
      <c r="G1095" s="5" t="s">
        <v>54</v>
      </c>
      <c r="H1095" s="5" t="s">
        <v>47</v>
      </c>
      <c r="I1095" s="6" t="s">
        <v>180</v>
      </c>
      <c r="J1095" s="8">
        <v>17.08</v>
      </c>
      <c r="K1095" s="5" t="str">
        <f t="shared" si="1"/>
        <v>Mumbai -&gt; Bengaluru</v>
      </c>
    </row>
    <row r="1096" ht="15.75" customHeight="1">
      <c r="A1096" s="5" t="s">
        <v>1172</v>
      </c>
      <c r="B1096" s="5" t="s">
        <v>43</v>
      </c>
      <c r="C1096" s="6" t="s">
        <v>2977</v>
      </c>
      <c r="D1096" s="5" t="s">
        <v>220</v>
      </c>
      <c r="E1096" s="5" t="s">
        <v>31</v>
      </c>
      <c r="F1096" s="5" t="s">
        <v>109</v>
      </c>
      <c r="G1096" s="5" t="s">
        <v>33</v>
      </c>
      <c r="H1096" s="5" t="s">
        <v>54</v>
      </c>
      <c r="I1096" s="6">
        <v>1.0</v>
      </c>
      <c r="J1096" s="8">
        <v>6.92</v>
      </c>
      <c r="K1096" s="5" t="str">
        <f t="shared" si="1"/>
        <v>Mumbai -&gt; Bengaluru</v>
      </c>
    </row>
    <row r="1097" ht="15.75" customHeight="1">
      <c r="A1097" s="5" t="s">
        <v>1192</v>
      </c>
      <c r="B1097" s="5" t="s">
        <v>45</v>
      </c>
      <c r="C1097" s="6" t="s">
        <v>2979</v>
      </c>
      <c r="D1097" s="5" t="s">
        <v>220</v>
      </c>
      <c r="E1097" s="5" t="s">
        <v>31</v>
      </c>
      <c r="F1097" s="5" t="s">
        <v>109</v>
      </c>
      <c r="G1097" s="5" t="s">
        <v>54</v>
      </c>
      <c r="H1097" s="5" t="s">
        <v>47</v>
      </c>
      <c r="I1097" s="6" t="s">
        <v>180</v>
      </c>
      <c r="J1097" s="8">
        <v>18.08</v>
      </c>
      <c r="K1097" s="5" t="str">
        <f t="shared" si="1"/>
        <v>Mumbai -&gt; Bengaluru</v>
      </c>
    </row>
    <row r="1098" ht="15.75" customHeight="1">
      <c r="A1098" s="5" t="s">
        <v>1163</v>
      </c>
      <c r="B1098" s="5" t="s">
        <v>43</v>
      </c>
      <c r="C1098" s="6" t="s">
        <v>2980</v>
      </c>
      <c r="D1098" s="5" t="s">
        <v>220</v>
      </c>
      <c r="E1098" s="5" t="s">
        <v>31</v>
      </c>
      <c r="F1098" s="5" t="s">
        <v>109</v>
      </c>
      <c r="G1098" s="5" t="s">
        <v>54</v>
      </c>
      <c r="H1098" s="5" t="s">
        <v>35</v>
      </c>
      <c r="I1098" s="6">
        <v>1.0</v>
      </c>
      <c r="J1098" s="8">
        <v>6.67</v>
      </c>
      <c r="K1098" s="5" t="str">
        <f t="shared" si="1"/>
        <v>Mumbai -&gt; Bengaluru</v>
      </c>
    </row>
    <row r="1099" ht="15.75" customHeight="1">
      <c r="A1099" s="5" t="s">
        <v>981</v>
      </c>
      <c r="B1099" s="5" t="s">
        <v>43</v>
      </c>
      <c r="C1099" s="6" t="s">
        <v>2981</v>
      </c>
      <c r="D1099" s="5" t="s">
        <v>220</v>
      </c>
      <c r="E1099" s="5" t="s">
        <v>31</v>
      </c>
      <c r="F1099" s="5" t="s">
        <v>109</v>
      </c>
      <c r="G1099" s="5" t="s">
        <v>33</v>
      </c>
      <c r="H1099" s="5" t="s">
        <v>33</v>
      </c>
      <c r="I1099" s="6">
        <v>0.0</v>
      </c>
      <c r="J1099" s="8">
        <v>1.83</v>
      </c>
      <c r="K1099" s="5" t="str">
        <f t="shared" si="1"/>
        <v>Mumbai -&gt; Bengaluru</v>
      </c>
    </row>
    <row r="1100" ht="15.75" customHeight="1">
      <c r="A1100" s="5" t="s">
        <v>1096</v>
      </c>
      <c r="B1100" s="5" t="s">
        <v>20</v>
      </c>
      <c r="C1100" s="6" t="s">
        <v>2983</v>
      </c>
      <c r="D1100" s="5" t="s">
        <v>220</v>
      </c>
      <c r="E1100" s="5" t="s">
        <v>31</v>
      </c>
      <c r="F1100" s="5" t="s">
        <v>109</v>
      </c>
      <c r="G1100" s="5" t="s">
        <v>54</v>
      </c>
      <c r="H1100" s="5" t="s">
        <v>54</v>
      </c>
      <c r="I1100" s="6" t="s">
        <v>180</v>
      </c>
      <c r="J1100" s="8">
        <v>26.17</v>
      </c>
      <c r="K1100" s="5" t="str">
        <f t="shared" si="1"/>
        <v>Mumbai -&gt; Bengaluru</v>
      </c>
    </row>
    <row r="1101" ht="15.75" customHeight="1">
      <c r="A1101" s="5" t="s">
        <v>1146</v>
      </c>
      <c r="B1101" s="5" t="s">
        <v>20</v>
      </c>
      <c r="C1101" s="6" t="s">
        <v>227</v>
      </c>
      <c r="D1101" s="5" t="s">
        <v>220</v>
      </c>
      <c r="E1101" s="5" t="s">
        <v>31</v>
      </c>
      <c r="F1101" s="5" t="s">
        <v>109</v>
      </c>
      <c r="G1101" s="5" t="s">
        <v>33</v>
      </c>
      <c r="H1101" s="5" t="s">
        <v>47</v>
      </c>
      <c r="I1101" s="6">
        <v>1.0</v>
      </c>
      <c r="J1101" s="8">
        <v>8.5</v>
      </c>
      <c r="K1101" s="5" t="str">
        <f t="shared" si="1"/>
        <v>Mumbai -&gt; Bengaluru</v>
      </c>
    </row>
    <row r="1102" ht="15.75" customHeight="1">
      <c r="A1102" s="5" t="s">
        <v>1195</v>
      </c>
      <c r="B1102" s="5" t="s">
        <v>58</v>
      </c>
      <c r="C1102" s="6" t="s">
        <v>2949</v>
      </c>
      <c r="D1102" s="5" t="s">
        <v>220</v>
      </c>
      <c r="E1102" s="5" t="s">
        <v>31</v>
      </c>
      <c r="F1102" s="5" t="s">
        <v>109</v>
      </c>
      <c r="G1102" s="5" t="s">
        <v>33</v>
      </c>
      <c r="H1102" s="5" t="s">
        <v>54</v>
      </c>
      <c r="I1102" s="6">
        <v>1.0</v>
      </c>
      <c r="J1102" s="8">
        <v>7.5</v>
      </c>
      <c r="K1102" s="5" t="str">
        <f t="shared" si="1"/>
        <v>Mumbai -&gt; Bengaluru</v>
      </c>
    </row>
    <row r="1103" ht="15.75" customHeight="1">
      <c r="A1103" s="5" t="s">
        <v>985</v>
      </c>
      <c r="B1103" s="5" t="s">
        <v>20</v>
      </c>
      <c r="C1103" s="6" t="s">
        <v>2987</v>
      </c>
      <c r="D1103" s="5" t="s">
        <v>220</v>
      </c>
      <c r="E1103" s="5" t="s">
        <v>31</v>
      </c>
      <c r="F1103" s="5" t="s">
        <v>109</v>
      </c>
      <c r="G1103" s="5" t="s">
        <v>54</v>
      </c>
      <c r="H1103" s="5" t="s">
        <v>54</v>
      </c>
      <c r="I1103" s="6">
        <v>1.0</v>
      </c>
      <c r="J1103" s="8">
        <v>25.25</v>
      </c>
      <c r="K1103" s="5" t="str">
        <f t="shared" si="1"/>
        <v>Mumbai -&gt; Bengaluru</v>
      </c>
    </row>
    <row r="1104" ht="15.75" customHeight="1">
      <c r="A1104" s="5" t="s">
        <v>1123</v>
      </c>
      <c r="B1104" s="5" t="s">
        <v>29</v>
      </c>
      <c r="C1104" s="6" t="s">
        <v>2988</v>
      </c>
      <c r="D1104" s="5" t="s">
        <v>220</v>
      </c>
      <c r="E1104" s="5" t="s">
        <v>31</v>
      </c>
      <c r="F1104" s="5" t="s">
        <v>109</v>
      </c>
      <c r="G1104" s="5" t="s">
        <v>47</v>
      </c>
      <c r="H1104" s="5" t="s">
        <v>35</v>
      </c>
      <c r="I1104" s="6">
        <v>1.0</v>
      </c>
      <c r="J1104" s="8">
        <v>7.5</v>
      </c>
      <c r="K1104" s="5" t="str">
        <f t="shared" si="1"/>
        <v>Mumbai -&gt; Bengaluru</v>
      </c>
    </row>
    <row r="1105" ht="15.75" customHeight="1">
      <c r="A1105" s="5" t="s">
        <v>1103</v>
      </c>
      <c r="B1105" s="5" t="s">
        <v>20</v>
      </c>
      <c r="C1105" s="6" t="s">
        <v>2893</v>
      </c>
      <c r="D1105" s="5" t="s">
        <v>220</v>
      </c>
      <c r="E1105" s="5" t="s">
        <v>31</v>
      </c>
      <c r="F1105" s="5" t="s">
        <v>109</v>
      </c>
      <c r="G1105" s="5" t="s">
        <v>33</v>
      </c>
      <c r="H1105" s="5" t="s">
        <v>33</v>
      </c>
      <c r="I1105" s="6">
        <v>1.0</v>
      </c>
      <c r="J1105" s="8">
        <v>29.83</v>
      </c>
      <c r="K1105" s="5" t="str">
        <f t="shared" si="1"/>
        <v>Mumbai -&gt; Bengaluru</v>
      </c>
    </row>
    <row r="1106" ht="15.75" customHeight="1">
      <c r="A1106" s="5" t="s">
        <v>1107</v>
      </c>
      <c r="B1106" s="5" t="s">
        <v>43</v>
      </c>
      <c r="C1106" s="6" t="s">
        <v>208</v>
      </c>
      <c r="D1106" s="5" t="s">
        <v>220</v>
      </c>
      <c r="E1106" s="5" t="s">
        <v>31</v>
      </c>
      <c r="F1106" s="5" t="s">
        <v>109</v>
      </c>
      <c r="G1106" s="5" t="s">
        <v>54</v>
      </c>
      <c r="H1106" s="5" t="s">
        <v>35</v>
      </c>
      <c r="I1106" s="6">
        <v>1.0</v>
      </c>
      <c r="J1106" s="8">
        <v>5.67</v>
      </c>
      <c r="K1106" s="5" t="str">
        <f t="shared" si="1"/>
        <v>Mumbai -&gt; Bengaluru</v>
      </c>
    </row>
    <row r="1107" ht="15.75" customHeight="1">
      <c r="A1107" s="5" t="s">
        <v>1139</v>
      </c>
      <c r="B1107" s="5" t="s">
        <v>45</v>
      </c>
      <c r="C1107" s="6" t="s">
        <v>2992</v>
      </c>
      <c r="D1107" s="5" t="s">
        <v>220</v>
      </c>
      <c r="E1107" s="5" t="s">
        <v>31</v>
      </c>
      <c r="F1107" s="5" t="s">
        <v>109</v>
      </c>
      <c r="G1107" s="5" t="s">
        <v>33</v>
      </c>
      <c r="H1107" s="5" t="s">
        <v>35</v>
      </c>
      <c r="I1107" s="6" t="s">
        <v>180</v>
      </c>
      <c r="J1107" s="8">
        <v>16.0</v>
      </c>
      <c r="K1107" s="5" t="str">
        <f t="shared" si="1"/>
        <v>Mumbai -&gt; Bengaluru</v>
      </c>
    </row>
    <row r="1108" ht="15.75" customHeight="1">
      <c r="A1108" s="5" t="s">
        <v>1065</v>
      </c>
      <c r="B1108" s="5" t="s">
        <v>45</v>
      </c>
      <c r="C1108" s="6" t="s">
        <v>170</v>
      </c>
      <c r="D1108" s="5" t="s">
        <v>220</v>
      </c>
      <c r="E1108" s="5" t="s">
        <v>31</v>
      </c>
      <c r="F1108" s="5" t="s">
        <v>109</v>
      </c>
      <c r="G1108" s="5" t="s">
        <v>47</v>
      </c>
      <c r="H1108" s="5" t="s">
        <v>47</v>
      </c>
      <c r="I1108" s="6">
        <v>1.0</v>
      </c>
      <c r="J1108" s="8">
        <v>23.33</v>
      </c>
      <c r="K1108" s="5" t="str">
        <f t="shared" si="1"/>
        <v>Mumbai -&gt; Bengaluru</v>
      </c>
    </row>
    <row r="1109" ht="15.75" customHeight="1">
      <c r="A1109" s="5" t="s">
        <v>1159</v>
      </c>
      <c r="B1109" s="5" t="s">
        <v>58</v>
      </c>
      <c r="C1109" s="6" t="s">
        <v>2997</v>
      </c>
      <c r="D1109" s="5" t="s">
        <v>220</v>
      </c>
      <c r="E1109" s="5" t="s">
        <v>31</v>
      </c>
      <c r="F1109" s="5" t="s">
        <v>109</v>
      </c>
      <c r="G1109" s="5" t="s">
        <v>35</v>
      </c>
      <c r="H1109" s="5" t="s">
        <v>35</v>
      </c>
      <c r="I1109" s="6">
        <v>0.0</v>
      </c>
      <c r="J1109" s="8">
        <v>1.83</v>
      </c>
      <c r="K1109" s="5" t="str">
        <f t="shared" si="1"/>
        <v>Mumbai -&gt; Bengaluru</v>
      </c>
    </row>
    <row r="1110" ht="15.75" customHeight="1">
      <c r="A1110" s="5" t="s">
        <v>1053</v>
      </c>
      <c r="B1110" s="5" t="s">
        <v>45</v>
      </c>
      <c r="C1110" s="6" t="s">
        <v>264</v>
      </c>
      <c r="D1110" s="5" t="s">
        <v>220</v>
      </c>
      <c r="E1110" s="5" t="s">
        <v>31</v>
      </c>
      <c r="F1110" s="5" t="s">
        <v>109</v>
      </c>
      <c r="G1110" s="5" t="s">
        <v>54</v>
      </c>
      <c r="H1110" s="5" t="s">
        <v>35</v>
      </c>
      <c r="I1110" s="6">
        <v>1.0</v>
      </c>
      <c r="J1110" s="8">
        <v>29.17</v>
      </c>
      <c r="K1110" s="5" t="str">
        <f t="shared" si="1"/>
        <v>Mumbai -&gt; Bengaluru</v>
      </c>
    </row>
    <row r="1111" ht="15.75" customHeight="1">
      <c r="A1111" s="5" t="s">
        <v>1081</v>
      </c>
      <c r="B1111" s="5" t="s">
        <v>45</v>
      </c>
      <c r="C1111" s="6" t="s">
        <v>264</v>
      </c>
      <c r="D1111" s="5" t="s">
        <v>220</v>
      </c>
      <c r="E1111" s="5" t="s">
        <v>31</v>
      </c>
      <c r="F1111" s="5" t="s">
        <v>109</v>
      </c>
      <c r="G1111" s="5" t="s">
        <v>54</v>
      </c>
      <c r="H1111" s="5" t="s">
        <v>35</v>
      </c>
      <c r="I1111" s="6">
        <v>1.0</v>
      </c>
      <c r="J1111" s="8">
        <v>25.08</v>
      </c>
      <c r="K1111" s="5" t="str">
        <f t="shared" si="1"/>
        <v>Mumbai -&gt; Bengaluru</v>
      </c>
    </row>
    <row r="1112" ht="15.75" customHeight="1">
      <c r="A1112" s="5" t="s">
        <v>1134</v>
      </c>
      <c r="B1112" s="5" t="s">
        <v>58</v>
      </c>
      <c r="C1112" s="6" t="s">
        <v>3001</v>
      </c>
      <c r="D1112" s="5" t="s">
        <v>220</v>
      </c>
      <c r="E1112" s="5" t="s">
        <v>31</v>
      </c>
      <c r="F1112" s="5" t="s">
        <v>109</v>
      </c>
      <c r="G1112" s="5" t="s">
        <v>54</v>
      </c>
      <c r="H1112" s="5" t="s">
        <v>33</v>
      </c>
      <c r="I1112" s="6">
        <v>1.0</v>
      </c>
      <c r="J1112" s="8">
        <v>16.17</v>
      </c>
      <c r="K1112" s="5" t="str">
        <f t="shared" si="1"/>
        <v>Mumbai -&gt; Bengaluru</v>
      </c>
    </row>
    <row r="1113" ht="15.75" customHeight="1">
      <c r="A1113" s="5" t="s">
        <v>1128</v>
      </c>
      <c r="B1113" s="5" t="s">
        <v>20</v>
      </c>
      <c r="C1113" s="6" t="s">
        <v>2893</v>
      </c>
      <c r="D1113" s="5" t="s">
        <v>220</v>
      </c>
      <c r="E1113" s="5" t="s">
        <v>31</v>
      </c>
      <c r="F1113" s="5" t="s">
        <v>109</v>
      </c>
      <c r="G1113" s="5" t="s">
        <v>33</v>
      </c>
      <c r="H1113" s="5" t="s">
        <v>54</v>
      </c>
      <c r="I1113" s="6" t="s">
        <v>180</v>
      </c>
      <c r="J1113" s="8">
        <v>12.25</v>
      </c>
      <c r="K1113" s="5" t="str">
        <f t="shared" si="1"/>
        <v>Mumbai -&gt; Bengaluru</v>
      </c>
    </row>
    <row r="1114" ht="15.75" customHeight="1">
      <c r="A1114" s="5" t="s">
        <v>990</v>
      </c>
      <c r="B1114" s="5" t="s">
        <v>43</v>
      </c>
      <c r="C1114" s="6" t="s">
        <v>3003</v>
      </c>
      <c r="D1114" s="5" t="s">
        <v>220</v>
      </c>
      <c r="E1114" s="5" t="s">
        <v>31</v>
      </c>
      <c r="F1114" s="5" t="s">
        <v>109</v>
      </c>
      <c r="G1114" s="5" t="s">
        <v>33</v>
      </c>
      <c r="H1114" s="5" t="s">
        <v>47</v>
      </c>
      <c r="I1114" s="6">
        <v>1.0</v>
      </c>
      <c r="J1114" s="8">
        <v>7.08</v>
      </c>
      <c r="K1114" s="5" t="str">
        <f t="shared" si="1"/>
        <v>Mumbai -&gt; Bengaluru</v>
      </c>
    </row>
    <row r="1115" ht="15.75" customHeight="1">
      <c r="A1115" s="5" t="s">
        <v>1110</v>
      </c>
      <c r="B1115" s="5" t="s">
        <v>20</v>
      </c>
      <c r="C1115" s="6" t="s">
        <v>241</v>
      </c>
      <c r="D1115" s="5" t="s">
        <v>220</v>
      </c>
      <c r="E1115" s="5" t="s">
        <v>31</v>
      </c>
      <c r="F1115" s="5" t="s">
        <v>109</v>
      </c>
      <c r="G1115" s="5" t="s">
        <v>33</v>
      </c>
      <c r="H1115" s="5" t="s">
        <v>54</v>
      </c>
      <c r="I1115" s="6">
        <v>1.0</v>
      </c>
      <c r="J1115" s="8">
        <v>9.08</v>
      </c>
      <c r="K1115" s="5" t="str">
        <f t="shared" si="1"/>
        <v>Mumbai -&gt; Bengaluru</v>
      </c>
    </row>
    <row r="1116" ht="15.75" customHeight="1">
      <c r="A1116" s="5" t="s">
        <v>1153</v>
      </c>
      <c r="B1116" s="5" t="s">
        <v>58</v>
      </c>
      <c r="C1116" s="6" t="s">
        <v>3005</v>
      </c>
      <c r="D1116" s="5" t="s">
        <v>220</v>
      </c>
      <c r="E1116" s="5" t="s">
        <v>31</v>
      </c>
      <c r="F1116" s="5" t="s">
        <v>109</v>
      </c>
      <c r="G1116" s="5" t="s">
        <v>35</v>
      </c>
      <c r="H1116" s="5" t="s">
        <v>33</v>
      </c>
      <c r="I1116" s="6">
        <v>1.0</v>
      </c>
      <c r="J1116" s="8">
        <v>9.92</v>
      </c>
      <c r="K1116" s="5" t="str">
        <f t="shared" si="1"/>
        <v>Mumbai -&gt; Bengaluru</v>
      </c>
    </row>
    <row r="1117" ht="15.75" customHeight="1">
      <c r="A1117" s="5" t="s">
        <v>1073</v>
      </c>
      <c r="B1117" s="5" t="s">
        <v>58</v>
      </c>
      <c r="C1117" s="6" t="s">
        <v>3006</v>
      </c>
      <c r="D1117" s="5" t="s">
        <v>220</v>
      </c>
      <c r="E1117" s="5" t="s">
        <v>31</v>
      </c>
      <c r="F1117" s="5" t="s">
        <v>109</v>
      </c>
      <c r="G1117" s="5" t="s">
        <v>33</v>
      </c>
      <c r="H1117" s="5" t="s">
        <v>47</v>
      </c>
      <c r="I1117" s="6">
        <v>1.0</v>
      </c>
      <c r="J1117" s="8">
        <v>3.67</v>
      </c>
      <c r="K1117" s="5" t="str">
        <f t="shared" si="1"/>
        <v>Mumbai -&gt; Bengaluru</v>
      </c>
    </row>
    <row r="1118" ht="15.75" customHeight="1">
      <c r="A1118" s="5" t="s">
        <v>1119</v>
      </c>
      <c r="B1118" s="5" t="s">
        <v>20</v>
      </c>
      <c r="C1118" s="6" t="s">
        <v>3009</v>
      </c>
      <c r="D1118" s="5" t="s">
        <v>220</v>
      </c>
      <c r="E1118" s="5" t="s">
        <v>31</v>
      </c>
      <c r="F1118" s="5" t="s">
        <v>109</v>
      </c>
      <c r="G1118" s="5" t="s">
        <v>33</v>
      </c>
      <c r="H1118" s="5" t="s">
        <v>54</v>
      </c>
      <c r="I1118" s="6" t="s">
        <v>180</v>
      </c>
      <c r="J1118" s="8">
        <v>10.25</v>
      </c>
      <c r="K1118" s="5" t="str">
        <f t="shared" si="1"/>
        <v>Mumbai -&gt; Bengaluru</v>
      </c>
    </row>
    <row r="1119" ht="15.75" customHeight="1">
      <c r="A1119" s="5" t="s">
        <v>1099</v>
      </c>
      <c r="B1119" s="5" t="s">
        <v>20</v>
      </c>
      <c r="C1119" s="6" t="s">
        <v>2893</v>
      </c>
      <c r="D1119" s="5" t="s">
        <v>220</v>
      </c>
      <c r="E1119" s="5" t="s">
        <v>31</v>
      </c>
      <c r="F1119" s="5" t="s">
        <v>109</v>
      </c>
      <c r="G1119" s="5" t="s">
        <v>33</v>
      </c>
      <c r="H1119" s="5" t="s">
        <v>54</v>
      </c>
      <c r="I1119" s="6">
        <v>1.0</v>
      </c>
      <c r="J1119" s="8">
        <v>12.25</v>
      </c>
      <c r="K1119" s="5" t="str">
        <f t="shared" si="1"/>
        <v>Mumbai -&gt; Bengaluru</v>
      </c>
    </row>
    <row r="1120" ht="15.75" customHeight="1">
      <c r="A1120" s="5" t="s">
        <v>1038</v>
      </c>
      <c r="B1120" s="5" t="s">
        <v>45</v>
      </c>
      <c r="C1120" s="6" t="s">
        <v>3013</v>
      </c>
      <c r="D1120" s="5" t="s">
        <v>220</v>
      </c>
      <c r="E1120" s="5" t="s">
        <v>31</v>
      </c>
      <c r="F1120" s="5" t="s">
        <v>109</v>
      </c>
      <c r="G1120" s="5" t="s">
        <v>35</v>
      </c>
      <c r="H1120" s="5" t="s">
        <v>47</v>
      </c>
      <c r="I1120" s="6">
        <v>1.0</v>
      </c>
      <c r="J1120" s="8">
        <v>18.08</v>
      </c>
      <c r="K1120" s="5" t="str">
        <f t="shared" si="1"/>
        <v>Mumbai -&gt; Bengaluru</v>
      </c>
    </row>
    <row r="1121" ht="15.75" customHeight="1">
      <c r="A1121" s="5" t="s">
        <v>1069</v>
      </c>
      <c r="B1121" s="5" t="s">
        <v>43</v>
      </c>
      <c r="C1121" s="6" t="s">
        <v>271</v>
      </c>
      <c r="D1121" s="5" t="s">
        <v>220</v>
      </c>
      <c r="E1121" s="5" t="s">
        <v>31</v>
      </c>
      <c r="F1121" s="5" t="s">
        <v>109</v>
      </c>
      <c r="G1121" s="5" t="s">
        <v>33</v>
      </c>
      <c r="H1121" s="5" t="s">
        <v>54</v>
      </c>
      <c r="I1121" s="6">
        <v>1.0</v>
      </c>
      <c r="J1121" s="8">
        <v>10.33</v>
      </c>
      <c r="K1121" s="5" t="str">
        <f t="shared" si="1"/>
        <v>Mumbai -&gt; Bengaluru</v>
      </c>
    </row>
    <row r="1122" ht="15.75" customHeight="1">
      <c r="A1122" s="5" t="s">
        <v>1269</v>
      </c>
      <c r="B1122" s="5" t="s">
        <v>20</v>
      </c>
      <c r="C1122" s="6" t="s">
        <v>2952</v>
      </c>
      <c r="D1122" s="5" t="s">
        <v>251</v>
      </c>
      <c r="E1122" s="5" t="s">
        <v>31</v>
      </c>
      <c r="F1122" s="5" t="s">
        <v>132</v>
      </c>
      <c r="G1122" s="5" t="s">
        <v>33</v>
      </c>
      <c r="H1122" s="5" t="s">
        <v>35</v>
      </c>
      <c r="I1122" s="6">
        <v>1.0</v>
      </c>
      <c r="J1122" s="8">
        <v>16.75</v>
      </c>
      <c r="K1122" s="5" t="str">
        <f t="shared" si="1"/>
        <v>Mumbai -&gt; Kolkata</v>
      </c>
    </row>
    <row r="1123" ht="15.75" customHeight="1">
      <c r="A1123" s="5" t="s">
        <v>1333</v>
      </c>
      <c r="B1123" s="5" t="s">
        <v>72</v>
      </c>
      <c r="C1123" s="6" t="s">
        <v>3017</v>
      </c>
      <c r="D1123" s="5" t="s">
        <v>251</v>
      </c>
      <c r="E1123" s="5" t="s">
        <v>31</v>
      </c>
      <c r="F1123" s="5" t="s">
        <v>132</v>
      </c>
      <c r="G1123" s="5" t="s">
        <v>54</v>
      </c>
      <c r="H1123" s="5" t="s">
        <v>33</v>
      </c>
      <c r="I1123" s="6">
        <v>1.0</v>
      </c>
      <c r="J1123" s="8">
        <v>16.17</v>
      </c>
      <c r="K1123" s="5" t="str">
        <f t="shared" si="1"/>
        <v>Mumbai -&gt; Kolkata</v>
      </c>
    </row>
    <row r="1124" ht="15.75" customHeight="1">
      <c r="A1124" s="5" t="s">
        <v>1348</v>
      </c>
      <c r="B1124" s="5" t="s">
        <v>45</v>
      </c>
      <c r="C1124" s="6" t="s">
        <v>3019</v>
      </c>
      <c r="D1124" s="5" t="s">
        <v>251</v>
      </c>
      <c r="E1124" s="5" t="s">
        <v>31</v>
      </c>
      <c r="F1124" s="5" t="s">
        <v>132</v>
      </c>
      <c r="G1124" s="5" t="s">
        <v>33</v>
      </c>
      <c r="H1124" s="5" t="s">
        <v>54</v>
      </c>
      <c r="I1124" s="6">
        <v>1.0</v>
      </c>
      <c r="J1124" s="8">
        <v>11.33</v>
      </c>
      <c r="K1124" s="5" t="str">
        <f t="shared" si="1"/>
        <v>Mumbai -&gt; Kolkata</v>
      </c>
    </row>
    <row r="1125" ht="15.75" customHeight="1">
      <c r="A1125" s="5" t="s">
        <v>1324</v>
      </c>
      <c r="B1125" s="5" t="s">
        <v>43</v>
      </c>
      <c r="C1125" s="6" t="s">
        <v>3021</v>
      </c>
      <c r="D1125" s="5" t="s">
        <v>251</v>
      </c>
      <c r="E1125" s="5" t="s">
        <v>31</v>
      </c>
      <c r="F1125" s="5" t="s">
        <v>132</v>
      </c>
      <c r="G1125" s="5" t="s">
        <v>54</v>
      </c>
      <c r="H1125" s="5" t="s">
        <v>35</v>
      </c>
      <c r="I1125" s="6">
        <v>1.0</v>
      </c>
      <c r="J1125" s="8">
        <v>5.92</v>
      </c>
      <c r="K1125" s="5" t="str">
        <f t="shared" si="1"/>
        <v>Mumbai -&gt; Kolkata</v>
      </c>
    </row>
    <row r="1126" ht="15.75" customHeight="1">
      <c r="A1126" s="5" t="s">
        <v>1286</v>
      </c>
      <c r="B1126" s="5" t="s">
        <v>45</v>
      </c>
      <c r="C1126" s="6" t="s">
        <v>3024</v>
      </c>
      <c r="D1126" s="5" t="s">
        <v>251</v>
      </c>
      <c r="E1126" s="5" t="s">
        <v>31</v>
      </c>
      <c r="F1126" s="5" t="s">
        <v>132</v>
      </c>
      <c r="G1126" s="5" t="s">
        <v>33</v>
      </c>
      <c r="H1126" s="5" t="s">
        <v>33</v>
      </c>
      <c r="I1126" s="6">
        <v>1.0</v>
      </c>
      <c r="J1126" s="8">
        <v>25.83</v>
      </c>
      <c r="K1126" s="5" t="str">
        <f t="shared" si="1"/>
        <v>Mumbai -&gt; Kolkata</v>
      </c>
    </row>
    <row r="1127" ht="15.75" customHeight="1">
      <c r="A1127" s="5" t="s">
        <v>1317</v>
      </c>
      <c r="B1127" s="5" t="s">
        <v>43</v>
      </c>
      <c r="C1127" s="6" t="s">
        <v>2980</v>
      </c>
      <c r="D1127" s="5" t="s">
        <v>251</v>
      </c>
      <c r="E1127" s="5" t="s">
        <v>31</v>
      </c>
      <c r="F1127" s="5" t="s">
        <v>132</v>
      </c>
      <c r="G1127" s="5" t="s">
        <v>54</v>
      </c>
      <c r="H1127" s="5" t="s">
        <v>35</v>
      </c>
      <c r="I1127" s="6">
        <v>1.0</v>
      </c>
      <c r="J1127" s="8">
        <v>6.0</v>
      </c>
      <c r="K1127" s="5" t="str">
        <f t="shared" si="1"/>
        <v>Mumbai -&gt; Kolkata</v>
      </c>
    </row>
    <row r="1128" ht="15.75" customHeight="1">
      <c r="A1128" s="5" t="s">
        <v>1303</v>
      </c>
      <c r="B1128" s="5" t="s">
        <v>43</v>
      </c>
      <c r="C1128" s="6">
        <v>6.0E-154</v>
      </c>
      <c r="D1128" s="5" t="s">
        <v>251</v>
      </c>
      <c r="E1128" s="5" t="s">
        <v>31</v>
      </c>
      <c r="F1128" s="5" t="s">
        <v>132</v>
      </c>
      <c r="G1128" s="5" t="s">
        <v>35</v>
      </c>
      <c r="H1128" s="5" t="s">
        <v>33</v>
      </c>
      <c r="I1128" s="6">
        <v>1.0</v>
      </c>
      <c r="J1128" s="8">
        <v>7.75</v>
      </c>
      <c r="K1128" s="5" t="str">
        <f t="shared" si="1"/>
        <v>Mumbai -&gt; Kolkata</v>
      </c>
    </row>
    <row r="1129" ht="15.75" customHeight="1">
      <c r="A1129" s="5" t="s">
        <v>1228</v>
      </c>
      <c r="B1129" s="5" t="s">
        <v>20</v>
      </c>
      <c r="C1129" s="6" t="s">
        <v>306</v>
      </c>
      <c r="D1129" s="5" t="s">
        <v>251</v>
      </c>
      <c r="E1129" s="5" t="s">
        <v>31</v>
      </c>
      <c r="F1129" s="5" t="s">
        <v>132</v>
      </c>
      <c r="G1129" s="5" t="s">
        <v>47</v>
      </c>
      <c r="H1129" s="5" t="s">
        <v>54</v>
      </c>
      <c r="I1129" s="6" t="s">
        <v>180</v>
      </c>
      <c r="J1129" s="8">
        <v>7.42</v>
      </c>
      <c r="K1129" s="5" t="str">
        <f t="shared" si="1"/>
        <v>Mumbai -&gt; Kolkata</v>
      </c>
    </row>
    <row r="1130" ht="15.75" customHeight="1">
      <c r="A1130" s="5" t="s">
        <v>1307</v>
      </c>
      <c r="B1130" s="5" t="s">
        <v>45</v>
      </c>
      <c r="C1130" s="6" t="s">
        <v>191</v>
      </c>
      <c r="D1130" s="5" t="s">
        <v>251</v>
      </c>
      <c r="E1130" s="5" t="s">
        <v>31</v>
      </c>
      <c r="F1130" s="5" t="s">
        <v>132</v>
      </c>
      <c r="G1130" s="5" t="s">
        <v>33</v>
      </c>
      <c r="H1130" s="5" t="s">
        <v>33</v>
      </c>
      <c r="I1130" s="6">
        <v>1.0</v>
      </c>
      <c r="J1130" s="8">
        <v>23.0</v>
      </c>
      <c r="K1130" s="5" t="str">
        <f t="shared" si="1"/>
        <v>Mumbai -&gt; Kolkata</v>
      </c>
    </row>
    <row r="1131" ht="15.75" customHeight="1">
      <c r="A1131" s="5" t="s">
        <v>1209</v>
      </c>
      <c r="B1131" s="5" t="s">
        <v>43</v>
      </c>
      <c r="C1131" s="6">
        <v>6.0E-219</v>
      </c>
      <c r="D1131" s="5" t="s">
        <v>251</v>
      </c>
      <c r="E1131" s="5" t="s">
        <v>31</v>
      </c>
      <c r="F1131" s="5" t="s">
        <v>132</v>
      </c>
      <c r="G1131" s="5" t="s">
        <v>47</v>
      </c>
      <c r="H1131" s="5" t="s">
        <v>35</v>
      </c>
      <c r="I1131" s="6">
        <v>1.0</v>
      </c>
      <c r="J1131" s="8">
        <v>6.33</v>
      </c>
      <c r="K1131" s="5" t="str">
        <f t="shared" si="1"/>
        <v>Mumbai -&gt; Kolkata</v>
      </c>
    </row>
    <row r="1132" ht="15.75" customHeight="1">
      <c r="A1132" s="5" t="s">
        <v>1239</v>
      </c>
      <c r="B1132" s="5" t="s">
        <v>72</v>
      </c>
      <c r="C1132" s="6" t="s">
        <v>3033</v>
      </c>
      <c r="D1132" s="5" t="s">
        <v>251</v>
      </c>
      <c r="E1132" s="5" t="s">
        <v>31</v>
      </c>
      <c r="F1132" s="5" t="s">
        <v>132</v>
      </c>
      <c r="G1132" s="5" t="s">
        <v>33</v>
      </c>
      <c r="H1132" s="5" t="s">
        <v>33</v>
      </c>
      <c r="I1132" s="6">
        <v>1.0</v>
      </c>
      <c r="J1132" s="8">
        <v>26.75</v>
      </c>
      <c r="K1132" s="5" t="str">
        <f t="shared" si="1"/>
        <v>Mumbai -&gt; Kolkata</v>
      </c>
    </row>
    <row r="1133" ht="15.75" customHeight="1">
      <c r="A1133" s="5" t="s">
        <v>1294</v>
      </c>
      <c r="B1133" s="5" t="s">
        <v>20</v>
      </c>
      <c r="C1133" s="6" t="s">
        <v>2952</v>
      </c>
      <c r="D1133" s="5" t="s">
        <v>251</v>
      </c>
      <c r="E1133" s="5" t="s">
        <v>31</v>
      </c>
      <c r="F1133" s="5" t="s">
        <v>132</v>
      </c>
      <c r="G1133" s="5" t="s">
        <v>33</v>
      </c>
      <c r="H1133" s="5" t="s">
        <v>54</v>
      </c>
      <c r="I1133" s="6">
        <v>1.0</v>
      </c>
      <c r="J1133" s="8">
        <v>13.58</v>
      </c>
      <c r="K1133" s="5" t="str">
        <f t="shared" si="1"/>
        <v>Mumbai -&gt; Kolkata</v>
      </c>
    </row>
    <row r="1134" ht="15.75" customHeight="1">
      <c r="A1134" s="5" t="s">
        <v>1330</v>
      </c>
      <c r="B1134" s="5" t="s">
        <v>58</v>
      </c>
      <c r="C1134" s="6" t="s">
        <v>3036</v>
      </c>
      <c r="D1134" s="5" t="s">
        <v>251</v>
      </c>
      <c r="E1134" s="5" t="s">
        <v>31</v>
      </c>
      <c r="F1134" s="5" t="s">
        <v>132</v>
      </c>
      <c r="G1134" s="5" t="s">
        <v>47</v>
      </c>
      <c r="H1134" s="5" t="s">
        <v>35</v>
      </c>
      <c r="I1134" s="6">
        <v>1.0</v>
      </c>
      <c r="J1134" s="8">
        <v>11.5</v>
      </c>
      <c r="K1134" s="5" t="str">
        <f t="shared" si="1"/>
        <v>Mumbai -&gt; Kolkata</v>
      </c>
    </row>
    <row r="1135" ht="15.75" customHeight="1">
      <c r="A1135" s="5" t="s">
        <v>1289</v>
      </c>
      <c r="B1135" s="5" t="s">
        <v>43</v>
      </c>
      <c r="C1135" s="6" t="s">
        <v>3038</v>
      </c>
      <c r="D1135" s="5" t="s">
        <v>251</v>
      </c>
      <c r="E1135" s="5" t="s">
        <v>31</v>
      </c>
      <c r="F1135" s="5" t="s">
        <v>132</v>
      </c>
      <c r="G1135" s="5" t="s">
        <v>35</v>
      </c>
      <c r="H1135" s="5" t="s">
        <v>33</v>
      </c>
      <c r="I1135" s="6">
        <v>1.0</v>
      </c>
      <c r="J1135" s="8">
        <v>8.0</v>
      </c>
      <c r="K1135" s="5" t="str">
        <f t="shared" si="1"/>
        <v>Mumbai -&gt; Kolkata</v>
      </c>
    </row>
    <row r="1136" ht="15.75" customHeight="1">
      <c r="A1136" s="5" t="s">
        <v>1273</v>
      </c>
      <c r="B1136" s="5" t="s">
        <v>20</v>
      </c>
      <c r="C1136" s="6" t="s">
        <v>3040</v>
      </c>
      <c r="D1136" s="5" t="s">
        <v>251</v>
      </c>
      <c r="E1136" s="5" t="s">
        <v>31</v>
      </c>
      <c r="F1136" s="5" t="s">
        <v>132</v>
      </c>
      <c r="G1136" s="5" t="s">
        <v>33</v>
      </c>
      <c r="H1136" s="5" t="s">
        <v>35</v>
      </c>
      <c r="I1136" s="6" t="s">
        <v>180</v>
      </c>
      <c r="J1136" s="8">
        <v>16.42</v>
      </c>
      <c r="K1136" s="5" t="str">
        <f t="shared" si="1"/>
        <v>Mumbai -&gt; Kolkata</v>
      </c>
    </row>
    <row r="1137" ht="15.75" customHeight="1">
      <c r="A1137" s="5" t="s">
        <v>1338</v>
      </c>
      <c r="B1137" s="5" t="s">
        <v>43</v>
      </c>
      <c r="C1137" s="6" t="s">
        <v>3042</v>
      </c>
      <c r="D1137" s="5" t="s">
        <v>251</v>
      </c>
      <c r="E1137" s="5" t="s">
        <v>31</v>
      </c>
      <c r="F1137" s="5" t="s">
        <v>132</v>
      </c>
      <c r="G1137" s="5" t="s">
        <v>47</v>
      </c>
      <c r="H1137" s="5" t="s">
        <v>35</v>
      </c>
      <c r="I1137" s="6">
        <v>1.0</v>
      </c>
      <c r="J1137" s="8">
        <v>6.5</v>
      </c>
      <c r="K1137" s="5" t="str">
        <f t="shared" si="1"/>
        <v>Mumbai -&gt; Kolkata</v>
      </c>
    </row>
    <row r="1138" ht="15.75" customHeight="1">
      <c r="A1138" s="5" t="s">
        <v>1246</v>
      </c>
      <c r="B1138" s="5" t="s">
        <v>20</v>
      </c>
      <c r="C1138" s="6" t="s">
        <v>2955</v>
      </c>
      <c r="D1138" s="5" t="s">
        <v>251</v>
      </c>
      <c r="E1138" s="5" t="s">
        <v>31</v>
      </c>
      <c r="F1138" s="5" t="s">
        <v>132</v>
      </c>
      <c r="G1138" s="5" t="s">
        <v>35</v>
      </c>
      <c r="H1138" s="5" t="s">
        <v>33</v>
      </c>
      <c r="I1138" s="6">
        <v>1.0</v>
      </c>
      <c r="J1138" s="8">
        <v>11.67</v>
      </c>
      <c r="K1138" s="5" t="str">
        <f t="shared" si="1"/>
        <v>Mumbai -&gt; Kolkata</v>
      </c>
    </row>
    <row r="1139" ht="15.75" customHeight="1">
      <c r="A1139" s="5" t="s">
        <v>1277</v>
      </c>
      <c r="B1139" s="5" t="s">
        <v>45</v>
      </c>
      <c r="C1139" s="6" t="s">
        <v>2979</v>
      </c>
      <c r="D1139" s="5" t="s">
        <v>251</v>
      </c>
      <c r="E1139" s="5" t="s">
        <v>31</v>
      </c>
      <c r="F1139" s="5" t="s">
        <v>132</v>
      </c>
      <c r="G1139" s="5" t="s">
        <v>54</v>
      </c>
      <c r="H1139" s="5" t="s">
        <v>47</v>
      </c>
      <c r="I1139" s="6">
        <v>1.0</v>
      </c>
      <c r="J1139" s="8">
        <v>18.5</v>
      </c>
      <c r="K1139" s="5" t="str">
        <f t="shared" si="1"/>
        <v>Mumbai -&gt; Kolkata</v>
      </c>
    </row>
    <row r="1140" ht="15.75" customHeight="1">
      <c r="A1140" s="5" t="s">
        <v>1345</v>
      </c>
      <c r="B1140" s="5" t="s">
        <v>45</v>
      </c>
      <c r="C1140" s="6" t="s">
        <v>2945</v>
      </c>
      <c r="D1140" s="5" t="s">
        <v>251</v>
      </c>
      <c r="E1140" s="5" t="s">
        <v>31</v>
      </c>
      <c r="F1140" s="5" t="s">
        <v>132</v>
      </c>
      <c r="G1140" s="5" t="s">
        <v>54</v>
      </c>
      <c r="H1140" s="5" t="s">
        <v>33</v>
      </c>
      <c r="I1140" s="6" t="s">
        <v>180</v>
      </c>
      <c r="J1140" s="8">
        <v>15.5</v>
      </c>
      <c r="K1140" s="5" t="str">
        <f t="shared" si="1"/>
        <v>Mumbai -&gt; Kolkata</v>
      </c>
    </row>
    <row r="1141" ht="15.75" customHeight="1">
      <c r="A1141" s="5" t="s">
        <v>1298</v>
      </c>
      <c r="B1141" s="5" t="s">
        <v>45</v>
      </c>
      <c r="C1141" s="6" t="s">
        <v>191</v>
      </c>
      <c r="D1141" s="5" t="s">
        <v>251</v>
      </c>
      <c r="E1141" s="5" t="s">
        <v>31</v>
      </c>
      <c r="F1141" s="5" t="s">
        <v>132</v>
      </c>
      <c r="G1141" s="5" t="s">
        <v>33</v>
      </c>
      <c r="H1141" s="5" t="s">
        <v>35</v>
      </c>
      <c r="I1141" s="6" t="s">
        <v>180</v>
      </c>
      <c r="J1141" s="8">
        <v>34.08</v>
      </c>
      <c r="K1141" s="5" t="str">
        <f t="shared" si="1"/>
        <v>Mumbai -&gt; Kolkata</v>
      </c>
    </row>
    <row r="1142" ht="15.75" customHeight="1">
      <c r="A1142" s="5" t="s">
        <v>1320</v>
      </c>
      <c r="B1142" s="5" t="s">
        <v>43</v>
      </c>
      <c r="C1142" s="6" t="s">
        <v>3048</v>
      </c>
      <c r="D1142" s="5" t="s">
        <v>251</v>
      </c>
      <c r="E1142" s="5" t="s">
        <v>31</v>
      </c>
      <c r="F1142" s="5" t="s">
        <v>132</v>
      </c>
      <c r="G1142" s="5" t="s">
        <v>47</v>
      </c>
      <c r="H1142" s="5" t="s">
        <v>54</v>
      </c>
      <c r="I1142" s="6">
        <v>1.0</v>
      </c>
      <c r="J1142" s="8">
        <v>5.83</v>
      </c>
      <c r="K1142" s="5" t="str">
        <f t="shared" si="1"/>
        <v>Mumbai -&gt; Kolkata</v>
      </c>
    </row>
    <row r="1143" ht="15.75" customHeight="1">
      <c r="A1143" s="5" t="s">
        <v>1242</v>
      </c>
      <c r="B1143" s="5" t="s">
        <v>43</v>
      </c>
      <c r="C1143" s="6" t="s">
        <v>173</v>
      </c>
      <c r="D1143" s="5" t="s">
        <v>251</v>
      </c>
      <c r="E1143" s="5" t="s">
        <v>31</v>
      </c>
      <c r="F1143" s="5" t="s">
        <v>132</v>
      </c>
      <c r="G1143" s="5" t="s">
        <v>47</v>
      </c>
      <c r="H1143" s="5" t="s">
        <v>35</v>
      </c>
      <c r="I1143" s="6">
        <v>1.0</v>
      </c>
      <c r="J1143" s="8">
        <v>9.92</v>
      </c>
      <c r="K1143" s="5" t="str">
        <f t="shared" si="1"/>
        <v>Mumbai -&gt; Kolkata</v>
      </c>
    </row>
    <row r="1144" ht="15.75" customHeight="1">
      <c r="A1144" s="5" t="s">
        <v>1257</v>
      </c>
      <c r="B1144" s="5" t="s">
        <v>72</v>
      </c>
      <c r="C1144" s="6" t="s">
        <v>3052</v>
      </c>
      <c r="D1144" s="5" t="s">
        <v>251</v>
      </c>
      <c r="E1144" s="5" t="s">
        <v>31</v>
      </c>
      <c r="F1144" s="5" t="s">
        <v>132</v>
      </c>
      <c r="G1144" s="5" t="s">
        <v>33</v>
      </c>
      <c r="H1144" s="5" t="s">
        <v>35</v>
      </c>
      <c r="I1144" s="6">
        <v>1.0</v>
      </c>
      <c r="J1144" s="8">
        <v>15.5</v>
      </c>
      <c r="K1144" s="5" t="str">
        <f t="shared" si="1"/>
        <v>Mumbai -&gt; Kolkata</v>
      </c>
    </row>
    <row r="1145" ht="15.75" customHeight="1">
      <c r="A1145" s="5" t="s">
        <v>1313</v>
      </c>
      <c r="B1145" s="5" t="s">
        <v>72</v>
      </c>
      <c r="C1145" s="6" t="s">
        <v>3055</v>
      </c>
      <c r="D1145" s="5" t="s">
        <v>251</v>
      </c>
      <c r="E1145" s="5" t="s">
        <v>31</v>
      </c>
      <c r="F1145" s="5" t="s">
        <v>132</v>
      </c>
      <c r="G1145" s="5" t="s">
        <v>35</v>
      </c>
      <c r="H1145" s="5" t="s">
        <v>35</v>
      </c>
      <c r="I1145" s="6">
        <v>1.0</v>
      </c>
      <c r="J1145" s="8">
        <v>22.75</v>
      </c>
      <c r="K1145" s="5" t="str">
        <f t="shared" si="1"/>
        <v>Mumbai -&gt; Kolkata</v>
      </c>
    </row>
    <row r="1146" ht="15.75" customHeight="1">
      <c r="A1146" s="5" t="s">
        <v>1206</v>
      </c>
      <c r="B1146" s="5" t="s">
        <v>45</v>
      </c>
      <c r="C1146" s="6" t="s">
        <v>188</v>
      </c>
      <c r="D1146" s="5" t="s">
        <v>251</v>
      </c>
      <c r="E1146" s="5" t="s">
        <v>31</v>
      </c>
      <c r="F1146" s="5" t="s">
        <v>132</v>
      </c>
      <c r="G1146" s="5" t="s">
        <v>35</v>
      </c>
      <c r="H1146" s="5" t="s">
        <v>35</v>
      </c>
      <c r="I1146" s="6">
        <v>1.0</v>
      </c>
      <c r="J1146" s="8">
        <v>22.58</v>
      </c>
      <c r="K1146" s="5" t="str">
        <f t="shared" si="1"/>
        <v>Mumbai -&gt; Kolkata</v>
      </c>
    </row>
    <row r="1147" ht="15.75" customHeight="1">
      <c r="A1147" s="5" t="s">
        <v>1265</v>
      </c>
      <c r="B1147" s="5" t="s">
        <v>20</v>
      </c>
      <c r="C1147" s="6" t="s">
        <v>3058</v>
      </c>
      <c r="D1147" s="5" t="s">
        <v>251</v>
      </c>
      <c r="E1147" s="5" t="s">
        <v>31</v>
      </c>
      <c r="F1147" s="5" t="s">
        <v>132</v>
      </c>
      <c r="G1147" s="5" t="s">
        <v>33</v>
      </c>
      <c r="H1147" s="5" t="s">
        <v>54</v>
      </c>
      <c r="I1147" s="6">
        <v>1.0</v>
      </c>
      <c r="J1147" s="8">
        <v>10.83</v>
      </c>
      <c r="K1147" s="5" t="str">
        <f t="shared" si="1"/>
        <v>Mumbai -&gt; Kolkata</v>
      </c>
    </row>
    <row r="1148" ht="15.75" customHeight="1">
      <c r="A1148" s="5" t="s">
        <v>1254</v>
      </c>
      <c r="B1148" s="5" t="s">
        <v>20</v>
      </c>
      <c r="C1148" s="6" t="s">
        <v>278</v>
      </c>
      <c r="D1148" s="5" t="s">
        <v>251</v>
      </c>
      <c r="E1148" s="5" t="s">
        <v>31</v>
      </c>
      <c r="F1148" s="5" t="s">
        <v>132</v>
      </c>
      <c r="G1148" s="5" t="s">
        <v>47</v>
      </c>
      <c r="H1148" s="5" t="s">
        <v>33</v>
      </c>
      <c r="I1148" s="6">
        <v>1.0</v>
      </c>
      <c r="J1148" s="8">
        <v>20.17</v>
      </c>
      <c r="K1148" s="5" t="str">
        <f t="shared" si="1"/>
        <v>Mumbai -&gt; Kolkata</v>
      </c>
    </row>
    <row r="1149" ht="15.75" customHeight="1">
      <c r="A1149" s="5" t="s">
        <v>1218</v>
      </c>
      <c r="B1149" s="5" t="s">
        <v>43</v>
      </c>
      <c r="C1149" s="6">
        <v>6.0E-236</v>
      </c>
      <c r="D1149" s="5" t="s">
        <v>251</v>
      </c>
      <c r="E1149" s="5" t="s">
        <v>31</v>
      </c>
      <c r="F1149" s="5" t="s">
        <v>132</v>
      </c>
      <c r="G1149" s="5" t="s">
        <v>54</v>
      </c>
      <c r="H1149" s="5" t="s">
        <v>35</v>
      </c>
      <c r="I1149" s="6">
        <v>1.0</v>
      </c>
      <c r="J1149" s="8">
        <v>6.58</v>
      </c>
      <c r="K1149" s="5" t="str">
        <f t="shared" si="1"/>
        <v>Mumbai -&gt; Kolkata</v>
      </c>
    </row>
    <row r="1150" ht="15.75" customHeight="1">
      <c r="A1150" s="5" t="s">
        <v>1231</v>
      </c>
      <c r="B1150" s="5" t="s">
        <v>45</v>
      </c>
      <c r="C1150" s="6" t="s">
        <v>185</v>
      </c>
      <c r="D1150" s="5" t="s">
        <v>251</v>
      </c>
      <c r="E1150" s="5" t="s">
        <v>31</v>
      </c>
      <c r="F1150" s="5" t="s">
        <v>132</v>
      </c>
      <c r="G1150" s="5" t="s">
        <v>33</v>
      </c>
      <c r="H1150" s="5" t="s">
        <v>33</v>
      </c>
      <c r="I1150" s="6">
        <v>1.0</v>
      </c>
      <c r="J1150" s="8">
        <v>25.0</v>
      </c>
      <c r="K1150" s="5" t="str">
        <f t="shared" si="1"/>
        <v>Mumbai -&gt; Kolkata</v>
      </c>
    </row>
    <row r="1151" ht="15.75" customHeight="1">
      <c r="A1151" s="5" t="s">
        <v>1335</v>
      </c>
      <c r="B1151" s="5" t="s">
        <v>72</v>
      </c>
      <c r="C1151" s="6" t="s">
        <v>3064</v>
      </c>
      <c r="D1151" s="5" t="s">
        <v>251</v>
      </c>
      <c r="E1151" s="5" t="s">
        <v>31</v>
      </c>
      <c r="F1151" s="5" t="s">
        <v>132</v>
      </c>
      <c r="G1151" s="5" t="s">
        <v>33</v>
      </c>
      <c r="H1151" s="5" t="s">
        <v>35</v>
      </c>
      <c r="I1151" s="6">
        <v>1.0</v>
      </c>
      <c r="J1151" s="8">
        <v>10.25</v>
      </c>
      <c r="K1151" s="5" t="str">
        <f t="shared" si="1"/>
        <v>Mumbai -&gt; Kolkata</v>
      </c>
    </row>
    <row r="1152" ht="15.75" customHeight="1">
      <c r="A1152" s="5" t="s">
        <v>1199</v>
      </c>
      <c r="B1152" s="5" t="s">
        <v>58</v>
      </c>
      <c r="C1152" s="6" t="s">
        <v>2932</v>
      </c>
      <c r="D1152" s="5" t="s">
        <v>251</v>
      </c>
      <c r="E1152" s="5" t="s">
        <v>31</v>
      </c>
      <c r="F1152" s="5" t="s">
        <v>132</v>
      </c>
      <c r="G1152" s="5" t="s">
        <v>54</v>
      </c>
      <c r="H1152" s="5" t="s">
        <v>33</v>
      </c>
      <c r="I1152" s="6">
        <v>1.0</v>
      </c>
      <c r="J1152" s="8">
        <v>14.0</v>
      </c>
      <c r="K1152" s="5" t="str">
        <f t="shared" si="1"/>
        <v>Mumbai -&gt; Kolkata</v>
      </c>
    </row>
    <row r="1153" ht="15.75" customHeight="1">
      <c r="A1153" s="5" t="s">
        <v>1212</v>
      </c>
      <c r="B1153" s="5" t="s">
        <v>43</v>
      </c>
      <c r="C1153" s="6" t="s">
        <v>260</v>
      </c>
      <c r="D1153" s="5" t="s">
        <v>251</v>
      </c>
      <c r="E1153" s="5" t="s">
        <v>31</v>
      </c>
      <c r="F1153" s="5" t="s">
        <v>132</v>
      </c>
      <c r="G1153" s="5" t="s">
        <v>33</v>
      </c>
      <c r="H1153" s="5" t="s">
        <v>54</v>
      </c>
      <c r="I1153" s="6">
        <v>1.0</v>
      </c>
      <c r="J1153" s="8">
        <v>8.5</v>
      </c>
      <c r="K1153" s="5" t="str">
        <f t="shared" si="1"/>
        <v>Mumbai -&gt; Kolkata</v>
      </c>
    </row>
    <row r="1154" ht="15.75" customHeight="1">
      <c r="A1154" s="5" t="s">
        <v>1281</v>
      </c>
      <c r="B1154" s="5" t="s">
        <v>43</v>
      </c>
      <c r="C1154" s="6" t="s">
        <v>3067</v>
      </c>
      <c r="D1154" s="5" t="s">
        <v>251</v>
      </c>
      <c r="E1154" s="5" t="s">
        <v>31</v>
      </c>
      <c r="F1154" s="5" t="s">
        <v>132</v>
      </c>
      <c r="G1154" s="5" t="s">
        <v>54</v>
      </c>
      <c r="H1154" s="5" t="s">
        <v>35</v>
      </c>
      <c r="I1154" s="6">
        <v>1.0</v>
      </c>
      <c r="J1154" s="8">
        <v>6.67</v>
      </c>
      <c r="K1154" s="5" t="str">
        <f t="shared" si="1"/>
        <v>Mumbai -&gt; Kolkata</v>
      </c>
    </row>
    <row r="1155" ht="15.75" customHeight="1">
      <c r="A1155" s="5" t="s">
        <v>1310</v>
      </c>
      <c r="B1155" s="5" t="s">
        <v>45</v>
      </c>
      <c r="C1155" s="6" t="s">
        <v>3069</v>
      </c>
      <c r="D1155" s="5" t="s">
        <v>251</v>
      </c>
      <c r="E1155" s="5" t="s">
        <v>31</v>
      </c>
      <c r="F1155" s="5" t="s">
        <v>132</v>
      </c>
      <c r="G1155" s="5" t="s">
        <v>33</v>
      </c>
      <c r="H1155" s="5" t="s">
        <v>33</v>
      </c>
      <c r="I1155" s="6" t="s">
        <v>180</v>
      </c>
      <c r="J1155" s="8">
        <v>27.25</v>
      </c>
      <c r="K1155" s="5" t="str">
        <f t="shared" si="1"/>
        <v>Mumbai -&gt; Kolkata</v>
      </c>
    </row>
    <row r="1156" ht="15.75" customHeight="1">
      <c r="A1156" s="5" t="s">
        <v>1342</v>
      </c>
      <c r="B1156" s="5" t="s">
        <v>45</v>
      </c>
      <c r="C1156" s="6" t="s">
        <v>3013</v>
      </c>
      <c r="D1156" s="5" t="s">
        <v>251</v>
      </c>
      <c r="E1156" s="5" t="s">
        <v>31</v>
      </c>
      <c r="F1156" s="5" t="s">
        <v>132</v>
      </c>
      <c r="G1156" s="5" t="s">
        <v>54</v>
      </c>
      <c r="H1156" s="5" t="s">
        <v>47</v>
      </c>
      <c r="I1156" s="6">
        <v>1.0</v>
      </c>
      <c r="J1156" s="8">
        <v>20.58</v>
      </c>
      <c r="K1156" s="5" t="str">
        <f t="shared" si="1"/>
        <v>Mumbai -&gt; Kolkata</v>
      </c>
    </row>
    <row r="1157" ht="15.75" customHeight="1">
      <c r="A1157" s="5" t="s">
        <v>1262</v>
      </c>
      <c r="B1157" s="5" t="s">
        <v>43</v>
      </c>
      <c r="C1157" s="6" t="s">
        <v>3072</v>
      </c>
      <c r="D1157" s="5" t="s">
        <v>251</v>
      </c>
      <c r="E1157" s="5" t="s">
        <v>31</v>
      </c>
      <c r="F1157" s="5" t="s">
        <v>132</v>
      </c>
      <c r="G1157" s="5" t="s">
        <v>33</v>
      </c>
      <c r="H1157" s="5" t="s">
        <v>54</v>
      </c>
      <c r="I1157" s="6">
        <v>1.0</v>
      </c>
      <c r="J1157" s="8">
        <v>8.08</v>
      </c>
      <c r="K1157" s="5" t="str">
        <f t="shared" si="1"/>
        <v>Mumbai -&gt; Kolkata</v>
      </c>
    </row>
    <row r="1158" ht="15.75" customHeight="1">
      <c r="A1158" s="5" t="s">
        <v>1251</v>
      </c>
      <c r="B1158" s="5" t="s">
        <v>20</v>
      </c>
      <c r="C1158" s="6" t="s">
        <v>3073</v>
      </c>
      <c r="D1158" s="5" t="s">
        <v>251</v>
      </c>
      <c r="E1158" s="5" t="s">
        <v>31</v>
      </c>
      <c r="F1158" s="5" t="s">
        <v>132</v>
      </c>
      <c r="G1158" s="5" t="s">
        <v>54</v>
      </c>
      <c r="H1158" s="5" t="s">
        <v>54</v>
      </c>
      <c r="I1158" s="6">
        <v>1.0</v>
      </c>
      <c r="J1158" s="8">
        <v>23.83</v>
      </c>
      <c r="K1158" s="5" t="str">
        <f t="shared" si="1"/>
        <v>Mumbai -&gt; Kolkata</v>
      </c>
    </row>
    <row r="1159" ht="15.75" customHeight="1">
      <c r="A1159" s="5" t="s">
        <v>1235</v>
      </c>
      <c r="B1159" s="5" t="s">
        <v>20</v>
      </c>
      <c r="C1159" s="6" t="s">
        <v>3073</v>
      </c>
      <c r="D1159" s="5" t="s">
        <v>251</v>
      </c>
      <c r="E1159" s="5" t="s">
        <v>31</v>
      </c>
      <c r="F1159" s="5" t="s">
        <v>132</v>
      </c>
      <c r="G1159" s="5" t="s">
        <v>54</v>
      </c>
      <c r="H1159" s="5" t="s">
        <v>33</v>
      </c>
      <c r="I1159" s="6">
        <v>1.0</v>
      </c>
      <c r="J1159" s="8">
        <v>13.83</v>
      </c>
      <c r="K1159" s="5" t="str">
        <f t="shared" si="1"/>
        <v>Mumbai -&gt; Kolkata</v>
      </c>
    </row>
    <row r="1160" ht="15.75" customHeight="1">
      <c r="A1160" s="5" t="s">
        <v>1202</v>
      </c>
      <c r="B1160" s="5" t="s">
        <v>20</v>
      </c>
      <c r="C1160" s="6" t="s">
        <v>3073</v>
      </c>
      <c r="D1160" s="5" t="s">
        <v>251</v>
      </c>
      <c r="E1160" s="5" t="s">
        <v>31</v>
      </c>
      <c r="F1160" s="5" t="s">
        <v>132</v>
      </c>
      <c r="G1160" s="5" t="s">
        <v>54</v>
      </c>
      <c r="H1160" s="5" t="s">
        <v>54</v>
      </c>
      <c r="I1160" s="6">
        <v>1.0</v>
      </c>
      <c r="J1160" s="8">
        <v>22.33</v>
      </c>
      <c r="K1160" s="5" t="str">
        <f t="shared" si="1"/>
        <v>Mumbai -&gt; Kolkata</v>
      </c>
    </row>
    <row r="1161" ht="15.75" customHeight="1">
      <c r="A1161" s="5" t="s">
        <v>1223</v>
      </c>
      <c r="B1161" s="5" t="s">
        <v>20</v>
      </c>
      <c r="C1161" s="6" t="s">
        <v>241</v>
      </c>
      <c r="D1161" s="5" t="s">
        <v>251</v>
      </c>
      <c r="E1161" s="5" t="s">
        <v>31</v>
      </c>
      <c r="F1161" s="5" t="s">
        <v>132</v>
      </c>
      <c r="G1161" s="5" t="s">
        <v>33</v>
      </c>
      <c r="H1161" s="5" t="s">
        <v>54</v>
      </c>
      <c r="I1161" s="6">
        <v>1.0</v>
      </c>
      <c r="J1161" s="8">
        <v>7.67</v>
      </c>
      <c r="K1161" s="5" t="str">
        <f t="shared" si="1"/>
        <v>Mumbai -&gt; Kolkata</v>
      </c>
    </row>
    <row r="1162" ht="15.75" customHeight="1">
      <c r="A1162" s="5" t="s">
        <v>1409</v>
      </c>
      <c r="B1162" s="5" t="s">
        <v>45</v>
      </c>
      <c r="C1162" s="6" t="s">
        <v>264</v>
      </c>
      <c r="D1162" s="5" t="s">
        <v>276</v>
      </c>
      <c r="E1162" s="5" t="s">
        <v>31</v>
      </c>
      <c r="F1162" s="5" t="s">
        <v>154</v>
      </c>
      <c r="G1162" s="5" t="s">
        <v>54</v>
      </c>
      <c r="H1162" s="5" t="s">
        <v>54</v>
      </c>
      <c r="I1162" s="6">
        <v>1.0</v>
      </c>
      <c r="J1162" s="8">
        <v>24.25</v>
      </c>
      <c r="K1162" s="5" t="str">
        <f t="shared" si="1"/>
        <v>Mumbai -&gt; Hyderabad</v>
      </c>
    </row>
    <row r="1163" ht="15.75" customHeight="1">
      <c r="A1163" s="5" t="s">
        <v>1469</v>
      </c>
      <c r="B1163" s="5" t="s">
        <v>58</v>
      </c>
      <c r="C1163" s="6" t="s">
        <v>3078</v>
      </c>
      <c r="D1163" s="5" t="s">
        <v>276</v>
      </c>
      <c r="E1163" s="5" t="s">
        <v>31</v>
      </c>
      <c r="F1163" s="5" t="s">
        <v>154</v>
      </c>
      <c r="G1163" s="5" t="s">
        <v>47</v>
      </c>
      <c r="H1163" s="5" t="s">
        <v>35</v>
      </c>
      <c r="I1163" s="6">
        <v>1.0</v>
      </c>
      <c r="J1163" s="8">
        <v>9.33</v>
      </c>
      <c r="K1163" s="5" t="str">
        <f t="shared" si="1"/>
        <v>Mumbai -&gt; Hyderabad</v>
      </c>
    </row>
    <row r="1164" ht="15.75" customHeight="1">
      <c r="A1164" s="5" t="s">
        <v>1484</v>
      </c>
      <c r="B1164" s="5" t="s">
        <v>58</v>
      </c>
      <c r="C1164" s="6" t="s">
        <v>3080</v>
      </c>
      <c r="D1164" s="5" t="s">
        <v>276</v>
      </c>
      <c r="E1164" s="5" t="s">
        <v>31</v>
      </c>
      <c r="F1164" s="5" t="s">
        <v>154</v>
      </c>
      <c r="G1164" s="5" t="s">
        <v>33</v>
      </c>
      <c r="H1164" s="5" t="s">
        <v>35</v>
      </c>
      <c r="I1164" s="6">
        <v>1.0</v>
      </c>
      <c r="J1164" s="8">
        <v>14.58</v>
      </c>
      <c r="K1164" s="5" t="str">
        <f t="shared" si="1"/>
        <v>Mumbai -&gt; Hyderabad</v>
      </c>
    </row>
    <row r="1165" ht="15.75" customHeight="1">
      <c r="A1165" s="5" t="s">
        <v>1399</v>
      </c>
      <c r="B1165" s="5" t="s">
        <v>45</v>
      </c>
      <c r="C1165" s="6" t="s">
        <v>264</v>
      </c>
      <c r="D1165" s="5" t="s">
        <v>276</v>
      </c>
      <c r="E1165" s="5" t="s">
        <v>31</v>
      </c>
      <c r="F1165" s="5" t="s">
        <v>154</v>
      </c>
      <c r="G1165" s="5" t="s">
        <v>54</v>
      </c>
      <c r="H1165" s="5" t="s">
        <v>35</v>
      </c>
      <c r="I1165" s="6">
        <v>1.0</v>
      </c>
      <c r="J1165" s="8">
        <v>25.83</v>
      </c>
      <c r="K1165" s="5" t="str">
        <f t="shared" si="1"/>
        <v>Mumbai -&gt; Hyderabad</v>
      </c>
    </row>
    <row r="1166" ht="15.75" customHeight="1">
      <c r="A1166" s="5" t="s">
        <v>1375</v>
      </c>
      <c r="B1166" s="5" t="s">
        <v>20</v>
      </c>
      <c r="C1166" s="6" t="s">
        <v>306</v>
      </c>
      <c r="D1166" s="5" t="s">
        <v>276</v>
      </c>
      <c r="E1166" s="5" t="s">
        <v>31</v>
      </c>
      <c r="F1166" s="5" t="s">
        <v>154</v>
      </c>
      <c r="G1166" s="5" t="s">
        <v>47</v>
      </c>
      <c r="H1166" s="5" t="s">
        <v>35</v>
      </c>
      <c r="I1166" s="6" t="s">
        <v>180</v>
      </c>
      <c r="J1166" s="8">
        <v>10.75</v>
      </c>
      <c r="K1166" s="5" t="str">
        <f t="shared" si="1"/>
        <v>Mumbai -&gt; Hyderabad</v>
      </c>
    </row>
    <row r="1167" ht="15.75" customHeight="1">
      <c r="A1167" s="5" t="s">
        <v>1490</v>
      </c>
      <c r="B1167" s="5" t="s">
        <v>45</v>
      </c>
      <c r="C1167" s="6" t="s">
        <v>3084</v>
      </c>
      <c r="D1167" s="5" t="s">
        <v>276</v>
      </c>
      <c r="E1167" s="5" t="s">
        <v>31</v>
      </c>
      <c r="F1167" s="5" t="s">
        <v>154</v>
      </c>
      <c r="G1167" s="5" t="s">
        <v>33</v>
      </c>
      <c r="H1167" s="5" t="s">
        <v>33</v>
      </c>
      <c r="I1167" s="6">
        <v>1.0</v>
      </c>
      <c r="J1167" s="8">
        <v>26.67</v>
      </c>
      <c r="K1167" s="5" t="str">
        <f t="shared" si="1"/>
        <v>Mumbai -&gt; Hyderabad</v>
      </c>
    </row>
    <row r="1168" ht="15.75" customHeight="1">
      <c r="A1168" s="5" t="s">
        <v>1465</v>
      </c>
      <c r="B1168" s="5" t="s">
        <v>45</v>
      </c>
      <c r="C1168" s="6" t="s">
        <v>170</v>
      </c>
      <c r="D1168" s="5" t="s">
        <v>276</v>
      </c>
      <c r="E1168" s="5" t="s">
        <v>31</v>
      </c>
      <c r="F1168" s="5" t="s">
        <v>154</v>
      </c>
      <c r="G1168" s="5" t="s">
        <v>47</v>
      </c>
      <c r="H1168" s="5" t="s">
        <v>35</v>
      </c>
      <c r="I1168" s="6">
        <v>1.0</v>
      </c>
      <c r="J1168" s="8">
        <v>8.17</v>
      </c>
      <c r="K1168" s="5" t="str">
        <f t="shared" si="1"/>
        <v>Mumbai -&gt; Hyderabad</v>
      </c>
    </row>
    <row r="1169" ht="15.75" customHeight="1">
      <c r="A1169" s="5" t="s">
        <v>1421</v>
      </c>
      <c r="B1169" s="5" t="s">
        <v>45</v>
      </c>
      <c r="C1169" s="6" t="s">
        <v>3087</v>
      </c>
      <c r="D1169" s="5" t="s">
        <v>276</v>
      </c>
      <c r="E1169" s="5" t="s">
        <v>31</v>
      </c>
      <c r="F1169" s="5" t="s">
        <v>154</v>
      </c>
      <c r="G1169" s="5" t="s">
        <v>54</v>
      </c>
      <c r="H1169" s="5" t="s">
        <v>33</v>
      </c>
      <c r="I1169" s="6">
        <v>1.0</v>
      </c>
      <c r="J1169" s="8">
        <v>16.08</v>
      </c>
      <c r="K1169" s="5" t="str">
        <f t="shared" si="1"/>
        <v>Mumbai -&gt; Hyderabad</v>
      </c>
    </row>
    <row r="1170" ht="15.75" customHeight="1">
      <c r="A1170" s="5" t="s">
        <v>1363</v>
      </c>
      <c r="B1170" s="5" t="s">
        <v>20</v>
      </c>
      <c r="C1170" s="6" t="s">
        <v>167</v>
      </c>
      <c r="D1170" s="5" t="s">
        <v>276</v>
      </c>
      <c r="E1170" s="5" t="s">
        <v>31</v>
      </c>
      <c r="F1170" s="5" t="s">
        <v>154</v>
      </c>
      <c r="G1170" s="5" t="s">
        <v>47</v>
      </c>
      <c r="H1170" s="5" t="s">
        <v>47</v>
      </c>
      <c r="I1170" s="6">
        <v>1.0</v>
      </c>
      <c r="J1170" s="8">
        <v>21.92</v>
      </c>
      <c r="K1170" s="5" t="str">
        <f t="shared" si="1"/>
        <v>Mumbai -&gt; Hyderabad</v>
      </c>
    </row>
    <row r="1171" ht="15.75" customHeight="1">
      <c r="A1171" s="5" t="s">
        <v>1367</v>
      </c>
      <c r="B1171" s="5" t="s">
        <v>20</v>
      </c>
      <c r="C1171" s="6" t="s">
        <v>202</v>
      </c>
      <c r="D1171" s="5" t="s">
        <v>276</v>
      </c>
      <c r="E1171" s="5" t="s">
        <v>31</v>
      </c>
      <c r="F1171" s="5" t="s">
        <v>154</v>
      </c>
      <c r="G1171" s="5" t="s">
        <v>54</v>
      </c>
      <c r="H1171" s="5" t="s">
        <v>33</v>
      </c>
      <c r="I1171" s="6">
        <v>1.0</v>
      </c>
      <c r="J1171" s="8">
        <v>15.17</v>
      </c>
      <c r="K1171" s="5" t="str">
        <f t="shared" si="1"/>
        <v>Mumbai -&gt; Hyderabad</v>
      </c>
    </row>
    <row r="1172" ht="15.75" customHeight="1">
      <c r="A1172" s="5" t="s">
        <v>1461</v>
      </c>
      <c r="B1172" s="5" t="s">
        <v>43</v>
      </c>
      <c r="C1172" s="6" t="s">
        <v>3090</v>
      </c>
      <c r="D1172" s="5" t="s">
        <v>276</v>
      </c>
      <c r="E1172" s="5" t="s">
        <v>31</v>
      </c>
      <c r="F1172" s="5" t="s">
        <v>154</v>
      </c>
      <c r="G1172" s="5" t="s">
        <v>33</v>
      </c>
      <c r="H1172" s="5" t="s">
        <v>54</v>
      </c>
      <c r="I1172" s="6">
        <v>1.0</v>
      </c>
      <c r="J1172" s="8">
        <v>10.58</v>
      </c>
      <c r="K1172" s="5" t="str">
        <f t="shared" si="1"/>
        <v>Mumbai -&gt; Hyderabad</v>
      </c>
    </row>
    <row r="1173" ht="15.75" customHeight="1">
      <c r="A1173" s="5" t="s">
        <v>1428</v>
      </c>
      <c r="B1173" s="5" t="s">
        <v>45</v>
      </c>
      <c r="C1173" s="6" t="s">
        <v>188</v>
      </c>
      <c r="D1173" s="5" t="s">
        <v>276</v>
      </c>
      <c r="E1173" s="5" t="s">
        <v>31</v>
      </c>
      <c r="F1173" s="5" t="s">
        <v>154</v>
      </c>
      <c r="G1173" s="5" t="s">
        <v>35</v>
      </c>
      <c r="H1173" s="5" t="s">
        <v>54</v>
      </c>
      <c r="I1173" s="6">
        <v>1.0</v>
      </c>
      <c r="J1173" s="8">
        <v>22.25</v>
      </c>
      <c r="K1173" s="5" t="str">
        <f t="shared" si="1"/>
        <v>Mumbai -&gt; Hyderabad</v>
      </c>
    </row>
    <row r="1174" ht="15.75" customHeight="1">
      <c r="A1174" s="5" t="s">
        <v>1473</v>
      </c>
      <c r="B1174" s="5" t="s">
        <v>20</v>
      </c>
      <c r="C1174" s="6" t="s">
        <v>2952</v>
      </c>
      <c r="D1174" s="5" t="s">
        <v>276</v>
      </c>
      <c r="E1174" s="5" t="s">
        <v>31</v>
      </c>
      <c r="F1174" s="5" t="s">
        <v>154</v>
      </c>
      <c r="G1174" s="5" t="s">
        <v>33</v>
      </c>
      <c r="H1174" s="5" t="s">
        <v>54</v>
      </c>
      <c r="I1174" s="6">
        <v>1.0</v>
      </c>
      <c r="J1174" s="8">
        <v>13.83</v>
      </c>
      <c r="K1174" s="5" t="str">
        <f t="shared" si="1"/>
        <v>Mumbai -&gt; Hyderabad</v>
      </c>
    </row>
    <row r="1175" ht="15.75" customHeight="1">
      <c r="A1175" s="5" t="s">
        <v>1356</v>
      </c>
      <c r="B1175" s="5" t="s">
        <v>20</v>
      </c>
      <c r="C1175" s="6" t="s">
        <v>278</v>
      </c>
      <c r="D1175" s="5" t="s">
        <v>276</v>
      </c>
      <c r="E1175" s="5" t="s">
        <v>31</v>
      </c>
      <c r="F1175" s="5" t="s">
        <v>154</v>
      </c>
      <c r="G1175" s="5" t="s">
        <v>47</v>
      </c>
      <c r="H1175" s="5" t="s">
        <v>33</v>
      </c>
      <c r="I1175" s="6">
        <v>1.0</v>
      </c>
      <c r="J1175" s="8">
        <v>21.25</v>
      </c>
      <c r="K1175" s="5" t="str">
        <f t="shared" si="1"/>
        <v>Mumbai -&gt; Hyderabad</v>
      </c>
    </row>
    <row r="1176" ht="15.75" customHeight="1">
      <c r="A1176" s="5" t="s">
        <v>1476</v>
      </c>
      <c r="B1176" s="5" t="s">
        <v>45</v>
      </c>
      <c r="C1176" s="6" t="s">
        <v>2941</v>
      </c>
      <c r="D1176" s="5" t="s">
        <v>276</v>
      </c>
      <c r="E1176" s="5" t="s">
        <v>31</v>
      </c>
      <c r="F1176" s="5" t="s">
        <v>154</v>
      </c>
      <c r="G1176" s="5" t="s">
        <v>35</v>
      </c>
      <c r="H1176" s="5" t="s">
        <v>47</v>
      </c>
      <c r="I1176" s="6">
        <v>1.0</v>
      </c>
      <c r="J1176" s="8">
        <v>15.92</v>
      </c>
      <c r="K1176" s="5" t="str">
        <f t="shared" si="1"/>
        <v>Mumbai -&gt; Hyderabad</v>
      </c>
    </row>
    <row r="1177" ht="15.75" customHeight="1">
      <c r="A1177" s="5" t="s">
        <v>1438</v>
      </c>
      <c r="B1177" s="5" t="s">
        <v>45</v>
      </c>
      <c r="C1177" s="6" t="s">
        <v>204</v>
      </c>
      <c r="D1177" s="5" t="s">
        <v>276</v>
      </c>
      <c r="E1177" s="5" t="s">
        <v>31</v>
      </c>
      <c r="F1177" s="5" t="s">
        <v>154</v>
      </c>
      <c r="G1177" s="5" t="s">
        <v>33</v>
      </c>
      <c r="H1177" s="5" t="s">
        <v>33</v>
      </c>
      <c r="I1177" s="6">
        <v>1.0</v>
      </c>
      <c r="J1177" s="8">
        <v>26.08</v>
      </c>
      <c r="K1177" s="5" t="str">
        <f t="shared" si="1"/>
        <v>Mumbai -&gt; Hyderabad</v>
      </c>
    </row>
    <row r="1178" ht="15.75" customHeight="1">
      <c r="A1178" s="5" t="s">
        <v>1406</v>
      </c>
      <c r="B1178" s="5" t="s">
        <v>43</v>
      </c>
      <c r="C1178" s="6">
        <v>6.0E-179</v>
      </c>
      <c r="D1178" s="5" t="s">
        <v>276</v>
      </c>
      <c r="E1178" s="5" t="s">
        <v>31</v>
      </c>
      <c r="F1178" s="5" t="s">
        <v>154</v>
      </c>
      <c r="G1178" s="5" t="s">
        <v>33</v>
      </c>
      <c r="H1178" s="5" t="s">
        <v>54</v>
      </c>
      <c r="I1178" s="6">
        <v>1.0</v>
      </c>
      <c r="J1178" s="8">
        <v>7.58</v>
      </c>
      <c r="K1178" s="5" t="str">
        <f t="shared" si="1"/>
        <v>Mumbai -&gt; Hyderabad</v>
      </c>
    </row>
    <row r="1179" ht="15.75" customHeight="1">
      <c r="A1179" s="5" t="s">
        <v>1425</v>
      </c>
      <c r="B1179" s="5" t="s">
        <v>20</v>
      </c>
      <c r="C1179" s="6" t="s">
        <v>227</v>
      </c>
      <c r="D1179" s="5" t="s">
        <v>276</v>
      </c>
      <c r="E1179" s="5" t="s">
        <v>31</v>
      </c>
      <c r="F1179" s="5" t="s">
        <v>154</v>
      </c>
      <c r="G1179" s="5" t="s">
        <v>33</v>
      </c>
      <c r="H1179" s="5" t="s">
        <v>54</v>
      </c>
      <c r="I1179" s="6">
        <v>1.0</v>
      </c>
      <c r="J1179" s="8">
        <v>12.42</v>
      </c>
      <c r="K1179" s="5" t="str">
        <f t="shared" si="1"/>
        <v>Mumbai -&gt; Hyderabad</v>
      </c>
    </row>
    <row r="1180" ht="15.75" customHeight="1">
      <c r="A1180" s="5" t="s">
        <v>1451</v>
      </c>
      <c r="B1180" s="5" t="s">
        <v>45</v>
      </c>
      <c r="C1180" s="6" t="s">
        <v>264</v>
      </c>
      <c r="D1180" s="5" t="s">
        <v>276</v>
      </c>
      <c r="E1180" s="5" t="s">
        <v>31</v>
      </c>
      <c r="F1180" s="5" t="s">
        <v>154</v>
      </c>
      <c r="G1180" s="5" t="s">
        <v>54</v>
      </c>
      <c r="H1180" s="5" t="s">
        <v>33</v>
      </c>
      <c r="I1180" s="6">
        <v>1.0</v>
      </c>
      <c r="J1180" s="8">
        <v>14.0</v>
      </c>
      <c r="K1180" s="5" t="str">
        <f t="shared" si="1"/>
        <v>Mumbai -&gt; Hyderabad</v>
      </c>
    </row>
    <row r="1181" ht="15.75" customHeight="1">
      <c r="A1181" s="5" t="s">
        <v>1378</v>
      </c>
      <c r="B1181" s="5" t="s">
        <v>45</v>
      </c>
      <c r="C1181" s="6" t="s">
        <v>3013</v>
      </c>
      <c r="D1181" s="5" t="s">
        <v>276</v>
      </c>
      <c r="E1181" s="5" t="s">
        <v>31</v>
      </c>
      <c r="F1181" s="5" t="s">
        <v>154</v>
      </c>
      <c r="G1181" s="5" t="s">
        <v>35</v>
      </c>
      <c r="H1181" s="5" t="s">
        <v>35</v>
      </c>
      <c r="I1181" s="6">
        <v>0.0</v>
      </c>
      <c r="J1181" s="8">
        <v>1.33</v>
      </c>
      <c r="K1181" s="5" t="str">
        <f t="shared" si="1"/>
        <v>Mumbai -&gt; Hyderabad</v>
      </c>
    </row>
    <row r="1182" ht="15.75" customHeight="1">
      <c r="A1182" s="5" t="s">
        <v>1391</v>
      </c>
      <c r="B1182" s="5" t="s">
        <v>45</v>
      </c>
      <c r="C1182" s="6" t="s">
        <v>3101</v>
      </c>
      <c r="D1182" s="5" t="s">
        <v>276</v>
      </c>
      <c r="E1182" s="5" t="s">
        <v>31</v>
      </c>
      <c r="F1182" s="5" t="s">
        <v>154</v>
      </c>
      <c r="G1182" s="5" t="s">
        <v>35</v>
      </c>
      <c r="H1182" s="5" t="s">
        <v>35</v>
      </c>
      <c r="I1182" s="6">
        <v>1.0</v>
      </c>
      <c r="J1182" s="8">
        <v>24.08</v>
      </c>
      <c r="K1182" s="5" t="str">
        <f t="shared" si="1"/>
        <v>Mumbai -&gt; Hyderabad</v>
      </c>
    </row>
    <row r="1183" ht="15.75" customHeight="1">
      <c r="A1183" s="5" t="s">
        <v>1441</v>
      </c>
      <c r="B1183" s="5" t="s">
        <v>45</v>
      </c>
      <c r="C1183" s="6" t="s">
        <v>3104</v>
      </c>
      <c r="D1183" s="5" t="s">
        <v>276</v>
      </c>
      <c r="E1183" s="5" t="s">
        <v>31</v>
      </c>
      <c r="F1183" s="5" t="s">
        <v>154</v>
      </c>
      <c r="G1183" s="5" t="s">
        <v>33</v>
      </c>
      <c r="H1183" s="5" t="s">
        <v>33</v>
      </c>
      <c r="I1183" s="6">
        <v>0.0</v>
      </c>
      <c r="J1183" s="8">
        <v>1.5</v>
      </c>
      <c r="K1183" s="5" t="str">
        <f t="shared" si="1"/>
        <v>Mumbai -&gt; Hyderabad</v>
      </c>
    </row>
    <row r="1184" ht="15.75" customHeight="1">
      <c r="A1184" s="5" t="s">
        <v>1434</v>
      </c>
      <c r="B1184" s="5" t="s">
        <v>58</v>
      </c>
      <c r="C1184" s="6" t="s">
        <v>3106</v>
      </c>
      <c r="D1184" s="5" t="s">
        <v>276</v>
      </c>
      <c r="E1184" s="5" t="s">
        <v>31</v>
      </c>
      <c r="F1184" s="5" t="s">
        <v>154</v>
      </c>
      <c r="G1184" s="5" t="s">
        <v>47</v>
      </c>
      <c r="H1184" s="5" t="s">
        <v>35</v>
      </c>
      <c r="I1184" s="6">
        <v>1.0</v>
      </c>
      <c r="J1184" s="8">
        <v>9.5</v>
      </c>
      <c r="K1184" s="5" t="str">
        <f t="shared" si="1"/>
        <v>Mumbai -&gt; Hyderabad</v>
      </c>
    </row>
    <row r="1185" ht="15.75" customHeight="1">
      <c r="A1185" s="5" t="s">
        <v>1454</v>
      </c>
      <c r="B1185" s="5" t="s">
        <v>45</v>
      </c>
      <c r="C1185" s="6" t="s">
        <v>170</v>
      </c>
      <c r="D1185" s="5" t="s">
        <v>276</v>
      </c>
      <c r="E1185" s="5" t="s">
        <v>31</v>
      </c>
      <c r="F1185" s="5" t="s">
        <v>154</v>
      </c>
      <c r="G1185" s="5" t="s">
        <v>47</v>
      </c>
      <c r="H1185" s="5" t="s">
        <v>33</v>
      </c>
      <c r="I1185" s="6">
        <v>1.0</v>
      </c>
      <c r="J1185" s="8">
        <v>17.42</v>
      </c>
      <c r="K1185" s="5" t="str">
        <f t="shared" si="1"/>
        <v>Mumbai -&gt; Hyderabad</v>
      </c>
    </row>
    <row r="1186" ht="15.75" customHeight="1">
      <c r="A1186" s="5" t="s">
        <v>1447</v>
      </c>
      <c r="B1186" s="5" t="s">
        <v>58</v>
      </c>
      <c r="C1186" s="6" t="s">
        <v>3109</v>
      </c>
      <c r="D1186" s="5" t="s">
        <v>276</v>
      </c>
      <c r="E1186" s="5" t="s">
        <v>31</v>
      </c>
      <c r="F1186" s="5" t="s">
        <v>154</v>
      </c>
      <c r="G1186" s="5" t="s">
        <v>35</v>
      </c>
      <c r="H1186" s="5" t="s">
        <v>33</v>
      </c>
      <c r="I1186" s="6">
        <v>1.0</v>
      </c>
      <c r="J1186" s="8">
        <v>9.83</v>
      </c>
      <c r="K1186" s="5" t="str">
        <f t="shared" si="1"/>
        <v>Mumbai -&gt; Hyderabad</v>
      </c>
    </row>
    <row r="1187" ht="15.75" customHeight="1">
      <c r="A1187" s="5" t="s">
        <v>1395</v>
      </c>
      <c r="B1187" s="5" t="s">
        <v>20</v>
      </c>
      <c r="C1187" s="6" t="s">
        <v>2955</v>
      </c>
      <c r="D1187" s="5" t="s">
        <v>276</v>
      </c>
      <c r="E1187" s="5" t="s">
        <v>31</v>
      </c>
      <c r="F1187" s="5" t="s">
        <v>154</v>
      </c>
      <c r="G1187" s="5" t="s">
        <v>35</v>
      </c>
      <c r="H1187" s="5" t="s">
        <v>35</v>
      </c>
      <c r="I1187" s="6">
        <v>1.0</v>
      </c>
      <c r="J1187" s="8">
        <v>26.0</v>
      </c>
      <c r="K1187" s="5" t="str">
        <f t="shared" si="1"/>
        <v>Mumbai -&gt; Hyderabad</v>
      </c>
    </row>
    <row r="1188" ht="15.75" customHeight="1">
      <c r="A1188" s="5" t="s">
        <v>1352</v>
      </c>
      <c r="B1188" s="5" t="s">
        <v>45</v>
      </c>
      <c r="C1188" s="6" t="s">
        <v>264</v>
      </c>
      <c r="D1188" s="5" t="s">
        <v>276</v>
      </c>
      <c r="E1188" s="5" t="s">
        <v>31</v>
      </c>
      <c r="F1188" s="5" t="s">
        <v>154</v>
      </c>
      <c r="G1188" s="5" t="s">
        <v>54</v>
      </c>
      <c r="H1188" s="5" t="s">
        <v>33</v>
      </c>
      <c r="I1188" s="6">
        <v>1.0</v>
      </c>
      <c r="J1188" s="8">
        <v>16.92</v>
      </c>
      <c r="K1188" s="5" t="str">
        <f t="shared" si="1"/>
        <v>Mumbai -&gt; Hyderabad</v>
      </c>
    </row>
    <row r="1189" ht="15.75" customHeight="1">
      <c r="A1189" s="5" t="s">
        <v>1403</v>
      </c>
      <c r="B1189" s="5" t="s">
        <v>20</v>
      </c>
      <c r="C1189" s="6" t="s">
        <v>219</v>
      </c>
      <c r="D1189" s="5" t="s">
        <v>276</v>
      </c>
      <c r="E1189" s="5" t="s">
        <v>31</v>
      </c>
      <c r="F1189" s="5" t="s">
        <v>154</v>
      </c>
      <c r="G1189" s="5" t="s">
        <v>33</v>
      </c>
      <c r="H1189" s="5" t="s">
        <v>35</v>
      </c>
      <c r="I1189" s="6">
        <v>1.0</v>
      </c>
      <c r="J1189" s="8">
        <v>15.92</v>
      </c>
      <c r="K1189" s="5" t="str">
        <f t="shared" si="1"/>
        <v>Mumbai -&gt; Hyderabad</v>
      </c>
    </row>
    <row r="1190" ht="15.75" customHeight="1">
      <c r="A1190" s="5" t="s">
        <v>1444</v>
      </c>
      <c r="B1190" s="5" t="s">
        <v>45</v>
      </c>
      <c r="C1190" s="6" t="s">
        <v>3113</v>
      </c>
      <c r="D1190" s="5" t="s">
        <v>276</v>
      </c>
      <c r="E1190" s="5" t="s">
        <v>31</v>
      </c>
      <c r="F1190" s="5" t="s">
        <v>154</v>
      </c>
      <c r="G1190" s="5" t="s">
        <v>33</v>
      </c>
      <c r="H1190" s="5" t="s">
        <v>33</v>
      </c>
      <c r="I1190" s="6">
        <v>1.0</v>
      </c>
      <c r="J1190" s="8">
        <v>26.92</v>
      </c>
      <c r="K1190" s="5" t="str">
        <f t="shared" si="1"/>
        <v>Mumbai -&gt; Hyderabad</v>
      </c>
    </row>
    <row r="1191" ht="15.75" customHeight="1">
      <c r="A1191" s="5" t="s">
        <v>1385</v>
      </c>
      <c r="B1191" s="5" t="s">
        <v>45</v>
      </c>
      <c r="C1191" s="6" t="s">
        <v>185</v>
      </c>
      <c r="D1191" s="5" t="s">
        <v>276</v>
      </c>
      <c r="E1191" s="5" t="s">
        <v>31</v>
      </c>
      <c r="F1191" s="5" t="s">
        <v>154</v>
      </c>
      <c r="G1191" s="5" t="s">
        <v>33</v>
      </c>
      <c r="H1191" s="5" t="s">
        <v>35</v>
      </c>
      <c r="I1191" s="6">
        <v>1.0</v>
      </c>
      <c r="J1191" s="8">
        <v>15.58</v>
      </c>
      <c r="K1191" s="5" t="str">
        <f t="shared" si="1"/>
        <v>Mumbai -&gt; Hyderabad</v>
      </c>
    </row>
    <row r="1192" ht="15.75" customHeight="1">
      <c r="A1192" s="5" t="s">
        <v>1413</v>
      </c>
      <c r="B1192" s="5" t="s">
        <v>45</v>
      </c>
      <c r="C1192" s="6" t="s">
        <v>264</v>
      </c>
      <c r="D1192" s="5" t="s">
        <v>276</v>
      </c>
      <c r="E1192" s="5" t="s">
        <v>31</v>
      </c>
      <c r="F1192" s="5" t="s">
        <v>154</v>
      </c>
      <c r="G1192" s="5" t="s">
        <v>54</v>
      </c>
      <c r="H1192" s="5" t="s">
        <v>35</v>
      </c>
      <c r="I1192" s="6">
        <v>1.0</v>
      </c>
      <c r="J1192" s="8">
        <v>25.58</v>
      </c>
      <c r="K1192" s="5" t="str">
        <f t="shared" si="1"/>
        <v>Mumbai -&gt; Hyderabad</v>
      </c>
    </row>
    <row r="1193" ht="15.75" customHeight="1">
      <c r="A1193" s="5" t="s">
        <v>1388</v>
      </c>
      <c r="B1193" s="5" t="s">
        <v>45</v>
      </c>
      <c r="C1193" s="6" t="s">
        <v>2979</v>
      </c>
      <c r="D1193" s="5" t="s">
        <v>276</v>
      </c>
      <c r="E1193" s="5" t="s">
        <v>31</v>
      </c>
      <c r="F1193" s="5" t="s">
        <v>154</v>
      </c>
      <c r="G1193" s="5" t="s">
        <v>54</v>
      </c>
      <c r="H1193" s="5" t="s">
        <v>33</v>
      </c>
      <c r="I1193" s="6">
        <v>1.0</v>
      </c>
      <c r="J1193" s="8">
        <v>16.5</v>
      </c>
      <c r="K1193" s="5" t="str">
        <f t="shared" si="1"/>
        <v>Mumbai -&gt; Hyderabad</v>
      </c>
    </row>
    <row r="1194" ht="15.75" customHeight="1">
      <c r="A1194" s="5" t="s">
        <v>1370</v>
      </c>
      <c r="B1194" s="5" t="s">
        <v>20</v>
      </c>
      <c r="C1194" s="6" t="s">
        <v>202</v>
      </c>
      <c r="D1194" s="5" t="s">
        <v>276</v>
      </c>
      <c r="E1194" s="5" t="s">
        <v>31</v>
      </c>
      <c r="F1194" s="5" t="s">
        <v>154</v>
      </c>
      <c r="G1194" s="5" t="s">
        <v>54</v>
      </c>
      <c r="H1194" s="5" t="s">
        <v>54</v>
      </c>
      <c r="I1194" s="6">
        <v>1.0</v>
      </c>
      <c r="J1194" s="8">
        <v>22.5</v>
      </c>
      <c r="K1194" s="5" t="str">
        <f t="shared" si="1"/>
        <v>Mumbai -&gt; Hyderabad</v>
      </c>
    </row>
    <row r="1195" ht="15.75" customHeight="1">
      <c r="A1195" s="5" t="s">
        <v>1417</v>
      </c>
      <c r="B1195" s="5" t="s">
        <v>45</v>
      </c>
      <c r="C1195" s="6" t="s">
        <v>188</v>
      </c>
      <c r="D1195" s="5" t="s">
        <v>276</v>
      </c>
      <c r="E1195" s="5" t="s">
        <v>31</v>
      </c>
      <c r="F1195" s="5" t="s">
        <v>154</v>
      </c>
      <c r="G1195" s="5" t="s">
        <v>35</v>
      </c>
      <c r="H1195" s="5" t="s">
        <v>35</v>
      </c>
      <c r="I1195" s="6">
        <v>1.0</v>
      </c>
      <c r="J1195" s="8">
        <v>22.75</v>
      </c>
      <c r="K1195" s="5" t="str">
        <f t="shared" si="1"/>
        <v>Mumbai -&gt; Hyderabad</v>
      </c>
    </row>
    <row r="1196" ht="15.75" customHeight="1">
      <c r="A1196" s="5" t="s">
        <v>1480</v>
      </c>
      <c r="B1196" s="5" t="s">
        <v>45</v>
      </c>
      <c r="C1196" s="6" t="s">
        <v>2945</v>
      </c>
      <c r="D1196" s="5" t="s">
        <v>276</v>
      </c>
      <c r="E1196" s="5" t="s">
        <v>31</v>
      </c>
      <c r="F1196" s="5" t="s">
        <v>154</v>
      </c>
      <c r="G1196" s="5" t="s">
        <v>54</v>
      </c>
      <c r="H1196" s="5" t="s">
        <v>33</v>
      </c>
      <c r="I1196" s="6" t="s">
        <v>180</v>
      </c>
      <c r="J1196" s="8">
        <v>13.42</v>
      </c>
      <c r="K1196" s="5" t="str">
        <f t="shared" si="1"/>
        <v>Mumbai -&gt; Hyderabad</v>
      </c>
    </row>
    <row r="1197" ht="15.75" customHeight="1">
      <c r="A1197" s="5" t="s">
        <v>1458</v>
      </c>
      <c r="B1197" s="5" t="s">
        <v>43</v>
      </c>
      <c r="C1197" s="6" t="s">
        <v>3114</v>
      </c>
      <c r="D1197" s="5" t="s">
        <v>276</v>
      </c>
      <c r="E1197" s="5" t="s">
        <v>31</v>
      </c>
      <c r="F1197" s="5" t="s">
        <v>154</v>
      </c>
      <c r="G1197" s="5" t="s">
        <v>54</v>
      </c>
      <c r="H1197" s="5" t="s">
        <v>35</v>
      </c>
      <c r="I1197" s="6">
        <v>0.0</v>
      </c>
      <c r="J1197" s="8">
        <v>1.67</v>
      </c>
      <c r="K1197" s="5" t="str">
        <f t="shared" si="1"/>
        <v>Mumbai -&gt; Hyderabad</v>
      </c>
    </row>
    <row r="1198" ht="15.75" customHeight="1">
      <c r="A1198" s="5" t="s">
        <v>1381</v>
      </c>
      <c r="B1198" s="5" t="s">
        <v>45</v>
      </c>
      <c r="C1198" s="6" t="s">
        <v>2940</v>
      </c>
      <c r="D1198" s="5" t="s">
        <v>276</v>
      </c>
      <c r="E1198" s="5" t="s">
        <v>31</v>
      </c>
      <c r="F1198" s="5" t="s">
        <v>154</v>
      </c>
      <c r="G1198" s="5" t="s">
        <v>33</v>
      </c>
      <c r="H1198" s="5" t="s">
        <v>54</v>
      </c>
      <c r="I1198" s="6">
        <v>1.0</v>
      </c>
      <c r="J1198" s="8">
        <v>9.5</v>
      </c>
      <c r="K1198" s="5" t="str">
        <f t="shared" si="1"/>
        <v>Mumbai -&gt; Hyderabad</v>
      </c>
    </row>
    <row r="1199" ht="15.75" customHeight="1">
      <c r="A1199" s="5" t="s">
        <v>1431</v>
      </c>
      <c r="B1199" s="5" t="s">
        <v>29</v>
      </c>
      <c r="C1199" s="6" t="s">
        <v>3115</v>
      </c>
      <c r="D1199" s="5" t="s">
        <v>276</v>
      </c>
      <c r="E1199" s="5" t="s">
        <v>31</v>
      </c>
      <c r="F1199" s="5" t="s">
        <v>154</v>
      </c>
      <c r="G1199" s="5" t="s">
        <v>33</v>
      </c>
      <c r="H1199" s="5" t="s">
        <v>35</v>
      </c>
      <c r="I1199" s="6" t="s">
        <v>180</v>
      </c>
      <c r="J1199" s="8">
        <v>12.75</v>
      </c>
      <c r="K1199" s="5" t="str">
        <f t="shared" si="1"/>
        <v>Mumbai -&gt; Hyderabad</v>
      </c>
    </row>
    <row r="1200" ht="15.75" customHeight="1">
      <c r="A1200" s="5" t="s">
        <v>1360</v>
      </c>
      <c r="B1200" s="5" t="s">
        <v>20</v>
      </c>
      <c r="C1200" s="6" t="s">
        <v>2987</v>
      </c>
      <c r="D1200" s="5" t="s">
        <v>276</v>
      </c>
      <c r="E1200" s="5" t="s">
        <v>31</v>
      </c>
      <c r="F1200" s="5" t="s">
        <v>154</v>
      </c>
      <c r="G1200" s="5" t="s">
        <v>54</v>
      </c>
      <c r="H1200" s="5" t="s">
        <v>54</v>
      </c>
      <c r="I1200" s="6">
        <v>1.0</v>
      </c>
      <c r="J1200" s="8">
        <v>23.42</v>
      </c>
      <c r="K1200" s="5" t="str">
        <f t="shared" si="1"/>
        <v>Mumbai -&gt; Hyderabad</v>
      </c>
    </row>
    <row r="1201" ht="15.75" customHeight="1">
      <c r="A1201" s="5" t="s">
        <v>1487</v>
      </c>
      <c r="B1201" s="5" t="s">
        <v>45</v>
      </c>
      <c r="C1201" s="6" t="s">
        <v>2934</v>
      </c>
      <c r="D1201" s="5" t="s">
        <v>276</v>
      </c>
      <c r="E1201" s="5" t="s">
        <v>31</v>
      </c>
      <c r="F1201" s="5" t="s">
        <v>154</v>
      </c>
      <c r="G1201" s="5" t="s">
        <v>33</v>
      </c>
      <c r="H1201" s="5" t="s">
        <v>35</v>
      </c>
      <c r="I1201" s="6">
        <v>1.0</v>
      </c>
      <c r="J1201" s="8">
        <v>16.67</v>
      </c>
      <c r="K1201" s="5" t="str">
        <f t="shared" si="1"/>
        <v>Mumbai -&gt; Hyderabad</v>
      </c>
    </row>
  </sheetData>
  <customSheetViews>
    <customSheetView guid="{ECC150A9-33BF-487E-8243-9CA82F228D88}" filter="1" showAutoFilter="1">
      <autoFilter ref="$A$1:$K$1201"/>
      <extLst>
        <ext uri="GoogleSheetsCustomDataVersion1">
          <go:sheetsCustomData xmlns:go="http://customooxmlschemas.google.com/" filterViewId="883643144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13.57"/>
    <col customWidth="1" min="3" max="3" width="17.86"/>
    <col customWidth="1" min="4" max="4" width="16.57"/>
    <col customWidth="1" min="5" max="5" width="16.43"/>
    <col customWidth="1" min="6" max="6" width="17.57"/>
    <col customWidth="1" min="7" max="7" width="13.43"/>
    <col customWidth="1" min="8" max="8" width="12.0"/>
    <col customWidth="1" min="9" max="9" width="12.29"/>
    <col customWidth="1" min="10" max="10" width="19.0"/>
    <col customWidth="1" min="11" max="11" width="20.29"/>
    <col customWidth="1" min="12" max="12" width="19.86"/>
    <col customWidth="1" min="13" max="26" width="8.71"/>
  </cols>
  <sheetData>
    <row r="1">
      <c r="A1" s="1" t="s">
        <v>3</v>
      </c>
      <c r="B1" s="1" t="s">
        <v>7</v>
      </c>
      <c r="C1" s="1" t="s">
        <v>9</v>
      </c>
      <c r="D1" s="1" t="s">
        <v>18</v>
      </c>
      <c r="E1" s="1" t="s">
        <v>24</v>
      </c>
      <c r="F1" s="1" t="s">
        <v>28</v>
      </c>
      <c r="G1" s="1" t="s">
        <v>30</v>
      </c>
      <c r="H1" s="7" t="s">
        <v>36</v>
      </c>
      <c r="I1" s="7" t="s">
        <v>38</v>
      </c>
      <c r="J1" s="1" t="s">
        <v>41</v>
      </c>
      <c r="K1" s="1" t="s">
        <v>39</v>
      </c>
      <c r="L1" s="1" t="s">
        <v>40</v>
      </c>
    </row>
    <row r="2">
      <c r="A2" s="5" t="s">
        <v>26</v>
      </c>
      <c r="B2" s="5" t="s">
        <v>27</v>
      </c>
      <c r="C2" s="5" t="s">
        <v>31</v>
      </c>
      <c r="D2" s="5">
        <f>COUNTIF(Flights!D:D,A2)</f>
        <v>40</v>
      </c>
      <c r="E2" s="5">
        <f t="array" ref="E2">COUNTA(UNIQUE(_xlws.FILTER(Flights!A:A,(Flights!E:E=B2)*(Flights!F:F=C2))))</f>
        <v>1</v>
      </c>
      <c r="F2" s="5">
        <f t="array" ref="F2">COUNTA(UNIQUE(_xlws.FILTER(Flights!B:B,(Flights!E:E=B2)*(Flights!F:F=C2)*(Flights!B:B&lt;&gt;""))))</f>
        <v>1</v>
      </c>
      <c r="G2" s="11">
        <f>AVERAGEIF(Bookings!C:C,A2,Bookings!K:K)</f>
        <v>15969.15</v>
      </c>
      <c r="H2" s="11">
        <f>MINIFS(Bookings!K:K,Bookings!C:C,A2)</f>
        <v>2381</v>
      </c>
      <c r="I2" s="11">
        <f>MAXIFS(Bookings!K:K,Bookings!C:C,A2)</f>
        <v>71056</v>
      </c>
      <c r="J2" s="12">
        <f>AVERAGEIFS(Flights!J:J,Flights!D:D,A2)</f>
        <v>10.9085</v>
      </c>
      <c r="K2" s="5">
        <f>COUNTIFS(Bookings!F:F,"Economy",Bookings!C:C,A2)</f>
        <v>30</v>
      </c>
      <c r="L2" s="5">
        <f>COUNTIFS(Bookings!F:F,"Business",Bookings!C:C,A2)</f>
        <v>10</v>
      </c>
    </row>
    <row r="3">
      <c r="A3" s="5" t="s">
        <v>108</v>
      </c>
      <c r="B3" s="5" t="s">
        <v>27</v>
      </c>
      <c r="C3" s="5" t="s">
        <v>109</v>
      </c>
      <c r="D3" s="5">
        <f>COUNTIF(Flights!D:D,A3)</f>
        <v>40</v>
      </c>
      <c r="E3" s="5">
        <f t="array" ref="E3">COUNTA(UNIQUE(_xlws.FILTER(Flights!A:A,(Flights!E:E=B3)*(Flights!F:F=C3))))</f>
        <v>1</v>
      </c>
      <c r="F3" s="5">
        <f t="array" ref="F3">COUNTA(UNIQUE(_xlws.FILTER(Flights!B:B,(Flights!E:E=B3)*(Flights!F:F=C3)*(Flights!B:B&lt;&gt;""))))</f>
        <v>1</v>
      </c>
      <c r="G3" s="11">
        <f>AVERAGEIF(Bookings!C:C,A3,Bookings!K:K)</f>
        <v>13093.1</v>
      </c>
      <c r="H3" s="11">
        <f>MINIFS(Bookings!K:K,Bookings!C:C,A3)</f>
        <v>3090</v>
      </c>
      <c r="I3" s="11">
        <f>MAXIFS(Bookings!K:K,Bookings!C:C,A3)</f>
        <v>54777</v>
      </c>
      <c r="J3" s="12">
        <f>AVERAGEIFS(Flights!J:J,Flights!D:D,A3)</f>
        <v>11.6415</v>
      </c>
      <c r="K3" s="5">
        <f>COUNTIFS(Bookings!F:F,"Economy",Bookings!C:C,A3)</f>
        <v>34</v>
      </c>
      <c r="L3" s="5">
        <f>COUNTIFS(Bookings!F:F,"Business",Bookings!C:C,A3)</f>
        <v>6</v>
      </c>
    </row>
    <row r="4">
      <c r="A4" s="5" t="s">
        <v>131</v>
      </c>
      <c r="B4" s="5" t="s">
        <v>27</v>
      </c>
      <c r="C4" s="5" t="s">
        <v>132</v>
      </c>
      <c r="D4" s="5">
        <f>COUNTIF(Flights!D:D,A4)</f>
        <v>40</v>
      </c>
      <c r="E4" s="5">
        <f t="array" ref="E4">COUNTA(UNIQUE(_xlws.FILTER(Flights!A:A,(Flights!E:E=B4)*(Flights!F:F=C4))))</f>
        <v>1</v>
      </c>
      <c r="F4" s="5">
        <f t="array" ref="F4">COUNTA(UNIQUE(_xlws.FILTER(Flights!B:B,(Flights!E:E=B4)*(Flights!F:F=C4)*(Flights!B:B&lt;&gt;""))))</f>
        <v>1</v>
      </c>
      <c r="G4" s="11">
        <f>AVERAGEIF(Bookings!C:C,A4,Bookings!K:K)</f>
        <v>13356.975</v>
      </c>
      <c r="H4" s="11">
        <f>MINIFS(Bookings!K:K,Bookings!C:C,A4)</f>
        <v>2482</v>
      </c>
      <c r="I4" s="11">
        <f>MAXIFS(Bookings!K:K,Bookings!C:C,A4)</f>
        <v>53209</v>
      </c>
      <c r="J4" s="12">
        <f>AVERAGEIFS(Flights!J:J,Flights!D:D,A4)</f>
        <v>14.379</v>
      </c>
      <c r="K4" s="5">
        <f>COUNTIFS(Bookings!F:F,"Economy",Bookings!C:C,A4)</f>
        <v>34</v>
      </c>
      <c r="L4" s="5">
        <f>COUNTIFS(Bookings!F:F,"Business",Bookings!C:C,A4)</f>
        <v>6</v>
      </c>
    </row>
    <row r="5">
      <c r="A5" s="5" t="s">
        <v>152</v>
      </c>
      <c r="B5" s="5" t="s">
        <v>27</v>
      </c>
      <c r="C5" s="5" t="s">
        <v>154</v>
      </c>
      <c r="D5" s="5">
        <f>COUNTIF(Flights!D:D,A5)</f>
        <v>40</v>
      </c>
      <c r="E5" s="5">
        <f t="array" ref="E5">COUNTA(UNIQUE(_xlws.FILTER(Flights!A:A,(Flights!E:E=B5)*(Flights!F:F=C5))))</f>
        <v>1</v>
      </c>
      <c r="F5" s="5">
        <f t="array" ref="F5">COUNTA(UNIQUE(_xlws.FILTER(Flights!B:B,(Flights!E:E=B5)*(Flights!F:F=C5)*(Flights!B:B&lt;&gt;""))))</f>
        <v>1</v>
      </c>
      <c r="G5" s="11">
        <f>AVERAGEIF(Bookings!C:C,A5,Bookings!K:K)</f>
        <v>12376.25</v>
      </c>
      <c r="H5" s="11">
        <f>MINIFS(Bookings!K:K,Bookings!C:C,A5)</f>
        <v>2050</v>
      </c>
      <c r="I5" s="11">
        <f>MAXIFS(Bookings!K:K,Bookings!C:C,A5)</f>
        <v>61889</v>
      </c>
      <c r="J5" s="12">
        <f>AVERAGEIFS(Flights!J:J,Flights!D:D,A5)</f>
        <v>12.65425</v>
      </c>
      <c r="K5" s="5">
        <f>COUNTIFS(Bookings!F:F,"Economy",Bookings!C:C,A5)</f>
        <v>33</v>
      </c>
      <c r="L5" s="5">
        <f>COUNTIFS(Bookings!F:F,"Business",Bookings!C:C,A5)</f>
        <v>7</v>
      </c>
    </row>
    <row r="6">
      <c r="A6" s="5" t="s">
        <v>174</v>
      </c>
      <c r="B6" s="5" t="s">
        <v>27</v>
      </c>
      <c r="C6" s="5" t="s">
        <v>164</v>
      </c>
      <c r="D6" s="5">
        <f>COUNTIF(Flights!D:D,A6)</f>
        <v>40</v>
      </c>
      <c r="E6" s="5">
        <f t="array" ref="E6">COUNTA(UNIQUE(_xlws.FILTER(Flights!A:A,(Flights!E:E=B6)*(Flights!F:F=C6))))</f>
        <v>1</v>
      </c>
      <c r="F6" s="5">
        <f t="array" ref="F6">COUNTA(UNIQUE(_xlws.FILTER(Flights!B:B,(Flights!E:E=B6)*(Flights!F:F=C6)*(Flights!B:B&lt;&gt;""))))</f>
        <v>1</v>
      </c>
      <c r="G6" s="11">
        <f>AVERAGEIF(Bookings!C:C,A6,Bookings!K:K)</f>
        <v>19602.975</v>
      </c>
      <c r="H6" s="11">
        <f>MINIFS(Bookings!K:K,Bookings!C:C,A6)</f>
        <v>1998</v>
      </c>
      <c r="I6" s="11">
        <f>MAXIFS(Bookings!K:K,Bookings!C:C,A6)</f>
        <v>70323</v>
      </c>
      <c r="J6" s="12">
        <f>AVERAGEIFS(Flights!J:J,Flights!D:D,A6)</f>
        <v>15.8045</v>
      </c>
      <c r="K6" s="5">
        <f>COUNTIFS(Bookings!F:F,"Economy",Bookings!C:C,A6)</f>
        <v>29</v>
      </c>
      <c r="L6" s="5">
        <f>COUNTIFS(Bookings!F:F,"Business",Bookings!C:C,A6)</f>
        <v>11</v>
      </c>
    </row>
    <row r="7">
      <c r="A7" s="5" t="s">
        <v>195</v>
      </c>
      <c r="B7" s="5" t="s">
        <v>31</v>
      </c>
      <c r="C7" s="5" t="s">
        <v>27</v>
      </c>
      <c r="D7" s="5">
        <f>COUNTIF(Flights!D:D,A7)</f>
        <v>40</v>
      </c>
      <c r="E7" s="5">
        <f t="array" ref="E7">COUNTA(UNIQUE(_xlws.FILTER(Flights!A:A,(Flights!E:E=B7)*(Flights!F:F=C7))))</f>
        <v>1</v>
      </c>
      <c r="F7" s="5">
        <f t="array" ref="F7">COUNTA(UNIQUE(_xlws.FILTER(Flights!B:B,(Flights!E:E=B7)*(Flights!F:F=C7)*(Flights!B:B&lt;&gt;""))))</f>
        <v>1</v>
      </c>
      <c r="G7" s="11">
        <f>AVERAGEIF(Bookings!C:C,A7,Bookings!K:K)</f>
        <v>14808.775</v>
      </c>
      <c r="H7" s="11">
        <f>MINIFS(Bookings!K:K,Bookings!C:C,A7)</f>
        <v>2336</v>
      </c>
      <c r="I7" s="11">
        <f>MAXIFS(Bookings!K:K,Bookings!C:C,A7)</f>
        <v>59964</v>
      </c>
      <c r="J7" s="12">
        <f>AVERAGEIFS(Flights!J:J,Flights!D:D,A7)</f>
        <v>10.546</v>
      </c>
      <c r="K7" s="5">
        <f>COUNTIFS(Bookings!F:F,"Economy",Bookings!C:C,A7)</f>
        <v>32</v>
      </c>
      <c r="L7" s="5">
        <f>COUNTIFS(Bookings!F:F,"Business",Bookings!C:C,A7)</f>
        <v>8</v>
      </c>
    </row>
    <row r="8">
      <c r="A8" s="5" t="s">
        <v>220</v>
      </c>
      <c r="B8" s="5" t="s">
        <v>31</v>
      </c>
      <c r="C8" s="5" t="s">
        <v>109</v>
      </c>
      <c r="D8" s="5">
        <f>COUNTIF(Flights!D:D,A8)</f>
        <v>40</v>
      </c>
      <c r="E8" s="5">
        <f t="array" ref="E8">COUNTA(UNIQUE(_xlws.FILTER(Flights!A:A,(Flights!E:E=B8)*(Flights!F:F=C8))))</f>
        <v>1</v>
      </c>
      <c r="F8" s="5">
        <f t="array" ref="F8">COUNTA(UNIQUE(_xlws.FILTER(Flights!B:B,(Flights!E:E=B8)*(Flights!F:F=C8)*(Flights!B:B&lt;&gt;""))))</f>
        <v>1</v>
      </c>
      <c r="G8" s="11">
        <f>AVERAGEIF(Bookings!C:C,A8,Bookings!K:K)</f>
        <v>12374.875</v>
      </c>
      <c r="H8" s="11">
        <f>MINIFS(Bookings!K:K,Bookings!C:C,A8)</f>
        <v>2074</v>
      </c>
      <c r="I8" s="11">
        <f>MAXIFS(Bookings!K:K,Bookings!C:C,A8)</f>
        <v>74880</v>
      </c>
      <c r="J8" s="12">
        <f>AVERAGEIFS(Flights!J:J,Flights!D:D,A8)</f>
        <v>13.406</v>
      </c>
      <c r="K8" s="5">
        <f>COUNTIFS(Bookings!F:F,"Economy",Bookings!C:C,A8)</f>
        <v>37</v>
      </c>
      <c r="L8" s="5">
        <f>COUNTIFS(Bookings!F:F,"Business",Bookings!C:C,A8)</f>
        <v>3</v>
      </c>
    </row>
    <row r="9">
      <c r="A9" s="5" t="s">
        <v>251</v>
      </c>
      <c r="B9" s="5" t="s">
        <v>31</v>
      </c>
      <c r="C9" s="5" t="s">
        <v>132</v>
      </c>
      <c r="D9" s="5">
        <f>COUNTIF(Flights!D:D,A9)</f>
        <v>40</v>
      </c>
      <c r="E9" s="5">
        <f t="array" ref="E9">COUNTA(UNIQUE(_xlws.FILTER(Flights!A:A,(Flights!E:E=B9)*(Flights!F:F=C9))))</f>
        <v>1</v>
      </c>
      <c r="F9" s="5">
        <f t="array" ref="F9">COUNTA(UNIQUE(_xlws.FILTER(Flights!B:B,(Flights!E:E=B9)*(Flights!F:F=C9)*(Flights!B:B&lt;&gt;""))))</f>
        <v>1</v>
      </c>
      <c r="G9" s="11">
        <f>AVERAGEIF(Bookings!C:C,A9,Bookings!K:K)</f>
        <v>12740.025</v>
      </c>
      <c r="H9" s="11">
        <f>MINIFS(Bookings!K:K,Bookings!C:C,A9)</f>
        <v>2835</v>
      </c>
      <c r="I9" s="11">
        <f>MAXIFS(Bookings!K:K,Bookings!C:C,A9)</f>
        <v>64285</v>
      </c>
      <c r="J9" s="12">
        <f>AVERAGEIFS(Flights!J:J,Flights!D:D,A9)</f>
        <v>14.77875</v>
      </c>
      <c r="K9" s="5">
        <f>COUNTIFS(Bookings!F:F,"Economy",Bookings!C:C,A9)</f>
        <v>36</v>
      </c>
      <c r="L9" s="5">
        <f>COUNTIFS(Bookings!F:F,"Business",Bookings!C:C,A9)</f>
        <v>4</v>
      </c>
    </row>
    <row r="10">
      <c r="A10" s="5" t="s">
        <v>276</v>
      </c>
      <c r="B10" s="5" t="s">
        <v>31</v>
      </c>
      <c r="C10" s="5" t="s">
        <v>154</v>
      </c>
      <c r="D10" s="5">
        <f>COUNTIF(Flights!D:D,A10)</f>
        <v>40</v>
      </c>
      <c r="E10" s="5">
        <f t="array" ref="E10">COUNTA(UNIQUE(_xlws.FILTER(Flights!A:A,(Flights!E:E=B10)*(Flights!F:F=C10))))</f>
        <v>1</v>
      </c>
      <c r="F10" s="5">
        <f t="array" ref="F10">COUNTA(UNIQUE(_xlws.FILTER(Flights!B:B,(Flights!E:E=B10)*(Flights!F:F=C10)*(Flights!B:B&lt;&gt;""))))</f>
        <v>1</v>
      </c>
      <c r="G10" s="11">
        <f>AVERAGEIF(Bookings!C:C,A10,Bookings!K:K)</f>
        <v>21092.8</v>
      </c>
      <c r="H10" s="11">
        <f>MINIFS(Bookings!K:K,Bookings!C:C,A10)</f>
        <v>2111</v>
      </c>
      <c r="I10" s="11">
        <f>MAXIFS(Bookings!K:K,Bookings!C:C,A10)</f>
        <v>60365</v>
      </c>
      <c r="J10" s="12">
        <f>AVERAGEIFS(Flights!J:J,Flights!D:D,A10)</f>
        <v>16.1605</v>
      </c>
      <c r="K10" s="5">
        <f>COUNTIFS(Bookings!F:F,"Economy",Bookings!C:C,A10)</f>
        <v>26</v>
      </c>
      <c r="L10" s="5">
        <f>COUNTIFS(Bookings!F:F,"Business",Bookings!C:C,A10)</f>
        <v>14</v>
      </c>
    </row>
    <row r="11">
      <c r="A11" s="5" t="s">
        <v>163</v>
      </c>
      <c r="B11" s="5" t="s">
        <v>31</v>
      </c>
      <c r="C11" s="5" t="s">
        <v>164</v>
      </c>
      <c r="D11" s="5">
        <f>COUNTIF(Flights!D:D,A11)</f>
        <v>40</v>
      </c>
      <c r="E11" s="5">
        <f t="array" ref="E11">COUNTA(UNIQUE(_xlws.FILTER(Flights!A:A,(Flights!E:E=B11)*(Flights!F:F=C11))))</f>
        <v>1</v>
      </c>
      <c r="F11" s="5">
        <f t="array" ref="F11">COUNTA(UNIQUE(_xlws.FILTER(Flights!B:B,(Flights!E:E=B11)*(Flights!F:F=C11)*(Flights!B:B&lt;&gt;""))))</f>
        <v>1</v>
      </c>
      <c r="G11" s="11">
        <f>AVERAGEIF(Bookings!C:C,A11,Bookings!K:K)</f>
        <v>17122.75</v>
      </c>
      <c r="H11" s="11">
        <f>MINIFS(Bookings!K:K,Bookings!C:C,A11)</f>
        <v>1890</v>
      </c>
      <c r="I11" s="11">
        <f>MAXIFS(Bookings!K:K,Bookings!C:C,A11)</f>
        <v>69885</v>
      </c>
      <c r="J11" s="12">
        <f>AVERAGEIFS(Flights!J:J,Flights!D:D,A11)</f>
        <v>15.9765</v>
      </c>
      <c r="K11" s="5">
        <f>COUNTIFS(Bookings!F:F,"Economy",Bookings!C:C,A11)</f>
        <v>33</v>
      </c>
      <c r="L11" s="5">
        <f>COUNTIFS(Bookings!F:F,"Business",Bookings!C:C,A11)</f>
        <v>7</v>
      </c>
    </row>
    <row r="12">
      <c r="A12" s="5" t="s">
        <v>288</v>
      </c>
      <c r="B12" s="5" t="s">
        <v>109</v>
      </c>
      <c r="C12" s="5" t="s">
        <v>27</v>
      </c>
      <c r="D12" s="5">
        <f>COUNTIF(Flights!D:D,A12)</f>
        <v>40</v>
      </c>
      <c r="E12" s="5">
        <f t="array" ref="E12">COUNTA(UNIQUE(_xlws.FILTER(Flights!A:A,(Flights!E:E=B12)*(Flights!F:F=C12))))</f>
        <v>1</v>
      </c>
      <c r="F12" s="5">
        <f t="array" ref="F12">COUNTA(UNIQUE(_xlws.FILTER(Flights!B:B,(Flights!E:E=B12)*(Flights!F:F=C12)*(Flights!B:B&lt;&gt;""))))</f>
        <v>1</v>
      </c>
      <c r="G12" s="11">
        <f>AVERAGEIF(Bookings!C:C,A12,Bookings!K:K)</f>
        <v>11995.55</v>
      </c>
      <c r="H12" s="11">
        <f>MINIFS(Bookings!K:K,Bookings!C:C,A12)</f>
        <v>2723</v>
      </c>
      <c r="I12" s="11">
        <f>MAXIFS(Bookings!K:K,Bookings!C:C,A12)</f>
        <v>66411</v>
      </c>
      <c r="J12" s="12">
        <f>AVERAGEIFS(Flights!J:J,Flights!D:D,A12)</f>
        <v>11.719</v>
      </c>
      <c r="K12" s="5">
        <f>COUNTIFS(Bookings!F:F,"Economy",Bookings!C:C,A12)</f>
        <v>34</v>
      </c>
      <c r="L12" s="5">
        <f>COUNTIFS(Bookings!F:F,"Business",Bookings!C:C,A12)</f>
        <v>6</v>
      </c>
    </row>
    <row r="13">
      <c r="A13" s="5" t="s">
        <v>361</v>
      </c>
      <c r="B13" s="5" t="s">
        <v>109</v>
      </c>
      <c r="C13" s="5" t="s">
        <v>31</v>
      </c>
      <c r="D13" s="5">
        <f>COUNTIF(Flights!D:D,A13)</f>
        <v>40</v>
      </c>
      <c r="E13" s="5">
        <f t="array" ref="E13">COUNTA(UNIQUE(_xlws.FILTER(Flights!A:A,(Flights!E:E=B13)*(Flights!F:F=C13))))</f>
        <v>1</v>
      </c>
      <c r="F13" s="5">
        <f t="array" ref="F13">COUNTA(UNIQUE(_xlws.FILTER(Flights!B:B,(Flights!E:E=B13)*(Flights!F:F=C13)*(Flights!B:B&lt;&gt;""))))</f>
        <v>1</v>
      </c>
      <c r="G13" s="11">
        <f>AVERAGEIF(Bookings!C:C,A13,Bookings!K:K)</f>
        <v>19002.775</v>
      </c>
      <c r="H13" s="11">
        <f>MINIFS(Bookings!K:K,Bookings!C:C,A13)</f>
        <v>3012</v>
      </c>
      <c r="I13" s="11">
        <f>MAXIFS(Bookings!K:K,Bookings!C:C,A13)</f>
        <v>83916</v>
      </c>
      <c r="J13" s="12">
        <f>AVERAGEIFS(Flights!J:J,Flights!D:D,A13)</f>
        <v>13.833</v>
      </c>
      <c r="K13" s="5">
        <f>COUNTIFS(Bookings!F:F,"Economy",Bookings!C:C,A13)</f>
        <v>31</v>
      </c>
      <c r="L13" s="5">
        <f>COUNTIFS(Bookings!F:F,"Business",Bookings!C:C,A13)</f>
        <v>9</v>
      </c>
    </row>
    <row r="14">
      <c r="A14" s="5" t="s">
        <v>392</v>
      </c>
      <c r="B14" s="5" t="s">
        <v>109</v>
      </c>
      <c r="C14" s="5" t="s">
        <v>132</v>
      </c>
      <c r="D14" s="5">
        <f>COUNTIF(Flights!D:D,A14)</f>
        <v>40</v>
      </c>
      <c r="E14" s="5">
        <f t="array" ref="E14">COUNTA(UNIQUE(_xlws.FILTER(Flights!A:A,(Flights!E:E=B14)*(Flights!F:F=C14))))</f>
        <v>1</v>
      </c>
      <c r="F14" s="5">
        <f t="array" ref="F14">COUNTA(UNIQUE(_xlws.FILTER(Flights!B:B,(Flights!E:E=B14)*(Flights!F:F=C14)*(Flights!B:B&lt;&gt;""))))</f>
        <v>1</v>
      </c>
      <c r="G14" s="11">
        <f>AVERAGEIF(Bookings!C:C,A14,Bookings!K:K)</f>
        <v>16061.4</v>
      </c>
      <c r="H14" s="11">
        <f>MINIFS(Bookings!K:K,Bookings!C:C,A14)</f>
        <v>3393</v>
      </c>
      <c r="I14" s="11">
        <f>MAXIFS(Bookings!K:K,Bookings!C:C,A14)</f>
        <v>73388</v>
      </c>
      <c r="J14" s="12">
        <f>AVERAGEIFS(Flights!J:J,Flights!D:D,A14)</f>
        <v>13.79175</v>
      </c>
      <c r="K14" s="5">
        <f>COUNTIFS(Bookings!F:F,"Economy",Bookings!C:C,A14)</f>
        <v>32</v>
      </c>
      <c r="L14" s="5">
        <f>COUNTIFS(Bookings!F:F,"Business",Bookings!C:C,A14)</f>
        <v>8</v>
      </c>
    </row>
    <row r="15">
      <c r="A15" s="5" t="s">
        <v>423</v>
      </c>
      <c r="B15" s="5" t="s">
        <v>109</v>
      </c>
      <c r="C15" s="5" t="s">
        <v>154</v>
      </c>
      <c r="D15" s="5">
        <f>COUNTIF(Flights!D:D,A15)</f>
        <v>40</v>
      </c>
      <c r="E15" s="5">
        <f t="array" ref="E15">COUNTA(UNIQUE(_xlws.FILTER(Flights!A:A,(Flights!E:E=B15)*(Flights!F:F=C15))))</f>
        <v>1</v>
      </c>
      <c r="F15" s="5">
        <f t="array" ref="F15">COUNTA(UNIQUE(_xlws.FILTER(Flights!B:B,(Flights!E:E=B15)*(Flights!F:F=C15)*(Flights!B:B&lt;&gt;""))))</f>
        <v>1</v>
      </c>
      <c r="G15" s="11">
        <f>AVERAGEIF(Bookings!C:C,A15,Bookings!K:K)</f>
        <v>16989.55</v>
      </c>
      <c r="H15" s="11">
        <f>MINIFS(Bookings!K:K,Bookings!C:C,A15)</f>
        <v>1694</v>
      </c>
      <c r="I15" s="11">
        <f>MAXIFS(Bookings!K:K,Bookings!C:C,A15)</f>
        <v>59253</v>
      </c>
      <c r="J15" s="12">
        <f>AVERAGEIFS(Flights!J:J,Flights!D:D,A15)</f>
        <v>15.93575</v>
      </c>
      <c r="K15" s="5">
        <f>COUNTIFS(Bookings!F:F,"Economy",Bookings!C:C,A15)</f>
        <v>31</v>
      </c>
      <c r="L15" s="5">
        <f>COUNTIFS(Bookings!F:F,"Business",Bookings!C:C,A15)</f>
        <v>9</v>
      </c>
    </row>
    <row r="16">
      <c r="A16" s="5" t="s">
        <v>452</v>
      </c>
      <c r="B16" s="5" t="s">
        <v>109</v>
      </c>
      <c r="C16" s="5" t="s">
        <v>164</v>
      </c>
      <c r="D16" s="5">
        <f>COUNTIF(Flights!D:D,A16)</f>
        <v>40</v>
      </c>
      <c r="E16" s="5">
        <f t="array" ref="E16">COUNTA(UNIQUE(_xlws.FILTER(Flights!A:A,(Flights!E:E=B16)*(Flights!F:F=C16))))</f>
        <v>1</v>
      </c>
      <c r="F16" s="5">
        <f t="array" ref="F16">COUNTA(UNIQUE(_xlws.FILTER(Flights!B:B,(Flights!E:E=B16)*(Flights!F:F=C16)*(Flights!B:B&lt;&gt;""))))</f>
        <v>1</v>
      </c>
      <c r="G16" s="11">
        <f>AVERAGEIF(Bookings!C:C,A16,Bookings!K:K)</f>
        <v>14582.425</v>
      </c>
      <c r="H16" s="11">
        <f>MINIFS(Bookings!K:K,Bookings!C:C,A16)</f>
        <v>1604</v>
      </c>
      <c r="I16" s="11">
        <f>MAXIFS(Bookings!K:K,Bookings!C:C,A16)</f>
        <v>65445</v>
      </c>
      <c r="J16" s="12">
        <f>AVERAGEIFS(Flights!J:J,Flights!D:D,A16)</f>
        <v>18.53525</v>
      </c>
      <c r="K16" s="5">
        <f>COUNTIFS(Bookings!F:F,"Economy",Bookings!C:C,A16)</f>
        <v>34</v>
      </c>
      <c r="L16" s="5">
        <f>COUNTIFS(Bookings!F:F,"Business",Bookings!C:C,A16)</f>
        <v>6</v>
      </c>
    </row>
    <row r="17">
      <c r="A17" s="5" t="s">
        <v>475</v>
      </c>
      <c r="B17" s="5" t="s">
        <v>132</v>
      </c>
      <c r="C17" s="5" t="s">
        <v>27</v>
      </c>
      <c r="D17" s="5">
        <f>COUNTIF(Flights!D:D,A17)</f>
        <v>40</v>
      </c>
      <c r="E17" s="5">
        <f t="array" ref="E17">COUNTA(UNIQUE(_xlws.FILTER(Flights!A:A,(Flights!E:E=B17)*(Flights!F:F=C17))))</f>
        <v>1</v>
      </c>
      <c r="F17" s="5">
        <f t="array" ref="F17">COUNTA(UNIQUE(_xlws.FILTER(Flights!B:B,(Flights!E:E=B17)*(Flights!F:F=C17)*(Flights!B:B&lt;&gt;""))))</f>
        <v>1</v>
      </c>
      <c r="G17" s="11">
        <f>AVERAGEIF(Bookings!C:C,A17,Bookings!K:K)</f>
        <v>18093.675</v>
      </c>
      <c r="H17" s="11">
        <f>MINIFS(Bookings!K:K,Bookings!C:C,A17)</f>
        <v>3999</v>
      </c>
      <c r="I17" s="11">
        <f>MAXIFS(Bookings!K:K,Bookings!C:C,A17)</f>
        <v>76255</v>
      </c>
      <c r="J17" s="12">
        <f>AVERAGEIFS(Flights!J:J,Flights!D:D,A17)</f>
        <v>14.75825</v>
      </c>
      <c r="K17" s="5">
        <f>COUNTIFS(Bookings!F:F,"Economy",Bookings!C:C,A17)</f>
        <v>29</v>
      </c>
      <c r="L17" s="5">
        <f>COUNTIFS(Bookings!F:F,"Business",Bookings!C:C,A17)</f>
        <v>11</v>
      </c>
    </row>
    <row r="18">
      <c r="A18" s="5" t="s">
        <v>504</v>
      </c>
      <c r="B18" s="5" t="s">
        <v>132</v>
      </c>
      <c r="C18" s="5" t="s">
        <v>31</v>
      </c>
      <c r="D18" s="5">
        <f>COUNTIF(Flights!D:D,A18)</f>
        <v>40</v>
      </c>
      <c r="E18" s="5">
        <f t="array" ref="E18">COUNTA(UNIQUE(_xlws.FILTER(Flights!A:A,(Flights!E:E=B18)*(Flights!F:F=C18))))</f>
        <v>1</v>
      </c>
      <c r="F18" s="5">
        <f t="array" ref="F18">COUNTA(UNIQUE(_xlws.FILTER(Flights!B:B,(Flights!E:E=B18)*(Flights!F:F=C18)*(Flights!B:B&lt;&gt;""))))</f>
        <v>1</v>
      </c>
      <c r="G18" s="11">
        <f>AVERAGEIF(Bookings!C:C,A18,Bookings!K:K)</f>
        <v>19956.725</v>
      </c>
      <c r="H18" s="11">
        <f>MINIFS(Bookings!K:K,Bookings!C:C,A18)</f>
        <v>3379</v>
      </c>
      <c r="I18" s="11">
        <f>MAXIFS(Bookings!K:K,Bookings!C:C,A18)</f>
        <v>110936</v>
      </c>
      <c r="J18" s="12">
        <f>AVERAGEIFS(Flights!J:J,Flights!D:D,A18)</f>
        <v>16.566</v>
      </c>
      <c r="K18" s="5">
        <f>COUNTIFS(Bookings!F:F,"Economy",Bookings!C:C,A18)</f>
        <v>30</v>
      </c>
      <c r="L18" s="5">
        <f>COUNTIFS(Bookings!F:F,"Business",Bookings!C:C,A18)</f>
        <v>10</v>
      </c>
    </row>
    <row r="19">
      <c r="A19" s="5" t="s">
        <v>516</v>
      </c>
      <c r="B19" s="5" t="s">
        <v>132</v>
      </c>
      <c r="C19" s="5" t="s">
        <v>109</v>
      </c>
      <c r="D19" s="5">
        <f>COUNTIF(Flights!D:D,A19)</f>
        <v>40</v>
      </c>
      <c r="E19" s="5">
        <f t="array" ref="E19">COUNTA(UNIQUE(_xlws.FILTER(Flights!A:A,(Flights!E:E=B19)*(Flights!F:F=C19))))</f>
        <v>1</v>
      </c>
      <c r="F19" s="5">
        <f t="array" ref="F19">COUNTA(UNIQUE(_xlws.FILTER(Flights!B:B,(Flights!E:E=B19)*(Flights!F:F=C19)*(Flights!B:B&lt;&gt;""))))</f>
        <v>1</v>
      </c>
      <c r="G19" s="11">
        <f>AVERAGEIF(Bookings!C:C,A19,Bookings!K:K)</f>
        <v>12438.45</v>
      </c>
      <c r="H19" s="11">
        <f>MINIFS(Bookings!K:K,Bookings!C:C,A19)</f>
        <v>3465</v>
      </c>
      <c r="I19" s="11">
        <f>MAXIFS(Bookings!K:K,Bookings!C:C,A19)</f>
        <v>87746</v>
      </c>
      <c r="J19" s="12">
        <f>AVERAGEIFS(Flights!J:J,Flights!D:D,A19)</f>
        <v>13.96075</v>
      </c>
      <c r="K19" s="5">
        <f>COUNTIFS(Bookings!F:F,"Economy",Bookings!C:C,A19)</f>
        <v>38</v>
      </c>
      <c r="L19" s="5">
        <f>COUNTIFS(Bookings!F:F,"Business",Bookings!C:C,A19)</f>
        <v>2</v>
      </c>
    </row>
    <row r="20">
      <c r="A20" s="5" t="s">
        <v>533</v>
      </c>
      <c r="B20" s="5" t="s">
        <v>132</v>
      </c>
      <c r="C20" s="5" t="s">
        <v>154</v>
      </c>
      <c r="D20" s="5">
        <f>COUNTIF(Flights!D:D,A20)</f>
        <v>40</v>
      </c>
      <c r="E20" s="5">
        <f t="array" ref="E20">COUNTA(UNIQUE(_xlws.FILTER(Flights!A:A,(Flights!E:E=B20)*(Flights!F:F=C20))))</f>
        <v>1</v>
      </c>
      <c r="F20" s="5">
        <f t="array" ref="F20">COUNTA(UNIQUE(_xlws.FILTER(Flights!B:B,(Flights!E:E=B20)*(Flights!F:F=C20)*(Flights!B:B&lt;&gt;""))))</f>
        <v>1</v>
      </c>
      <c r="G20" s="11">
        <f>AVERAGEIF(Bookings!C:C,A20,Bookings!K:K)</f>
        <v>14967.15</v>
      </c>
      <c r="H20" s="11">
        <f>MINIFS(Bookings!K:K,Bookings!C:C,A20)</f>
        <v>2437</v>
      </c>
      <c r="I20" s="11">
        <f>MAXIFS(Bookings!K:K,Bookings!C:C,A20)</f>
        <v>75382</v>
      </c>
      <c r="J20" s="12">
        <f>AVERAGEIFS(Flights!J:J,Flights!D:D,A20)</f>
        <v>16.233</v>
      </c>
      <c r="K20" s="5">
        <f>COUNTIFS(Bookings!F:F,"Economy",Bookings!C:C,A20)</f>
        <v>33</v>
      </c>
      <c r="L20" s="5">
        <f>COUNTIFS(Bookings!F:F,"Business",Bookings!C:C,A20)</f>
        <v>7</v>
      </c>
    </row>
    <row r="21" ht="15.75" customHeight="1">
      <c r="A21" s="5" t="s">
        <v>549</v>
      </c>
      <c r="B21" s="5" t="s">
        <v>132</v>
      </c>
      <c r="C21" s="5" t="s">
        <v>164</v>
      </c>
      <c r="D21" s="5">
        <f>COUNTIF(Flights!D:D,A21)</f>
        <v>40</v>
      </c>
      <c r="E21" s="5">
        <f t="array" ref="E21">COUNTA(UNIQUE(_xlws.FILTER(Flights!A:A,(Flights!E:E=B21)*(Flights!F:F=C21))))</f>
        <v>1</v>
      </c>
      <c r="F21" s="5">
        <f t="array" ref="F21">COUNTA(UNIQUE(_xlws.FILTER(Flights!B:B,(Flights!E:E=B21)*(Flights!F:F=C21)*(Flights!B:B&lt;&gt;""))))</f>
        <v>1</v>
      </c>
      <c r="G21" s="11">
        <f>AVERAGEIF(Bookings!C:C,A21,Bookings!K:K)</f>
        <v>12966.7</v>
      </c>
      <c r="H21" s="11">
        <f>MINIFS(Bookings!K:K,Bookings!C:C,A21)</f>
        <v>2966</v>
      </c>
      <c r="I21" s="11">
        <f>MAXIFS(Bookings!K:K,Bookings!C:C,A21)</f>
        <v>55983</v>
      </c>
      <c r="J21" s="12">
        <f>AVERAGEIFS(Flights!J:J,Flights!D:D,A21)</f>
        <v>14.34825</v>
      </c>
      <c r="K21" s="5">
        <f>COUNTIFS(Bookings!F:F,"Economy",Bookings!C:C,A21)</f>
        <v>34</v>
      </c>
      <c r="L21" s="5">
        <f>COUNTIFS(Bookings!F:F,"Business",Bookings!C:C,A21)</f>
        <v>6</v>
      </c>
    </row>
    <row r="22" ht="15.75" customHeight="1">
      <c r="A22" s="5" t="s">
        <v>564</v>
      </c>
      <c r="B22" s="5" t="s">
        <v>154</v>
      </c>
      <c r="C22" s="5" t="s">
        <v>27</v>
      </c>
      <c r="D22" s="5">
        <f>COUNTIF(Flights!D:D,A22)</f>
        <v>40</v>
      </c>
      <c r="E22" s="5">
        <f t="array" ref="E22">COUNTA(UNIQUE(_xlws.FILTER(Flights!A:A,(Flights!E:E=B22)*(Flights!F:F=C22))))</f>
        <v>1</v>
      </c>
      <c r="F22" s="5">
        <f t="array" ref="F22">COUNTA(UNIQUE(_xlws.FILTER(Flights!B:B,(Flights!E:E=B22)*(Flights!F:F=C22)*(Flights!B:B&lt;&gt;""))))</f>
        <v>1</v>
      </c>
      <c r="G22" s="11">
        <f>AVERAGEIF(Bookings!C:C,A22,Bookings!K:K)</f>
        <v>16088.125</v>
      </c>
      <c r="H22" s="11">
        <f>MINIFS(Bookings!K:K,Bookings!C:C,A22)</f>
        <v>2228</v>
      </c>
      <c r="I22" s="11">
        <f>MAXIFS(Bookings!K:K,Bookings!C:C,A22)</f>
        <v>66614</v>
      </c>
      <c r="J22" s="12">
        <f>AVERAGEIFS(Flights!J:J,Flights!D:D,A22)</f>
        <v>13.10825</v>
      </c>
      <c r="K22" s="5">
        <f>COUNTIFS(Bookings!F:F,"Economy",Bookings!C:C,A22)</f>
        <v>32</v>
      </c>
      <c r="L22" s="5">
        <f>COUNTIFS(Bookings!F:F,"Business",Bookings!C:C,A22)</f>
        <v>8</v>
      </c>
    </row>
    <row r="23" ht="15.75" customHeight="1">
      <c r="A23" s="5" t="s">
        <v>590</v>
      </c>
      <c r="B23" s="5" t="s">
        <v>154</v>
      </c>
      <c r="C23" s="5" t="s">
        <v>31</v>
      </c>
      <c r="D23" s="5">
        <f>COUNTIF(Flights!D:D,A23)</f>
        <v>40</v>
      </c>
      <c r="E23" s="5">
        <f t="array" ref="E23">COUNTA(UNIQUE(_xlws.FILTER(Flights!A:A,(Flights!E:E=B23)*(Flights!F:F=C23))))</f>
        <v>1</v>
      </c>
      <c r="F23" s="5">
        <f t="array" ref="F23">COUNTA(UNIQUE(_xlws.FILTER(Flights!B:B,(Flights!E:E=B23)*(Flights!F:F=C23)*(Flights!B:B&lt;&gt;""))))</f>
        <v>1</v>
      </c>
      <c r="G23" s="11">
        <f>AVERAGEIF(Bookings!C:C,A23,Bookings!K:K)</f>
        <v>16356.95</v>
      </c>
      <c r="H23" s="11">
        <f>MINIFS(Bookings!K:K,Bookings!C:C,A23)</f>
        <v>2250</v>
      </c>
      <c r="I23" s="11">
        <f>MAXIFS(Bookings!K:K,Bookings!C:C,A23)</f>
        <v>67130</v>
      </c>
      <c r="J23" s="12">
        <f>AVERAGEIFS(Flights!J:J,Flights!D:D,A23)</f>
        <v>14.707</v>
      </c>
      <c r="K23" s="5">
        <f>COUNTIFS(Bookings!F:F,"Economy",Bookings!C:C,A23)</f>
        <v>32</v>
      </c>
      <c r="L23" s="5">
        <f>COUNTIFS(Bookings!F:F,"Business",Bookings!C:C,A23)</f>
        <v>8</v>
      </c>
    </row>
    <row r="24" ht="15.75" customHeight="1">
      <c r="A24" s="5" t="s">
        <v>616</v>
      </c>
      <c r="B24" s="5" t="s">
        <v>154</v>
      </c>
      <c r="C24" s="5" t="s">
        <v>109</v>
      </c>
      <c r="D24" s="5">
        <f>COUNTIF(Flights!D:D,A24)</f>
        <v>40</v>
      </c>
      <c r="E24" s="5">
        <f t="array" ref="E24">COUNTA(UNIQUE(_xlws.FILTER(Flights!A:A,(Flights!E:E=B24)*(Flights!F:F=C24))))</f>
        <v>1</v>
      </c>
      <c r="F24" s="5">
        <f t="array" ref="F24">COUNTA(UNIQUE(_xlws.FILTER(Flights!B:B,(Flights!E:E=B24)*(Flights!F:F=C24)*(Flights!B:B&lt;&gt;""))))</f>
        <v>1</v>
      </c>
      <c r="G24" s="11">
        <f>AVERAGEIF(Bookings!C:C,A24,Bookings!K:K)</f>
        <v>13713.85</v>
      </c>
      <c r="H24" s="11">
        <f>MINIFS(Bookings!K:K,Bookings!C:C,A24)</f>
        <v>1776</v>
      </c>
      <c r="I24" s="11">
        <f>MAXIFS(Bookings!K:K,Bookings!C:C,A24)</f>
        <v>64407</v>
      </c>
      <c r="J24" s="12">
        <f>AVERAGEIFS(Flights!J:J,Flights!D:D,A24)</f>
        <v>13.367</v>
      </c>
      <c r="K24" s="5">
        <f>COUNTIFS(Bookings!F:F,"Economy",Bookings!C:C,A24)</f>
        <v>34</v>
      </c>
      <c r="L24" s="5">
        <f>COUNTIFS(Bookings!F:F,"Business",Bookings!C:C,A24)</f>
        <v>6</v>
      </c>
    </row>
    <row r="25" ht="15.75" customHeight="1">
      <c r="A25" s="5" t="s">
        <v>640</v>
      </c>
      <c r="B25" s="5" t="s">
        <v>154</v>
      </c>
      <c r="C25" s="5" t="s">
        <v>132</v>
      </c>
      <c r="D25" s="5">
        <f>COUNTIF(Flights!D:D,A25)</f>
        <v>40</v>
      </c>
      <c r="E25" s="5">
        <f t="array" ref="E25">COUNTA(UNIQUE(_xlws.FILTER(Flights!A:A,(Flights!E:E=B25)*(Flights!F:F=C25))))</f>
        <v>1</v>
      </c>
      <c r="F25" s="5">
        <f t="array" ref="F25">COUNTA(UNIQUE(_xlws.FILTER(Flights!B:B,(Flights!E:E=B25)*(Flights!F:F=C25)*(Flights!B:B&lt;&gt;""))))</f>
        <v>1</v>
      </c>
      <c r="G25" s="11">
        <f>AVERAGEIF(Bookings!C:C,A25,Bookings!K:K)</f>
        <v>17361.975</v>
      </c>
      <c r="H25" s="11">
        <f>MINIFS(Bookings!K:K,Bookings!C:C,A25)</f>
        <v>2109</v>
      </c>
      <c r="I25" s="11">
        <f>MAXIFS(Bookings!K:K,Bookings!C:C,A25)</f>
        <v>75787</v>
      </c>
      <c r="J25" s="12">
        <f>AVERAGEIFS(Flights!J:J,Flights!D:D,A25)</f>
        <v>16.3605</v>
      </c>
      <c r="K25" s="5">
        <f>COUNTIFS(Bookings!F:F,"Economy",Bookings!C:C,A25)</f>
        <v>32</v>
      </c>
      <c r="L25" s="5">
        <f>COUNTIFS(Bookings!F:F,"Business",Bookings!C:C,A25)</f>
        <v>8</v>
      </c>
    </row>
    <row r="26" ht="15.75" customHeight="1">
      <c r="A26" s="5" t="s">
        <v>671</v>
      </c>
      <c r="B26" s="5" t="s">
        <v>154</v>
      </c>
      <c r="C26" s="5" t="s">
        <v>164</v>
      </c>
      <c r="D26" s="5">
        <f>COUNTIF(Flights!D:D,A26)</f>
        <v>40</v>
      </c>
      <c r="E26" s="5">
        <f t="array" ref="E26">COUNTA(UNIQUE(_xlws.FILTER(Flights!A:A,(Flights!E:E=B26)*(Flights!F:F=C26))))</f>
        <v>1</v>
      </c>
      <c r="F26" s="5">
        <f t="array" ref="F26">COUNTA(UNIQUE(_xlws.FILTER(Flights!B:B,(Flights!E:E=B26)*(Flights!F:F=C26)*(Flights!B:B&lt;&gt;""))))</f>
        <v>1</v>
      </c>
      <c r="G26" s="11">
        <f>AVERAGEIF(Bookings!C:C,A26,Bookings!K:K)</f>
        <v>13727.85</v>
      </c>
      <c r="H26" s="11">
        <f>MINIFS(Bookings!K:K,Bookings!C:C,A26)</f>
        <v>1543</v>
      </c>
      <c r="I26" s="11">
        <f>MAXIFS(Bookings!K:K,Bookings!C:C,A26)</f>
        <v>51707</v>
      </c>
      <c r="J26" s="12">
        <f>AVERAGEIFS(Flights!J:J,Flights!D:D,A26)</f>
        <v>12.5145</v>
      </c>
      <c r="K26" s="5">
        <f>COUNTIFS(Bookings!F:F,"Economy",Bookings!C:C,A26)</f>
        <v>33</v>
      </c>
      <c r="L26" s="5">
        <f>COUNTIFS(Bookings!F:F,"Business",Bookings!C:C,A26)</f>
        <v>7</v>
      </c>
    </row>
    <row r="27" ht="15.75" customHeight="1">
      <c r="A27" s="5" t="s">
        <v>699</v>
      </c>
      <c r="B27" s="5" t="s">
        <v>164</v>
      </c>
      <c r="C27" s="5" t="s">
        <v>27</v>
      </c>
      <c r="D27" s="5">
        <f>COUNTIF(Flights!D:D,A27)</f>
        <v>40</v>
      </c>
      <c r="E27" s="5">
        <f t="array" ref="E27">COUNTA(UNIQUE(_xlws.FILTER(Flights!A:A,(Flights!E:E=B27)*(Flights!F:F=C27))))</f>
        <v>1</v>
      </c>
      <c r="F27" s="5">
        <f t="array" ref="F27">COUNTA(UNIQUE(_xlws.FILTER(Flights!B:B,(Flights!E:E=B27)*(Flights!F:F=C27)*(Flights!B:B&lt;&gt;""))))</f>
        <v>1</v>
      </c>
      <c r="G27" s="11">
        <f>AVERAGEIF(Bookings!C:C,A27,Bookings!K:K)</f>
        <v>20347.425</v>
      </c>
      <c r="H27" s="11">
        <f>MINIFS(Bookings!K:K,Bookings!C:C,A27)</f>
        <v>2477</v>
      </c>
      <c r="I27" s="11">
        <f>MAXIFS(Bookings!K:K,Bookings!C:C,A27)</f>
        <v>89761</v>
      </c>
      <c r="J27" s="12">
        <f>AVERAGEIFS(Flights!J:J,Flights!D:D,A27)</f>
        <v>15.34225</v>
      </c>
      <c r="K27" s="5">
        <f>COUNTIFS(Bookings!F:F,"Economy",Bookings!C:C,A27)</f>
        <v>29</v>
      </c>
      <c r="L27" s="5">
        <f>COUNTIFS(Bookings!F:F,"Business",Bookings!C:C,A27)</f>
        <v>11</v>
      </c>
    </row>
    <row r="28" ht="15.75" customHeight="1">
      <c r="A28" s="5" t="s">
        <v>723</v>
      </c>
      <c r="B28" s="5" t="s">
        <v>164</v>
      </c>
      <c r="C28" s="5" t="s">
        <v>31</v>
      </c>
      <c r="D28" s="5">
        <f>COUNTIF(Flights!D:D,A28)</f>
        <v>40</v>
      </c>
      <c r="E28" s="5">
        <f t="array" ref="E28">COUNTA(UNIQUE(_xlws.FILTER(Flights!A:A,(Flights!E:E=B28)*(Flights!F:F=C28))))</f>
        <v>1</v>
      </c>
      <c r="F28" s="5">
        <f t="array" ref="F28">COUNTA(UNIQUE(_xlws.FILTER(Flights!B:B,(Flights!E:E=B28)*(Flights!F:F=C28)*(Flights!B:B&lt;&gt;""))))</f>
        <v>1</v>
      </c>
      <c r="G28" s="11">
        <f>AVERAGEIF(Bookings!C:C,A28,Bookings!K:K)</f>
        <v>17543.25</v>
      </c>
      <c r="H28" s="11">
        <f>MINIFS(Bookings!K:K,Bookings!C:C,A28)</f>
        <v>1830</v>
      </c>
      <c r="I28" s="11">
        <f>MAXIFS(Bookings!K:K,Bookings!C:C,A28)</f>
        <v>93200</v>
      </c>
      <c r="J28" s="12">
        <f>AVERAGEIFS(Flights!J:J,Flights!D:D,A28)</f>
        <v>16.2855</v>
      </c>
      <c r="K28" s="5">
        <f>COUNTIFS(Bookings!F:F,"Economy",Bookings!C:C,A28)</f>
        <v>33</v>
      </c>
      <c r="L28" s="5">
        <f>COUNTIFS(Bookings!F:F,"Business",Bookings!C:C,A28)</f>
        <v>7</v>
      </c>
    </row>
    <row r="29" ht="15.75" customHeight="1">
      <c r="A29" s="5" t="s">
        <v>753</v>
      </c>
      <c r="B29" s="5" t="s">
        <v>164</v>
      </c>
      <c r="C29" s="5" t="s">
        <v>109</v>
      </c>
      <c r="D29" s="5">
        <f>COUNTIF(Flights!D:D,A29)</f>
        <v>40</v>
      </c>
      <c r="E29" s="5">
        <f t="array" ref="E29">COUNTA(UNIQUE(_xlws.FILTER(Flights!A:A,(Flights!E:E=B29)*(Flights!F:F=C29))))</f>
        <v>1</v>
      </c>
      <c r="F29" s="5">
        <f t="array" ref="F29">COUNTA(UNIQUE(_xlws.FILTER(Flights!B:B,(Flights!E:E=B29)*(Flights!F:F=C29)*(Flights!B:B&lt;&gt;""))))</f>
        <v>1</v>
      </c>
      <c r="G29" s="11">
        <f>AVERAGEIF(Bookings!C:C,A29,Bookings!K:K)</f>
        <v>18646.675</v>
      </c>
      <c r="H29" s="11">
        <f>MINIFS(Bookings!K:K,Bookings!C:C,A29)</f>
        <v>1443</v>
      </c>
      <c r="I29" s="11">
        <f>MAXIFS(Bookings!K:K,Bookings!C:C,A29)</f>
        <v>72356</v>
      </c>
      <c r="J29" s="12">
        <f>AVERAGEIFS(Flights!J:J,Flights!D:D,A29)</f>
        <v>16.285</v>
      </c>
      <c r="K29" s="5">
        <f>COUNTIFS(Bookings!F:F,"Economy",Bookings!C:C,A29)</f>
        <v>34</v>
      </c>
      <c r="L29" s="5">
        <f>COUNTIFS(Bookings!F:F,"Business",Bookings!C:C,A29)</f>
        <v>6</v>
      </c>
    </row>
    <row r="30" ht="15.75" customHeight="1">
      <c r="A30" s="5" t="s">
        <v>771</v>
      </c>
      <c r="B30" s="5" t="s">
        <v>164</v>
      </c>
      <c r="C30" s="5" t="s">
        <v>132</v>
      </c>
      <c r="D30" s="5">
        <f>COUNTIF(Flights!D:D,A30)</f>
        <v>40</v>
      </c>
      <c r="E30" s="5">
        <f t="array" ref="E30">COUNTA(UNIQUE(_xlws.FILTER(Flights!A:A,(Flights!E:E=B30)*(Flights!F:F=C30))))</f>
        <v>1</v>
      </c>
      <c r="F30" s="5">
        <f t="array" ref="F30">COUNTA(UNIQUE(_xlws.FILTER(Flights!B:B,(Flights!E:E=B30)*(Flights!F:F=C30)*(Flights!B:B&lt;&gt;""))))</f>
        <v>1</v>
      </c>
      <c r="G30" s="11">
        <f>AVERAGEIF(Bookings!C:C,A30,Bookings!K:K)</f>
        <v>15552.85</v>
      </c>
      <c r="H30" s="11">
        <f>MINIFS(Bookings!K:K,Bookings!C:C,A30)</f>
        <v>2359</v>
      </c>
      <c r="I30" s="11">
        <f>MAXIFS(Bookings!K:K,Bookings!C:C,A30)</f>
        <v>68963</v>
      </c>
      <c r="J30" s="12">
        <f>AVERAGEIFS(Flights!J:J,Flights!D:D,A30)</f>
        <v>16.3835</v>
      </c>
      <c r="K30" s="5">
        <f>COUNTIFS(Bookings!F:F,"Economy",Bookings!C:C,A30)</f>
        <v>34</v>
      </c>
      <c r="L30" s="5">
        <f>COUNTIFS(Bookings!F:F,"Business",Bookings!C:C,A30)</f>
        <v>6</v>
      </c>
    </row>
    <row r="31" ht="15.75" customHeight="1">
      <c r="A31" s="5" t="s">
        <v>797</v>
      </c>
      <c r="B31" s="5" t="s">
        <v>164</v>
      </c>
      <c r="C31" s="5" t="s">
        <v>154</v>
      </c>
      <c r="D31" s="5">
        <f>COUNTIF(Flights!D:D,A31)</f>
        <v>40</v>
      </c>
      <c r="E31" s="5">
        <f t="array" ref="E31">COUNTA(UNIQUE(_xlws.FILTER(Flights!A:A,(Flights!E:E=B31)*(Flights!F:F=C31))))</f>
        <v>1</v>
      </c>
      <c r="F31" s="5">
        <f t="array" ref="F31">COUNTA(UNIQUE(_xlws.FILTER(Flights!B:B,(Flights!E:E=B31)*(Flights!F:F=C31)*(Flights!B:B&lt;&gt;""))))</f>
        <v>1</v>
      </c>
      <c r="G31" s="11">
        <f>AVERAGEIF(Bookings!C:C,A31,Bookings!K:K)</f>
        <v>13911.7</v>
      </c>
      <c r="H31" s="11">
        <f>MINIFS(Bookings!K:K,Bookings!C:C,A31)</f>
        <v>1105</v>
      </c>
      <c r="I31" s="11">
        <f>MAXIFS(Bookings!K:K,Bookings!C:C,A31)</f>
        <v>87118</v>
      </c>
      <c r="J31" s="12">
        <f>AVERAGEIFS(Flights!J:J,Flights!D:D,A31)</f>
        <v>13.09225</v>
      </c>
      <c r="K31" s="5">
        <f>COUNTIFS(Bookings!F:F,"Economy",Bookings!C:C,A31)</f>
        <v>34</v>
      </c>
      <c r="L31" s="5">
        <f>COUNTIFS(Bookings!F:F,"Business",Bookings!C:C,A31)</f>
        <v>6</v>
      </c>
    </row>
    <row r="32" ht="15.75" customHeight="1">
      <c r="H32" s="13"/>
      <c r="I32" s="13"/>
    </row>
    <row r="33" ht="15.75" customHeight="1">
      <c r="H33" s="13"/>
      <c r="I33" s="13"/>
    </row>
    <row r="34" ht="15.75" customHeight="1">
      <c r="H34" s="13"/>
      <c r="I34" s="13"/>
    </row>
    <row r="35" ht="15.75" customHeight="1">
      <c r="H35" s="13"/>
      <c r="I35" s="13"/>
    </row>
    <row r="36" ht="15.75" customHeight="1">
      <c r="H36" s="13"/>
      <c r="I36" s="13"/>
    </row>
    <row r="37" ht="15.75" customHeight="1">
      <c r="H37" s="13"/>
      <c r="I37" s="13"/>
    </row>
    <row r="38" ht="15.75" customHeight="1">
      <c r="H38" s="13"/>
      <c r="I38" s="13"/>
    </row>
    <row r="39" ht="15.75" customHeight="1">
      <c r="H39" s="13"/>
      <c r="I39" s="13"/>
    </row>
    <row r="40" ht="15.75" customHeight="1">
      <c r="H40" s="13"/>
      <c r="I40" s="13"/>
    </row>
    <row r="41" ht="15.75" customHeight="1">
      <c r="H41" s="13"/>
      <c r="I41" s="13"/>
    </row>
    <row r="42" ht="15.75" customHeight="1">
      <c r="H42" s="13"/>
      <c r="I42" s="13"/>
    </row>
    <row r="43" ht="15.75" customHeight="1">
      <c r="H43" s="13"/>
      <c r="I43" s="13"/>
    </row>
    <row r="44" ht="15.75" customHeight="1">
      <c r="H44" s="13"/>
      <c r="I44" s="13"/>
    </row>
    <row r="45" ht="15.75" customHeight="1">
      <c r="H45" s="13"/>
      <c r="I45" s="13"/>
    </row>
    <row r="46" ht="15.75" customHeight="1">
      <c r="H46" s="13"/>
      <c r="I46" s="13"/>
    </row>
    <row r="47" ht="15.75" customHeight="1">
      <c r="H47" s="13"/>
      <c r="I47" s="13"/>
    </row>
    <row r="48" ht="15.75" customHeight="1">
      <c r="H48" s="13"/>
      <c r="I48" s="13"/>
    </row>
    <row r="49" ht="15.75" customHeight="1">
      <c r="H49" s="13"/>
      <c r="I49" s="13"/>
    </row>
    <row r="50" ht="15.75" customHeight="1">
      <c r="H50" s="13"/>
      <c r="I50" s="13"/>
    </row>
    <row r="51" ht="15.75" customHeight="1">
      <c r="H51" s="13"/>
      <c r="I51" s="13"/>
    </row>
    <row r="52" ht="15.75" customHeight="1">
      <c r="H52" s="13"/>
      <c r="I52" s="13"/>
    </row>
    <row r="53" ht="15.75" customHeight="1">
      <c r="H53" s="13"/>
      <c r="I53" s="13"/>
    </row>
    <row r="54" ht="15.75" customHeight="1">
      <c r="H54" s="13"/>
      <c r="I54" s="13"/>
    </row>
    <row r="55" ht="15.75" customHeight="1">
      <c r="H55" s="13"/>
      <c r="I55" s="13"/>
    </row>
    <row r="56" ht="15.75" customHeight="1">
      <c r="H56" s="13"/>
      <c r="I56" s="13"/>
    </row>
    <row r="57" ht="15.75" customHeight="1">
      <c r="H57" s="13"/>
      <c r="I57" s="13"/>
    </row>
    <row r="58" ht="15.75" customHeight="1">
      <c r="H58" s="13"/>
      <c r="I58" s="13"/>
    </row>
    <row r="59" ht="15.75" customHeight="1">
      <c r="H59" s="13"/>
      <c r="I59" s="13"/>
    </row>
    <row r="60" ht="15.75" customHeight="1">
      <c r="H60" s="13"/>
      <c r="I60" s="13"/>
    </row>
    <row r="61" ht="15.75" customHeight="1">
      <c r="H61" s="13"/>
      <c r="I61" s="13"/>
    </row>
    <row r="62" ht="15.75" customHeight="1">
      <c r="H62" s="13"/>
      <c r="I62" s="13"/>
    </row>
    <row r="63" ht="15.75" customHeight="1">
      <c r="H63" s="13"/>
      <c r="I63" s="13"/>
    </row>
    <row r="64" ht="15.75" customHeight="1">
      <c r="H64" s="13"/>
      <c r="I64" s="13"/>
    </row>
    <row r="65" ht="15.75" customHeight="1">
      <c r="H65" s="13"/>
      <c r="I65" s="13"/>
    </row>
    <row r="66" ht="15.75" customHeight="1">
      <c r="H66" s="13"/>
      <c r="I66" s="13"/>
    </row>
    <row r="67" ht="15.75" customHeight="1">
      <c r="H67" s="13"/>
      <c r="I67" s="13"/>
    </row>
    <row r="68" ht="15.75" customHeight="1">
      <c r="H68" s="13"/>
      <c r="I68" s="13"/>
    </row>
    <row r="69" ht="15.75" customHeight="1">
      <c r="H69" s="13"/>
      <c r="I69" s="13"/>
    </row>
    <row r="70" ht="15.75" customHeight="1">
      <c r="H70" s="13"/>
      <c r="I70" s="13"/>
    </row>
    <row r="71" ht="15.75" customHeight="1">
      <c r="H71" s="13"/>
      <c r="I71" s="13"/>
    </row>
    <row r="72" ht="15.75" customHeight="1">
      <c r="H72" s="13"/>
      <c r="I72" s="13"/>
    </row>
    <row r="73" ht="15.75" customHeight="1">
      <c r="H73" s="13"/>
      <c r="I73" s="13"/>
    </row>
    <row r="74" ht="15.75" customHeight="1">
      <c r="H74" s="13"/>
      <c r="I74" s="13"/>
    </row>
    <row r="75" ht="15.75" customHeight="1">
      <c r="H75" s="13"/>
      <c r="I75" s="13"/>
    </row>
    <row r="76" ht="15.75" customHeight="1">
      <c r="H76" s="13"/>
      <c r="I76" s="13"/>
    </row>
    <row r="77" ht="15.75" customHeight="1">
      <c r="H77" s="13"/>
      <c r="I77" s="13"/>
    </row>
    <row r="78" ht="15.75" customHeight="1">
      <c r="H78" s="13"/>
      <c r="I78" s="13"/>
    </row>
    <row r="79" ht="15.75" customHeight="1">
      <c r="H79" s="13"/>
      <c r="I79" s="13"/>
    </row>
    <row r="80" ht="15.75" customHeight="1">
      <c r="H80" s="13"/>
      <c r="I80" s="13"/>
    </row>
    <row r="81" ht="15.75" customHeight="1">
      <c r="H81" s="13"/>
      <c r="I81" s="13"/>
    </row>
    <row r="82" ht="15.75" customHeight="1">
      <c r="H82" s="13"/>
      <c r="I82" s="13"/>
    </row>
    <row r="83" ht="15.75" customHeight="1">
      <c r="H83" s="13"/>
      <c r="I83" s="13"/>
    </row>
    <row r="84" ht="15.75" customHeight="1">
      <c r="H84" s="13"/>
      <c r="I84" s="13"/>
    </row>
    <row r="85" ht="15.75" customHeight="1">
      <c r="H85" s="13"/>
      <c r="I85" s="13"/>
    </row>
    <row r="86" ht="15.75" customHeight="1">
      <c r="H86" s="13"/>
      <c r="I86" s="13"/>
    </row>
    <row r="87" ht="15.75" customHeight="1">
      <c r="H87" s="13"/>
      <c r="I87" s="13"/>
    </row>
    <row r="88" ht="15.75" customHeight="1">
      <c r="H88" s="13"/>
      <c r="I88" s="13"/>
    </row>
    <row r="89" ht="15.75" customHeight="1">
      <c r="H89" s="13"/>
      <c r="I89" s="13"/>
    </row>
    <row r="90" ht="15.75" customHeight="1">
      <c r="H90" s="13"/>
      <c r="I90" s="13"/>
    </row>
    <row r="91" ht="15.75" customHeight="1">
      <c r="H91" s="13"/>
      <c r="I91" s="13"/>
    </row>
    <row r="92" ht="15.75" customHeight="1">
      <c r="H92" s="13"/>
      <c r="I92" s="13"/>
    </row>
    <row r="93" ht="15.75" customHeight="1">
      <c r="H93" s="13"/>
      <c r="I93" s="13"/>
    </row>
    <row r="94" ht="15.75" customHeight="1">
      <c r="H94" s="13"/>
      <c r="I94" s="13"/>
    </row>
    <row r="95" ht="15.75" customHeight="1">
      <c r="H95" s="13"/>
      <c r="I95" s="13"/>
    </row>
    <row r="96" ht="15.75" customHeight="1">
      <c r="H96" s="13"/>
      <c r="I96" s="13"/>
    </row>
    <row r="97" ht="15.75" customHeight="1">
      <c r="H97" s="13"/>
      <c r="I97" s="13"/>
    </row>
    <row r="98" ht="15.75" customHeight="1">
      <c r="H98" s="13"/>
      <c r="I98" s="13"/>
    </row>
    <row r="99" ht="15.75" customHeight="1">
      <c r="H99" s="13"/>
      <c r="I99" s="13"/>
    </row>
    <row r="100" ht="15.75" customHeight="1">
      <c r="H100" s="13"/>
      <c r="I100" s="13"/>
    </row>
    <row r="101" ht="15.75" customHeight="1">
      <c r="H101" s="13"/>
      <c r="I101" s="13"/>
    </row>
    <row r="102" ht="15.75" customHeight="1">
      <c r="H102" s="13"/>
      <c r="I102" s="13"/>
    </row>
    <row r="103" ht="15.75" customHeight="1">
      <c r="H103" s="13"/>
      <c r="I103" s="13"/>
    </row>
    <row r="104" ht="15.75" customHeight="1">
      <c r="H104" s="13"/>
      <c r="I104" s="13"/>
    </row>
    <row r="105" ht="15.75" customHeight="1">
      <c r="H105" s="13"/>
      <c r="I105" s="13"/>
    </row>
    <row r="106" ht="15.75" customHeight="1">
      <c r="H106" s="13"/>
      <c r="I106" s="13"/>
    </row>
    <row r="107" ht="15.75" customHeight="1">
      <c r="H107" s="13"/>
      <c r="I107" s="13"/>
    </row>
    <row r="108" ht="15.75" customHeight="1">
      <c r="H108" s="13"/>
      <c r="I108" s="13"/>
    </row>
    <row r="109" ht="15.75" customHeight="1">
      <c r="H109" s="13"/>
      <c r="I109" s="13"/>
    </row>
    <row r="110" ht="15.75" customHeight="1">
      <c r="H110" s="13"/>
      <c r="I110" s="13"/>
    </row>
    <row r="111" ht="15.75" customHeight="1">
      <c r="H111" s="13"/>
      <c r="I111" s="13"/>
    </row>
    <row r="112" ht="15.75" customHeight="1">
      <c r="H112" s="13"/>
      <c r="I112" s="13"/>
    </row>
    <row r="113" ht="15.75" customHeight="1">
      <c r="H113" s="13"/>
      <c r="I113" s="13"/>
    </row>
    <row r="114" ht="15.75" customHeight="1">
      <c r="H114" s="13"/>
      <c r="I114" s="13"/>
    </row>
    <row r="115" ht="15.75" customHeight="1">
      <c r="H115" s="13"/>
      <c r="I115" s="13"/>
    </row>
    <row r="116" ht="15.75" customHeight="1">
      <c r="H116" s="13"/>
      <c r="I116" s="13"/>
    </row>
    <row r="117" ht="15.75" customHeight="1">
      <c r="H117" s="13"/>
      <c r="I117" s="13"/>
    </row>
    <row r="118" ht="15.75" customHeight="1">
      <c r="H118" s="13"/>
      <c r="I118" s="13"/>
    </row>
    <row r="119" ht="15.75" customHeight="1">
      <c r="H119" s="13"/>
      <c r="I119" s="13"/>
    </row>
    <row r="120" ht="15.75" customHeight="1">
      <c r="H120" s="13"/>
      <c r="I120" s="13"/>
    </row>
    <row r="121" ht="15.75" customHeight="1">
      <c r="H121" s="13"/>
      <c r="I121" s="13"/>
    </row>
    <row r="122" ht="15.75" customHeight="1">
      <c r="H122" s="13"/>
      <c r="I122" s="13"/>
    </row>
    <row r="123" ht="15.75" customHeight="1">
      <c r="H123" s="13"/>
      <c r="I123" s="13"/>
    </row>
    <row r="124" ht="15.75" customHeight="1">
      <c r="H124" s="13"/>
      <c r="I124" s="13"/>
    </row>
    <row r="125" ht="15.75" customHeight="1">
      <c r="H125" s="13"/>
      <c r="I125" s="13"/>
    </row>
    <row r="126" ht="15.75" customHeight="1">
      <c r="H126" s="13"/>
      <c r="I126" s="13"/>
    </row>
    <row r="127" ht="15.75" customHeight="1">
      <c r="H127" s="13"/>
      <c r="I127" s="13"/>
    </row>
    <row r="128" ht="15.75" customHeight="1">
      <c r="H128" s="13"/>
      <c r="I128" s="13"/>
    </row>
    <row r="129" ht="15.75" customHeight="1">
      <c r="H129" s="13"/>
      <c r="I129" s="13"/>
    </row>
    <row r="130" ht="15.75" customHeight="1">
      <c r="H130" s="13"/>
      <c r="I130" s="13"/>
    </row>
    <row r="131" ht="15.75" customHeight="1">
      <c r="H131" s="13"/>
      <c r="I131" s="13"/>
    </row>
    <row r="132" ht="15.75" customHeight="1">
      <c r="H132" s="13"/>
      <c r="I132" s="13"/>
    </row>
    <row r="133" ht="15.75" customHeight="1">
      <c r="H133" s="13"/>
      <c r="I133" s="13"/>
    </row>
    <row r="134" ht="15.75" customHeight="1">
      <c r="H134" s="13"/>
      <c r="I134" s="13"/>
    </row>
    <row r="135" ht="15.75" customHeight="1">
      <c r="H135" s="13"/>
      <c r="I135" s="13"/>
    </row>
    <row r="136" ht="15.75" customHeight="1">
      <c r="H136" s="13"/>
      <c r="I136" s="13"/>
    </row>
    <row r="137" ht="15.75" customHeight="1">
      <c r="H137" s="13"/>
      <c r="I137" s="13"/>
    </row>
    <row r="138" ht="15.75" customHeight="1">
      <c r="H138" s="13"/>
      <c r="I138" s="13"/>
    </row>
    <row r="139" ht="15.75" customHeight="1">
      <c r="H139" s="13"/>
      <c r="I139" s="13"/>
    </row>
    <row r="140" ht="15.75" customHeight="1">
      <c r="H140" s="13"/>
      <c r="I140" s="13"/>
    </row>
    <row r="141" ht="15.75" customHeight="1">
      <c r="H141" s="13"/>
      <c r="I141" s="13"/>
    </row>
    <row r="142" ht="15.75" customHeight="1">
      <c r="H142" s="13"/>
      <c r="I142" s="13"/>
    </row>
    <row r="143" ht="15.75" customHeight="1">
      <c r="H143" s="13"/>
      <c r="I143" s="13"/>
    </row>
    <row r="144" ht="15.75" customHeight="1">
      <c r="H144" s="13"/>
      <c r="I144" s="13"/>
    </row>
    <row r="145" ht="15.75" customHeight="1">
      <c r="H145" s="13"/>
      <c r="I145" s="13"/>
    </row>
    <row r="146" ht="15.75" customHeight="1">
      <c r="H146" s="13"/>
      <c r="I146" s="13"/>
    </row>
    <row r="147" ht="15.75" customHeight="1">
      <c r="H147" s="13"/>
      <c r="I147" s="13"/>
    </row>
    <row r="148" ht="15.75" customHeight="1">
      <c r="H148" s="13"/>
      <c r="I148" s="13"/>
    </row>
    <row r="149" ht="15.75" customHeight="1">
      <c r="H149" s="13"/>
      <c r="I149" s="13"/>
    </row>
    <row r="150" ht="15.75" customHeight="1">
      <c r="H150" s="13"/>
      <c r="I150" s="13"/>
    </row>
    <row r="151" ht="15.75" customHeight="1">
      <c r="H151" s="13"/>
      <c r="I151" s="13"/>
    </row>
    <row r="152" ht="15.75" customHeight="1">
      <c r="H152" s="13"/>
      <c r="I152" s="13"/>
    </row>
    <row r="153" ht="15.75" customHeight="1">
      <c r="H153" s="13"/>
      <c r="I153" s="13"/>
    </row>
    <row r="154" ht="15.75" customHeight="1">
      <c r="H154" s="13"/>
      <c r="I154" s="13"/>
    </row>
    <row r="155" ht="15.75" customHeight="1">
      <c r="H155" s="13"/>
      <c r="I155" s="13"/>
    </row>
    <row r="156" ht="15.75" customHeight="1">
      <c r="H156" s="13"/>
      <c r="I156" s="13"/>
    </row>
    <row r="157" ht="15.75" customHeight="1">
      <c r="H157" s="13"/>
      <c r="I157" s="13"/>
    </row>
    <row r="158" ht="15.75" customHeight="1">
      <c r="H158" s="13"/>
      <c r="I158" s="13"/>
    </row>
    <row r="159" ht="15.75" customHeight="1">
      <c r="H159" s="13"/>
      <c r="I159" s="13"/>
    </row>
    <row r="160" ht="15.75" customHeight="1">
      <c r="H160" s="13"/>
      <c r="I160" s="13"/>
    </row>
    <row r="161" ht="15.75" customHeight="1">
      <c r="H161" s="13"/>
      <c r="I161" s="13"/>
    </row>
    <row r="162" ht="15.75" customHeight="1">
      <c r="H162" s="13"/>
      <c r="I162" s="13"/>
    </row>
    <row r="163" ht="15.75" customHeight="1">
      <c r="H163" s="13"/>
      <c r="I163" s="13"/>
    </row>
    <row r="164" ht="15.75" customHeight="1">
      <c r="H164" s="13"/>
      <c r="I164" s="13"/>
    </row>
    <row r="165" ht="15.75" customHeight="1">
      <c r="H165" s="13"/>
      <c r="I165" s="13"/>
    </row>
    <row r="166" ht="15.75" customHeight="1">
      <c r="H166" s="13"/>
      <c r="I166" s="13"/>
    </row>
    <row r="167" ht="15.75" customHeight="1">
      <c r="H167" s="13"/>
      <c r="I167" s="13"/>
    </row>
    <row r="168" ht="15.75" customHeight="1">
      <c r="H168" s="13"/>
      <c r="I168" s="13"/>
    </row>
    <row r="169" ht="15.75" customHeight="1">
      <c r="H169" s="13"/>
      <c r="I169" s="13"/>
    </row>
    <row r="170" ht="15.75" customHeight="1">
      <c r="H170" s="13"/>
      <c r="I170" s="13"/>
    </row>
    <row r="171" ht="15.75" customHeight="1">
      <c r="H171" s="13"/>
      <c r="I171" s="13"/>
    </row>
    <row r="172" ht="15.75" customHeight="1">
      <c r="H172" s="13"/>
      <c r="I172" s="13"/>
    </row>
    <row r="173" ht="15.75" customHeight="1">
      <c r="H173" s="13"/>
      <c r="I173" s="13"/>
    </row>
    <row r="174" ht="15.75" customHeight="1">
      <c r="H174" s="13"/>
      <c r="I174" s="13"/>
    </row>
    <row r="175" ht="15.75" customHeight="1">
      <c r="H175" s="13"/>
      <c r="I175" s="13"/>
    </row>
    <row r="176" ht="15.75" customHeight="1">
      <c r="H176" s="13"/>
      <c r="I176" s="13"/>
    </row>
    <row r="177" ht="15.75" customHeight="1">
      <c r="H177" s="13"/>
      <c r="I177" s="13"/>
    </row>
    <row r="178" ht="15.75" customHeight="1">
      <c r="H178" s="13"/>
      <c r="I178" s="13"/>
    </row>
    <row r="179" ht="15.75" customHeight="1">
      <c r="H179" s="13"/>
      <c r="I179" s="13"/>
    </row>
    <row r="180" ht="15.75" customHeight="1">
      <c r="H180" s="13"/>
      <c r="I180" s="13"/>
    </row>
    <row r="181" ht="15.75" customHeight="1">
      <c r="H181" s="13"/>
      <c r="I181" s="13"/>
    </row>
    <row r="182" ht="15.75" customHeight="1">
      <c r="H182" s="13"/>
      <c r="I182" s="13"/>
    </row>
    <row r="183" ht="15.75" customHeight="1">
      <c r="H183" s="13"/>
      <c r="I183" s="13"/>
    </row>
    <row r="184" ht="15.75" customHeight="1">
      <c r="H184" s="13"/>
      <c r="I184" s="13"/>
    </row>
    <row r="185" ht="15.75" customHeight="1">
      <c r="H185" s="13"/>
      <c r="I185" s="13"/>
    </row>
    <row r="186" ht="15.75" customHeight="1">
      <c r="H186" s="13"/>
      <c r="I186" s="13"/>
    </row>
    <row r="187" ht="15.75" customHeight="1">
      <c r="H187" s="13"/>
      <c r="I187" s="13"/>
    </row>
    <row r="188" ht="15.75" customHeight="1">
      <c r="H188" s="13"/>
      <c r="I188" s="13"/>
    </row>
    <row r="189" ht="15.75" customHeight="1">
      <c r="H189" s="13"/>
      <c r="I189" s="13"/>
    </row>
    <row r="190" ht="15.75" customHeight="1">
      <c r="H190" s="13"/>
      <c r="I190" s="13"/>
    </row>
    <row r="191" ht="15.75" customHeight="1">
      <c r="H191" s="13"/>
      <c r="I191" s="13"/>
    </row>
    <row r="192" ht="15.75" customHeight="1">
      <c r="H192" s="13"/>
      <c r="I192" s="13"/>
    </row>
    <row r="193" ht="15.75" customHeight="1">
      <c r="H193" s="13"/>
      <c r="I193" s="13"/>
    </row>
    <row r="194" ht="15.75" customHeight="1">
      <c r="H194" s="13"/>
      <c r="I194" s="13"/>
    </row>
    <row r="195" ht="15.75" customHeight="1">
      <c r="H195" s="13"/>
      <c r="I195" s="13"/>
    </row>
    <row r="196" ht="15.75" customHeight="1">
      <c r="H196" s="13"/>
      <c r="I196" s="13"/>
    </row>
    <row r="197" ht="15.75" customHeight="1">
      <c r="H197" s="13"/>
      <c r="I197" s="13"/>
    </row>
    <row r="198" ht="15.75" customHeight="1">
      <c r="H198" s="13"/>
      <c r="I198" s="13"/>
    </row>
    <row r="199" ht="15.75" customHeight="1">
      <c r="H199" s="13"/>
      <c r="I199" s="13"/>
    </row>
    <row r="200" ht="15.75" customHeight="1">
      <c r="H200" s="13"/>
      <c r="I200" s="13"/>
    </row>
    <row r="201" ht="15.75" customHeight="1">
      <c r="H201" s="13"/>
      <c r="I201" s="13"/>
    </row>
    <row r="202" ht="15.75" customHeight="1">
      <c r="H202" s="13"/>
      <c r="I202" s="13"/>
    </row>
    <row r="203" ht="15.75" customHeight="1">
      <c r="H203" s="13"/>
      <c r="I203" s="13"/>
    </row>
    <row r="204" ht="15.75" customHeight="1">
      <c r="H204" s="13"/>
      <c r="I204" s="13"/>
    </row>
    <row r="205" ht="15.75" customHeight="1">
      <c r="H205" s="13"/>
      <c r="I205" s="13"/>
    </row>
    <row r="206" ht="15.75" customHeight="1">
      <c r="H206" s="13"/>
      <c r="I206" s="13"/>
    </row>
    <row r="207" ht="15.75" customHeight="1">
      <c r="H207" s="13"/>
      <c r="I207" s="13"/>
    </row>
    <row r="208" ht="15.75" customHeight="1">
      <c r="H208" s="13"/>
      <c r="I208" s="13"/>
    </row>
    <row r="209" ht="15.75" customHeight="1">
      <c r="H209" s="13"/>
      <c r="I209" s="13"/>
    </row>
    <row r="210" ht="15.75" customHeight="1">
      <c r="H210" s="13"/>
      <c r="I210" s="13"/>
    </row>
    <row r="211" ht="15.75" customHeight="1">
      <c r="H211" s="13"/>
      <c r="I211" s="13"/>
    </row>
    <row r="212" ht="15.75" customHeight="1">
      <c r="H212" s="13"/>
      <c r="I212" s="13"/>
    </row>
    <row r="213" ht="15.75" customHeight="1">
      <c r="H213" s="13"/>
      <c r="I213" s="13"/>
    </row>
    <row r="214" ht="15.75" customHeight="1">
      <c r="H214" s="13"/>
      <c r="I214" s="13"/>
    </row>
    <row r="215" ht="15.75" customHeight="1">
      <c r="H215" s="13"/>
      <c r="I215" s="13"/>
    </row>
    <row r="216" ht="15.75" customHeight="1">
      <c r="H216" s="13"/>
      <c r="I216" s="13"/>
    </row>
    <row r="217" ht="15.75" customHeight="1">
      <c r="H217" s="13"/>
      <c r="I217" s="13"/>
    </row>
    <row r="218" ht="15.75" customHeight="1">
      <c r="H218" s="13"/>
      <c r="I218" s="13"/>
    </row>
    <row r="219" ht="15.75" customHeight="1">
      <c r="H219" s="13"/>
      <c r="I219" s="13"/>
    </row>
    <row r="220" ht="15.75" customHeight="1">
      <c r="H220" s="13"/>
      <c r="I220" s="13"/>
    </row>
    <row r="221" ht="15.75" customHeight="1">
      <c r="H221" s="13"/>
      <c r="I221" s="13"/>
    </row>
    <row r="222" ht="15.75" customHeight="1">
      <c r="H222" s="13"/>
      <c r="I222" s="13"/>
    </row>
    <row r="223" ht="15.75" customHeight="1">
      <c r="H223" s="13"/>
      <c r="I223" s="13"/>
    </row>
    <row r="224" ht="15.75" customHeight="1">
      <c r="H224" s="13"/>
      <c r="I224" s="13"/>
    </row>
    <row r="225" ht="15.75" customHeight="1">
      <c r="H225" s="13"/>
      <c r="I225" s="13"/>
    </row>
    <row r="226" ht="15.75" customHeight="1">
      <c r="H226" s="13"/>
      <c r="I226" s="13"/>
    </row>
    <row r="227" ht="15.75" customHeight="1">
      <c r="H227" s="13"/>
      <c r="I227" s="13"/>
    </row>
    <row r="228" ht="15.75" customHeight="1">
      <c r="H228" s="13"/>
      <c r="I228" s="13"/>
    </row>
    <row r="229" ht="15.75" customHeight="1">
      <c r="H229" s="13"/>
      <c r="I229" s="13"/>
    </row>
    <row r="230" ht="15.75" customHeight="1">
      <c r="H230" s="13"/>
      <c r="I230" s="13"/>
    </row>
    <row r="231" ht="15.75" customHeight="1">
      <c r="H231" s="13"/>
      <c r="I231" s="13"/>
    </row>
    <row r="232" ht="15.75" customHeight="1">
      <c r="H232" s="13"/>
      <c r="I232" s="13"/>
    </row>
    <row r="233" ht="15.75" customHeight="1">
      <c r="H233" s="13"/>
      <c r="I233" s="13"/>
    </row>
    <row r="234" ht="15.75" customHeight="1">
      <c r="H234" s="13"/>
      <c r="I234" s="13"/>
    </row>
    <row r="235" ht="15.75" customHeight="1">
      <c r="H235" s="13"/>
      <c r="I235" s="13"/>
    </row>
    <row r="236" ht="15.75" customHeight="1">
      <c r="H236" s="13"/>
      <c r="I236" s="13"/>
    </row>
    <row r="237" ht="15.75" customHeight="1">
      <c r="H237" s="13"/>
      <c r="I237" s="13"/>
    </row>
    <row r="238" ht="15.75" customHeight="1">
      <c r="H238" s="13"/>
      <c r="I238" s="13"/>
    </row>
    <row r="239" ht="15.75" customHeight="1">
      <c r="H239" s="13"/>
      <c r="I239" s="13"/>
    </row>
    <row r="240" ht="15.75" customHeight="1">
      <c r="H240" s="13"/>
      <c r="I240" s="13"/>
    </row>
    <row r="241" ht="15.75" customHeight="1">
      <c r="H241" s="13"/>
      <c r="I241" s="13"/>
    </row>
    <row r="242" ht="15.75" customHeight="1">
      <c r="H242" s="13"/>
      <c r="I242" s="13"/>
    </row>
    <row r="243" ht="15.75" customHeight="1">
      <c r="H243" s="13"/>
      <c r="I243" s="13"/>
    </row>
    <row r="244" ht="15.75" customHeight="1">
      <c r="H244" s="13"/>
      <c r="I244" s="13"/>
    </row>
    <row r="245" ht="15.75" customHeight="1">
      <c r="H245" s="13"/>
      <c r="I245" s="13"/>
    </row>
    <row r="246" ht="15.75" customHeight="1">
      <c r="H246" s="13"/>
      <c r="I246" s="13"/>
    </row>
    <row r="247" ht="15.75" customHeight="1">
      <c r="H247" s="13"/>
      <c r="I247" s="13"/>
    </row>
    <row r="248" ht="15.75" customHeight="1">
      <c r="H248" s="13"/>
      <c r="I248" s="13"/>
    </row>
    <row r="249" ht="15.75" customHeight="1">
      <c r="H249" s="13"/>
      <c r="I249" s="13"/>
    </row>
    <row r="250" ht="15.75" customHeight="1">
      <c r="H250" s="13"/>
      <c r="I250" s="13"/>
    </row>
    <row r="251" ht="15.75" customHeight="1">
      <c r="H251" s="13"/>
      <c r="I251" s="13"/>
    </row>
    <row r="252" ht="15.75" customHeight="1">
      <c r="H252" s="13"/>
      <c r="I252" s="13"/>
    </row>
    <row r="253" ht="15.75" customHeight="1">
      <c r="H253" s="13"/>
      <c r="I253" s="13"/>
    </row>
    <row r="254" ht="15.75" customHeight="1">
      <c r="H254" s="13"/>
      <c r="I254" s="13"/>
    </row>
    <row r="255" ht="15.75" customHeight="1">
      <c r="H255" s="13"/>
      <c r="I255" s="13"/>
    </row>
    <row r="256" ht="15.75" customHeight="1">
      <c r="H256" s="13"/>
      <c r="I256" s="13"/>
    </row>
    <row r="257" ht="15.75" customHeight="1">
      <c r="H257" s="13"/>
      <c r="I257" s="13"/>
    </row>
    <row r="258" ht="15.75" customHeight="1">
      <c r="H258" s="13"/>
      <c r="I258" s="13"/>
    </row>
    <row r="259" ht="15.75" customHeight="1">
      <c r="H259" s="13"/>
      <c r="I259" s="13"/>
    </row>
    <row r="260" ht="15.75" customHeight="1">
      <c r="H260" s="13"/>
      <c r="I260" s="13"/>
    </row>
    <row r="261" ht="15.75" customHeight="1">
      <c r="H261" s="13"/>
      <c r="I261" s="13"/>
    </row>
    <row r="262" ht="15.75" customHeight="1">
      <c r="H262" s="13"/>
      <c r="I262" s="13"/>
    </row>
    <row r="263" ht="15.75" customHeight="1">
      <c r="H263" s="13"/>
      <c r="I263" s="13"/>
    </row>
    <row r="264" ht="15.75" customHeight="1">
      <c r="H264" s="13"/>
      <c r="I264" s="13"/>
    </row>
    <row r="265" ht="15.75" customHeight="1">
      <c r="H265" s="13"/>
      <c r="I265" s="13"/>
    </row>
    <row r="266" ht="15.75" customHeight="1">
      <c r="H266" s="13"/>
      <c r="I266" s="13"/>
    </row>
    <row r="267" ht="15.75" customHeight="1">
      <c r="H267" s="13"/>
      <c r="I267" s="13"/>
    </row>
    <row r="268" ht="15.75" customHeight="1">
      <c r="H268" s="13"/>
      <c r="I268" s="13"/>
    </row>
    <row r="269" ht="15.75" customHeight="1">
      <c r="H269" s="13"/>
      <c r="I269" s="13"/>
    </row>
    <row r="270" ht="15.75" customHeight="1">
      <c r="H270" s="13"/>
      <c r="I270" s="13"/>
    </row>
    <row r="271" ht="15.75" customHeight="1">
      <c r="H271" s="13"/>
      <c r="I271" s="13"/>
    </row>
    <row r="272" ht="15.75" customHeight="1">
      <c r="H272" s="13"/>
      <c r="I272" s="13"/>
    </row>
    <row r="273" ht="15.75" customHeight="1">
      <c r="H273" s="13"/>
      <c r="I273" s="13"/>
    </row>
    <row r="274" ht="15.75" customHeight="1">
      <c r="H274" s="13"/>
      <c r="I274" s="13"/>
    </row>
    <row r="275" ht="15.75" customHeight="1">
      <c r="H275" s="13"/>
      <c r="I275" s="13"/>
    </row>
    <row r="276" ht="15.75" customHeight="1">
      <c r="H276" s="13"/>
      <c r="I276" s="13"/>
    </row>
    <row r="277" ht="15.75" customHeight="1">
      <c r="H277" s="13"/>
      <c r="I277" s="13"/>
    </row>
    <row r="278" ht="15.75" customHeight="1">
      <c r="H278" s="13"/>
      <c r="I278" s="13"/>
    </row>
    <row r="279" ht="15.75" customHeight="1">
      <c r="H279" s="13"/>
      <c r="I279" s="13"/>
    </row>
    <row r="280" ht="15.75" customHeight="1">
      <c r="H280" s="13"/>
      <c r="I280" s="13"/>
    </row>
    <row r="281" ht="15.75" customHeight="1">
      <c r="H281" s="13"/>
      <c r="I281" s="13"/>
    </row>
    <row r="282" ht="15.75" customHeight="1">
      <c r="H282" s="13"/>
      <c r="I282" s="13"/>
    </row>
    <row r="283" ht="15.75" customHeight="1">
      <c r="H283" s="13"/>
      <c r="I283" s="13"/>
    </row>
    <row r="284" ht="15.75" customHeight="1">
      <c r="H284" s="13"/>
      <c r="I284" s="13"/>
    </row>
    <row r="285" ht="15.75" customHeight="1">
      <c r="H285" s="13"/>
      <c r="I285" s="13"/>
    </row>
    <row r="286" ht="15.75" customHeight="1">
      <c r="H286" s="13"/>
      <c r="I286" s="13"/>
    </row>
    <row r="287" ht="15.75" customHeight="1">
      <c r="H287" s="13"/>
      <c r="I287" s="13"/>
    </row>
    <row r="288" ht="15.75" customHeight="1">
      <c r="H288" s="13"/>
      <c r="I288" s="13"/>
    </row>
    <row r="289" ht="15.75" customHeight="1">
      <c r="H289" s="13"/>
      <c r="I289" s="13"/>
    </row>
    <row r="290" ht="15.75" customHeight="1">
      <c r="H290" s="13"/>
      <c r="I290" s="13"/>
    </row>
    <row r="291" ht="15.75" customHeight="1">
      <c r="H291" s="13"/>
      <c r="I291" s="13"/>
    </row>
    <row r="292" ht="15.75" customHeight="1">
      <c r="H292" s="13"/>
      <c r="I292" s="13"/>
    </row>
    <row r="293" ht="15.75" customHeight="1">
      <c r="H293" s="13"/>
      <c r="I293" s="13"/>
    </row>
    <row r="294" ht="15.75" customHeight="1">
      <c r="H294" s="13"/>
      <c r="I294" s="13"/>
    </row>
    <row r="295" ht="15.75" customHeight="1">
      <c r="H295" s="13"/>
      <c r="I295" s="13"/>
    </row>
    <row r="296" ht="15.75" customHeight="1">
      <c r="H296" s="13"/>
      <c r="I296" s="13"/>
    </row>
    <row r="297" ht="15.75" customHeight="1">
      <c r="H297" s="13"/>
      <c r="I297" s="13"/>
    </row>
    <row r="298" ht="15.75" customHeight="1">
      <c r="H298" s="13"/>
      <c r="I298" s="13"/>
    </row>
    <row r="299" ht="15.75" customHeight="1">
      <c r="H299" s="13"/>
      <c r="I299" s="13"/>
    </row>
    <row r="300" ht="15.75" customHeight="1">
      <c r="H300" s="13"/>
      <c r="I300" s="13"/>
    </row>
    <row r="301" ht="15.75" customHeight="1">
      <c r="H301" s="13"/>
      <c r="I301" s="13"/>
    </row>
    <row r="302" ht="15.75" customHeight="1">
      <c r="H302" s="13"/>
      <c r="I302" s="13"/>
    </row>
    <row r="303" ht="15.75" customHeight="1">
      <c r="H303" s="13"/>
      <c r="I303" s="13"/>
    </row>
    <row r="304" ht="15.75" customHeight="1">
      <c r="H304" s="13"/>
      <c r="I304" s="13"/>
    </row>
    <row r="305" ht="15.75" customHeight="1">
      <c r="H305" s="13"/>
      <c r="I305" s="13"/>
    </row>
    <row r="306" ht="15.75" customHeight="1">
      <c r="H306" s="13"/>
      <c r="I306" s="13"/>
    </row>
    <row r="307" ht="15.75" customHeight="1">
      <c r="H307" s="13"/>
      <c r="I307" s="13"/>
    </row>
    <row r="308" ht="15.75" customHeight="1">
      <c r="H308" s="13"/>
      <c r="I308" s="13"/>
    </row>
    <row r="309" ht="15.75" customHeight="1">
      <c r="H309" s="13"/>
      <c r="I309" s="13"/>
    </row>
    <row r="310" ht="15.75" customHeight="1">
      <c r="H310" s="13"/>
      <c r="I310" s="13"/>
    </row>
    <row r="311" ht="15.75" customHeight="1">
      <c r="H311" s="13"/>
      <c r="I311" s="13"/>
    </row>
    <row r="312" ht="15.75" customHeight="1">
      <c r="H312" s="13"/>
      <c r="I312" s="13"/>
    </row>
    <row r="313" ht="15.75" customHeight="1">
      <c r="H313" s="13"/>
      <c r="I313" s="13"/>
    </row>
    <row r="314" ht="15.75" customHeight="1">
      <c r="H314" s="13"/>
      <c r="I314" s="13"/>
    </row>
    <row r="315" ht="15.75" customHeight="1">
      <c r="H315" s="13"/>
      <c r="I315" s="13"/>
    </row>
    <row r="316" ht="15.75" customHeight="1">
      <c r="H316" s="13"/>
      <c r="I316" s="13"/>
    </row>
    <row r="317" ht="15.75" customHeight="1">
      <c r="H317" s="13"/>
      <c r="I317" s="13"/>
    </row>
    <row r="318" ht="15.75" customHeight="1">
      <c r="H318" s="13"/>
      <c r="I318" s="13"/>
    </row>
    <row r="319" ht="15.75" customHeight="1">
      <c r="H319" s="13"/>
      <c r="I319" s="13"/>
    </row>
    <row r="320" ht="15.75" customHeight="1">
      <c r="H320" s="13"/>
      <c r="I320" s="13"/>
    </row>
    <row r="321" ht="15.75" customHeight="1">
      <c r="H321" s="13"/>
      <c r="I321" s="13"/>
    </row>
    <row r="322" ht="15.75" customHeight="1">
      <c r="H322" s="13"/>
      <c r="I322" s="13"/>
    </row>
    <row r="323" ht="15.75" customHeight="1">
      <c r="H323" s="13"/>
      <c r="I323" s="13"/>
    </row>
    <row r="324" ht="15.75" customHeight="1">
      <c r="H324" s="13"/>
      <c r="I324" s="13"/>
    </row>
    <row r="325" ht="15.75" customHeight="1">
      <c r="H325" s="13"/>
      <c r="I325" s="13"/>
    </row>
    <row r="326" ht="15.75" customHeight="1">
      <c r="H326" s="13"/>
      <c r="I326" s="13"/>
    </row>
    <row r="327" ht="15.75" customHeight="1">
      <c r="H327" s="13"/>
      <c r="I327" s="13"/>
    </row>
    <row r="328" ht="15.75" customHeight="1">
      <c r="H328" s="13"/>
      <c r="I328" s="13"/>
    </row>
    <row r="329" ht="15.75" customHeight="1">
      <c r="H329" s="13"/>
      <c r="I329" s="13"/>
    </row>
    <row r="330" ht="15.75" customHeight="1">
      <c r="H330" s="13"/>
      <c r="I330" s="13"/>
    </row>
    <row r="331" ht="15.75" customHeight="1">
      <c r="H331" s="13"/>
      <c r="I331" s="13"/>
    </row>
    <row r="332" ht="15.75" customHeight="1">
      <c r="H332" s="13"/>
      <c r="I332" s="13"/>
    </row>
    <row r="333" ht="15.75" customHeight="1">
      <c r="H333" s="13"/>
      <c r="I333" s="13"/>
    </row>
    <row r="334" ht="15.75" customHeight="1">
      <c r="H334" s="13"/>
      <c r="I334" s="13"/>
    </row>
    <row r="335" ht="15.75" customHeight="1">
      <c r="H335" s="13"/>
      <c r="I335" s="13"/>
    </row>
    <row r="336" ht="15.75" customHeight="1">
      <c r="H336" s="13"/>
      <c r="I336" s="13"/>
    </row>
    <row r="337" ht="15.75" customHeight="1">
      <c r="H337" s="13"/>
      <c r="I337" s="13"/>
    </row>
    <row r="338" ht="15.75" customHeight="1">
      <c r="H338" s="13"/>
      <c r="I338" s="13"/>
    </row>
    <row r="339" ht="15.75" customHeight="1">
      <c r="H339" s="13"/>
      <c r="I339" s="13"/>
    </row>
    <row r="340" ht="15.75" customHeight="1">
      <c r="H340" s="13"/>
      <c r="I340" s="13"/>
    </row>
    <row r="341" ht="15.75" customHeight="1">
      <c r="H341" s="13"/>
      <c r="I341" s="13"/>
    </row>
    <row r="342" ht="15.75" customHeight="1">
      <c r="H342" s="13"/>
      <c r="I342" s="13"/>
    </row>
    <row r="343" ht="15.75" customHeight="1">
      <c r="H343" s="13"/>
      <c r="I343" s="13"/>
    </row>
    <row r="344" ht="15.75" customHeight="1">
      <c r="H344" s="13"/>
      <c r="I344" s="13"/>
    </row>
    <row r="345" ht="15.75" customHeight="1">
      <c r="H345" s="13"/>
      <c r="I345" s="13"/>
    </row>
    <row r="346" ht="15.75" customHeight="1">
      <c r="H346" s="13"/>
      <c r="I346" s="13"/>
    </row>
    <row r="347" ht="15.75" customHeight="1">
      <c r="H347" s="13"/>
      <c r="I347" s="13"/>
    </row>
    <row r="348" ht="15.75" customHeight="1">
      <c r="H348" s="13"/>
      <c r="I348" s="13"/>
    </row>
    <row r="349" ht="15.75" customHeight="1">
      <c r="H349" s="13"/>
      <c r="I349" s="13"/>
    </row>
    <row r="350" ht="15.75" customHeight="1">
      <c r="H350" s="13"/>
      <c r="I350" s="13"/>
    </row>
    <row r="351" ht="15.75" customHeight="1">
      <c r="H351" s="13"/>
      <c r="I351" s="13"/>
    </row>
    <row r="352" ht="15.75" customHeight="1">
      <c r="H352" s="13"/>
      <c r="I352" s="13"/>
    </row>
    <row r="353" ht="15.75" customHeight="1">
      <c r="H353" s="13"/>
      <c r="I353" s="13"/>
    </row>
    <row r="354" ht="15.75" customHeight="1">
      <c r="H354" s="13"/>
      <c r="I354" s="13"/>
    </row>
    <row r="355" ht="15.75" customHeight="1">
      <c r="H355" s="13"/>
      <c r="I355" s="13"/>
    </row>
    <row r="356" ht="15.75" customHeight="1">
      <c r="H356" s="13"/>
      <c r="I356" s="13"/>
    </row>
    <row r="357" ht="15.75" customHeight="1">
      <c r="H357" s="13"/>
      <c r="I357" s="13"/>
    </row>
    <row r="358" ht="15.75" customHeight="1">
      <c r="H358" s="13"/>
      <c r="I358" s="13"/>
    </row>
    <row r="359" ht="15.75" customHeight="1">
      <c r="H359" s="13"/>
      <c r="I359" s="13"/>
    </row>
    <row r="360" ht="15.75" customHeight="1">
      <c r="H360" s="13"/>
      <c r="I360" s="13"/>
    </row>
    <row r="361" ht="15.75" customHeight="1">
      <c r="H361" s="13"/>
      <c r="I361" s="13"/>
    </row>
    <row r="362" ht="15.75" customHeight="1">
      <c r="H362" s="13"/>
      <c r="I362" s="13"/>
    </row>
    <row r="363" ht="15.75" customHeight="1">
      <c r="H363" s="13"/>
      <c r="I363" s="13"/>
    </row>
    <row r="364" ht="15.75" customHeight="1">
      <c r="H364" s="13"/>
      <c r="I364" s="13"/>
    </row>
    <row r="365" ht="15.75" customHeight="1">
      <c r="H365" s="13"/>
      <c r="I365" s="13"/>
    </row>
    <row r="366" ht="15.75" customHeight="1">
      <c r="H366" s="13"/>
      <c r="I366" s="13"/>
    </row>
    <row r="367" ht="15.75" customHeight="1">
      <c r="H367" s="13"/>
      <c r="I367" s="13"/>
    </row>
    <row r="368" ht="15.75" customHeight="1">
      <c r="H368" s="13"/>
      <c r="I368" s="13"/>
    </row>
    <row r="369" ht="15.75" customHeight="1">
      <c r="H369" s="13"/>
      <c r="I369" s="13"/>
    </row>
    <row r="370" ht="15.75" customHeight="1">
      <c r="H370" s="13"/>
      <c r="I370" s="13"/>
    </row>
    <row r="371" ht="15.75" customHeight="1">
      <c r="H371" s="13"/>
      <c r="I371" s="13"/>
    </row>
    <row r="372" ht="15.75" customHeight="1">
      <c r="H372" s="13"/>
      <c r="I372" s="13"/>
    </row>
    <row r="373" ht="15.75" customHeight="1">
      <c r="H373" s="13"/>
      <c r="I373" s="13"/>
    </row>
    <row r="374" ht="15.75" customHeight="1">
      <c r="H374" s="13"/>
      <c r="I374" s="13"/>
    </row>
    <row r="375" ht="15.75" customHeight="1">
      <c r="H375" s="13"/>
      <c r="I375" s="13"/>
    </row>
    <row r="376" ht="15.75" customHeight="1">
      <c r="H376" s="13"/>
      <c r="I376" s="13"/>
    </row>
    <row r="377" ht="15.75" customHeight="1">
      <c r="H377" s="13"/>
      <c r="I377" s="13"/>
    </row>
    <row r="378" ht="15.75" customHeight="1">
      <c r="H378" s="13"/>
      <c r="I378" s="13"/>
    </row>
    <row r="379" ht="15.75" customHeight="1">
      <c r="H379" s="13"/>
      <c r="I379" s="13"/>
    </row>
    <row r="380" ht="15.75" customHeight="1">
      <c r="H380" s="13"/>
      <c r="I380" s="13"/>
    </row>
    <row r="381" ht="15.75" customHeight="1">
      <c r="H381" s="13"/>
      <c r="I381" s="13"/>
    </row>
    <row r="382" ht="15.75" customHeight="1">
      <c r="H382" s="13"/>
      <c r="I382" s="13"/>
    </row>
    <row r="383" ht="15.75" customHeight="1">
      <c r="H383" s="13"/>
      <c r="I383" s="13"/>
    </row>
    <row r="384" ht="15.75" customHeight="1">
      <c r="H384" s="13"/>
      <c r="I384" s="13"/>
    </row>
    <row r="385" ht="15.75" customHeight="1">
      <c r="H385" s="13"/>
      <c r="I385" s="13"/>
    </row>
    <row r="386" ht="15.75" customHeight="1">
      <c r="H386" s="13"/>
      <c r="I386" s="13"/>
    </row>
    <row r="387" ht="15.75" customHeight="1">
      <c r="H387" s="13"/>
      <c r="I387" s="13"/>
    </row>
    <row r="388" ht="15.75" customHeight="1">
      <c r="H388" s="13"/>
      <c r="I388" s="13"/>
    </row>
    <row r="389" ht="15.75" customHeight="1">
      <c r="H389" s="13"/>
      <c r="I389" s="13"/>
    </row>
    <row r="390" ht="15.75" customHeight="1">
      <c r="H390" s="13"/>
      <c r="I390" s="13"/>
    </row>
    <row r="391" ht="15.75" customHeight="1">
      <c r="H391" s="13"/>
      <c r="I391" s="13"/>
    </row>
    <row r="392" ht="15.75" customHeight="1">
      <c r="H392" s="13"/>
      <c r="I392" s="13"/>
    </row>
    <row r="393" ht="15.75" customHeight="1">
      <c r="H393" s="13"/>
      <c r="I393" s="13"/>
    </row>
    <row r="394" ht="15.75" customHeight="1">
      <c r="H394" s="13"/>
      <c r="I394" s="13"/>
    </row>
    <row r="395" ht="15.75" customHeight="1">
      <c r="H395" s="13"/>
      <c r="I395" s="13"/>
    </row>
    <row r="396" ht="15.75" customHeight="1">
      <c r="H396" s="13"/>
      <c r="I396" s="13"/>
    </row>
    <row r="397" ht="15.75" customHeight="1">
      <c r="H397" s="13"/>
      <c r="I397" s="13"/>
    </row>
    <row r="398" ht="15.75" customHeight="1">
      <c r="H398" s="13"/>
      <c r="I398" s="13"/>
    </row>
    <row r="399" ht="15.75" customHeight="1">
      <c r="H399" s="13"/>
      <c r="I399" s="13"/>
    </row>
    <row r="400" ht="15.75" customHeight="1">
      <c r="H400" s="13"/>
      <c r="I400" s="13"/>
    </row>
    <row r="401" ht="15.75" customHeight="1">
      <c r="H401" s="13"/>
      <c r="I401" s="13"/>
    </row>
    <row r="402" ht="15.75" customHeight="1">
      <c r="H402" s="13"/>
      <c r="I402" s="13"/>
    </row>
    <row r="403" ht="15.75" customHeight="1">
      <c r="H403" s="13"/>
      <c r="I403" s="13"/>
    </row>
    <row r="404" ht="15.75" customHeight="1">
      <c r="H404" s="13"/>
      <c r="I404" s="13"/>
    </row>
    <row r="405" ht="15.75" customHeight="1">
      <c r="H405" s="13"/>
      <c r="I405" s="13"/>
    </row>
    <row r="406" ht="15.75" customHeight="1">
      <c r="H406" s="13"/>
      <c r="I406" s="13"/>
    </row>
    <row r="407" ht="15.75" customHeight="1">
      <c r="H407" s="13"/>
      <c r="I407" s="13"/>
    </row>
    <row r="408" ht="15.75" customHeight="1">
      <c r="H408" s="13"/>
      <c r="I408" s="13"/>
    </row>
    <row r="409" ht="15.75" customHeight="1">
      <c r="H409" s="13"/>
      <c r="I409" s="13"/>
    </row>
    <row r="410" ht="15.75" customHeight="1">
      <c r="H410" s="13"/>
      <c r="I410" s="13"/>
    </row>
    <row r="411" ht="15.75" customHeight="1">
      <c r="H411" s="13"/>
      <c r="I411" s="13"/>
    </row>
    <row r="412" ht="15.75" customHeight="1">
      <c r="H412" s="13"/>
      <c r="I412" s="13"/>
    </row>
    <row r="413" ht="15.75" customHeight="1">
      <c r="H413" s="13"/>
      <c r="I413" s="13"/>
    </row>
    <row r="414" ht="15.75" customHeight="1">
      <c r="H414" s="13"/>
      <c r="I414" s="13"/>
    </row>
    <row r="415" ht="15.75" customHeight="1">
      <c r="H415" s="13"/>
      <c r="I415" s="13"/>
    </row>
    <row r="416" ht="15.75" customHeight="1">
      <c r="H416" s="13"/>
      <c r="I416" s="13"/>
    </row>
    <row r="417" ht="15.75" customHeight="1">
      <c r="H417" s="13"/>
      <c r="I417" s="13"/>
    </row>
    <row r="418" ht="15.75" customHeight="1">
      <c r="H418" s="13"/>
      <c r="I418" s="13"/>
    </row>
    <row r="419" ht="15.75" customHeight="1">
      <c r="H419" s="13"/>
      <c r="I419" s="13"/>
    </row>
    <row r="420" ht="15.75" customHeight="1">
      <c r="H420" s="13"/>
      <c r="I420" s="13"/>
    </row>
    <row r="421" ht="15.75" customHeight="1">
      <c r="H421" s="13"/>
      <c r="I421" s="13"/>
    </row>
    <row r="422" ht="15.75" customHeight="1">
      <c r="H422" s="13"/>
      <c r="I422" s="13"/>
    </row>
    <row r="423" ht="15.75" customHeight="1">
      <c r="H423" s="13"/>
      <c r="I423" s="13"/>
    </row>
    <row r="424" ht="15.75" customHeight="1">
      <c r="H424" s="13"/>
      <c r="I424" s="13"/>
    </row>
    <row r="425" ht="15.75" customHeight="1">
      <c r="H425" s="13"/>
      <c r="I425" s="13"/>
    </row>
    <row r="426" ht="15.75" customHeight="1">
      <c r="H426" s="13"/>
      <c r="I426" s="13"/>
    </row>
    <row r="427" ht="15.75" customHeight="1">
      <c r="H427" s="13"/>
      <c r="I427" s="13"/>
    </row>
    <row r="428" ht="15.75" customHeight="1">
      <c r="H428" s="13"/>
      <c r="I428" s="13"/>
    </row>
    <row r="429" ht="15.75" customHeight="1">
      <c r="H429" s="13"/>
      <c r="I429" s="13"/>
    </row>
    <row r="430" ht="15.75" customHeight="1">
      <c r="H430" s="13"/>
      <c r="I430" s="13"/>
    </row>
    <row r="431" ht="15.75" customHeight="1">
      <c r="H431" s="13"/>
      <c r="I431" s="13"/>
    </row>
    <row r="432" ht="15.75" customHeight="1">
      <c r="H432" s="13"/>
      <c r="I432" s="13"/>
    </row>
    <row r="433" ht="15.75" customHeight="1">
      <c r="H433" s="13"/>
      <c r="I433" s="13"/>
    </row>
    <row r="434" ht="15.75" customHeight="1">
      <c r="H434" s="13"/>
      <c r="I434" s="13"/>
    </row>
    <row r="435" ht="15.75" customHeight="1">
      <c r="H435" s="13"/>
      <c r="I435" s="13"/>
    </row>
    <row r="436" ht="15.75" customHeight="1">
      <c r="H436" s="13"/>
      <c r="I436" s="13"/>
    </row>
    <row r="437" ht="15.75" customHeight="1">
      <c r="H437" s="13"/>
      <c r="I437" s="13"/>
    </row>
    <row r="438" ht="15.75" customHeight="1">
      <c r="H438" s="13"/>
      <c r="I438" s="13"/>
    </row>
    <row r="439" ht="15.75" customHeight="1">
      <c r="H439" s="13"/>
      <c r="I439" s="13"/>
    </row>
    <row r="440" ht="15.75" customHeight="1">
      <c r="H440" s="13"/>
      <c r="I440" s="13"/>
    </row>
    <row r="441" ht="15.75" customHeight="1">
      <c r="H441" s="13"/>
      <c r="I441" s="13"/>
    </row>
    <row r="442" ht="15.75" customHeight="1">
      <c r="H442" s="13"/>
      <c r="I442" s="13"/>
    </row>
    <row r="443" ht="15.75" customHeight="1">
      <c r="H443" s="13"/>
      <c r="I443" s="13"/>
    </row>
    <row r="444" ht="15.75" customHeight="1">
      <c r="H444" s="13"/>
      <c r="I444" s="13"/>
    </row>
    <row r="445" ht="15.75" customHeight="1">
      <c r="H445" s="13"/>
      <c r="I445" s="13"/>
    </row>
    <row r="446" ht="15.75" customHeight="1">
      <c r="H446" s="13"/>
      <c r="I446" s="13"/>
    </row>
    <row r="447" ht="15.75" customHeight="1">
      <c r="H447" s="13"/>
      <c r="I447" s="13"/>
    </row>
    <row r="448" ht="15.75" customHeight="1">
      <c r="H448" s="13"/>
      <c r="I448" s="13"/>
    </row>
    <row r="449" ht="15.75" customHeight="1">
      <c r="H449" s="13"/>
      <c r="I449" s="13"/>
    </row>
    <row r="450" ht="15.75" customHeight="1">
      <c r="H450" s="13"/>
      <c r="I450" s="13"/>
    </row>
    <row r="451" ht="15.75" customHeight="1">
      <c r="H451" s="13"/>
      <c r="I451" s="13"/>
    </row>
    <row r="452" ht="15.75" customHeight="1">
      <c r="H452" s="13"/>
      <c r="I452" s="13"/>
    </row>
    <row r="453" ht="15.75" customHeight="1">
      <c r="H453" s="13"/>
      <c r="I453" s="13"/>
    </row>
    <row r="454" ht="15.75" customHeight="1">
      <c r="H454" s="13"/>
      <c r="I454" s="13"/>
    </row>
    <row r="455" ht="15.75" customHeight="1">
      <c r="H455" s="13"/>
      <c r="I455" s="13"/>
    </row>
    <row r="456" ht="15.75" customHeight="1">
      <c r="H456" s="13"/>
      <c r="I456" s="13"/>
    </row>
    <row r="457" ht="15.75" customHeight="1">
      <c r="H457" s="13"/>
      <c r="I457" s="13"/>
    </row>
    <row r="458" ht="15.75" customHeight="1">
      <c r="H458" s="13"/>
      <c r="I458" s="13"/>
    </row>
    <row r="459" ht="15.75" customHeight="1">
      <c r="H459" s="13"/>
      <c r="I459" s="13"/>
    </row>
    <row r="460" ht="15.75" customHeight="1">
      <c r="H460" s="13"/>
      <c r="I460" s="13"/>
    </row>
    <row r="461" ht="15.75" customHeight="1">
      <c r="H461" s="13"/>
      <c r="I461" s="13"/>
    </row>
    <row r="462" ht="15.75" customHeight="1">
      <c r="H462" s="13"/>
      <c r="I462" s="13"/>
    </row>
    <row r="463" ht="15.75" customHeight="1">
      <c r="H463" s="13"/>
      <c r="I463" s="13"/>
    </row>
    <row r="464" ht="15.75" customHeight="1">
      <c r="H464" s="13"/>
      <c r="I464" s="13"/>
    </row>
    <row r="465" ht="15.75" customHeight="1">
      <c r="H465" s="13"/>
      <c r="I465" s="13"/>
    </row>
    <row r="466" ht="15.75" customHeight="1">
      <c r="H466" s="13"/>
      <c r="I466" s="13"/>
    </row>
    <row r="467" ht="15.75" customHeight="1">
      <c r="H467" s="13"/>
      <c r="I467" s="13"/>
    </row>
    <row r="468" ht="15.75" customHeight="1">
      <c r="H468" s="13"/>
      <c r="I468" s="13"/>
    </row>
    <row r="469" ht="15.75" customHeight="1">
      <c r="H469" s="13"/>
      <c r="I469" s="13"/>
    </row>
    <row r="470" ht="15.75" customHeight="1">
      <c r="H470" s="13"/>
      <c r="I470" s="13"/>
    </row>
    <row r="471" ht="15.75" customHeight="1">
      <c r="H471" s="13"/>
      <c r="I471" s="13"/>
    </row>
    <row r="472" ht="15.75" customHeight="1">
      <c r="H472" s="13"/>
      <c r="I472" s="13"/>
    </row>
    <row r="473" ht="15.75" customHeight="1">
      <c r="H473" s="13"/>
      <c r="I473" s="13"/>
    </row>
    <row r="474" ht="15.75" customHeight="1">
      <c r="H474" s="13"/>
      <c r="I474" s="13"/>
    </row>
    <row r="475" ht="15.75" customHeight="1">
      <c r="H475" s="13"/>
      <c r="I475" s="13"/>
    </row>
    <row r="476" ht="15.75" customHeight="1">
      <c r="H476" s="13"/>
      <c r="I476" s="13"/>
    </row>
    <row r="477" ht="15.75" customHeight="1">
      <c r="H477" s="13"/>
      <c r="I477" s="13"/>
    </row>
    <row r="478" ht="15.75" customHeight="1">
      <c r="H478" s="13"/>
      <c r="I478" s="13"/>
    </row>
    <row r="479" ht="15.75" customHeight="1">
      <c r="H479" s="13"/>
      <c r="I479" s="13"/>
    </row>
    <row r="480" ht="15.75" customHeight="1">
      <c r="H480" s="13"/>
      <c r="I480" s="13"/>
    </row>
    <row r="481" ht="15.75" customHeight="1">
      <c r="H481" s="13"/>
      <c r="I481" s="13"/>
    </row>
    <row r="482" ht="15.75" customHeight="1">
      <c r="H482" s="13"/>
      <c r="I482" s="13"/>
    </row>
    <row r="483" ht="15.75" customHeight="1">
      <c r="H483" s="13"/>
      <c r="I483" s="13"/>
    </row>
    <row r="484" ht="15.75" customHeight="1">
      <c r="H484" s="13"/>
      <c r="I484" s="13"/>
    </row>
    <row r="485" ht="15.75" customHeight="1">
      <c r="H485" s="13"/>
      <c r="I485" s="13"/>
    </row>
    <row r="486" ht="15.75" customHeight="1">
      <c r="H486" s="13"/>
      <c r="I486" s="13"/>
    </row>
    <row r="487" ht="15.75" customHeight="1">
      <c r="H487" s="13"/>
      <c r="I487" s="13"/>
    </row>
    <row r="488" ht="15.75" customHeight="1">
      <c r="H488" s="13"/>
      <c r="I488" s="13"/>
    </row>
    <row r="489" ht="15.75" customHeight="1">
      <c r="H489" s="13"/>
      <c r="I489" s="13"/>
    </row>
    <row r="490" ht="15.75" customHeight="1">
      <c r="H490" s="13"/>
      <c r="I490" s="13"/>
    </row>
    <row r="491" ht="15.75" customHeight="1">
      <c r="H491" s="13"/>
      <c r="I491" s="13"/>
    </row>
    <row r="492" ht="15.75" customHeight="1">
      <c r="H492" s="13"/>
      <c r="I492" s="13"/>
    </row>
    <row r="493" ht="15.75" customHeight="1">
      <c r="H493" s="13"/>
      <c r="I493" s="13"/>
    </row>
    <row r="494" ht="15.75" customHeight="1">
      <c r="H494" s="13"/>
      <c r="I494" s="13"/>
    </row>
    <row r="495" ht="15.75" customHeight="1">
      <c r="H495" s="13"/>
      <c r="I495" s="13"/>
    </row>
    <row r="496" ht="15.75" customHeight="1">
      <c r="H496" s="13"/>
      <c r="I496" s="13"/>
    </row>
    <row r="497" ht="15.75" customHeight="1">
      <c r="H497" s="13"/>
      <c r="I497" s="13"/>
    </row>
    <row r="498" ht="15.75" customHeight="1">
      <c r="H498" s="13"/>
      <c r="I498" s="13"/>
    </row>
    <row r="499" ht="15.75" customHeight="1">
      <c r="H499" s="13"/>
      <c r="I499" s="13"/>
    </row>
    <row r="500" ht="15.75" customHeight="1">
      <c r="H500" s="13"/>
      <c r="I500" s="13"/>
    </row>
    <row r="501" ht="15.75" customHeight="1">
      <c r="H501" s="13"/>
      <c r="I501" s="13"/>
    </row>
    <row r="502" ht="15.75" customHeight="1">
      <c r="H502" s="13"/>
      <c r="I502" s="13"/>
    </row>
    <row r="503" ht="15.75" customHeight="1">
      <c r="H503" s="13"/>
      <c r="I503" s="13"/>
    </row>
    <row r="504" ht="15.75" customHeight="1">
      <c r="H504" s="13"/>
      <c r="I504" s="13"/>
    </row>
    <row r="505" ht="15.75" customHeight="1">
      <c r="H505" s="13"/>
      <c r="I505" s="13"/>
    </row>
    <row r="506" ht="15.75" customHeight="1">
      <c r="H506" s="13"/>
      <c r="I506" s="13"/>
    </row>
    <row r="507" ht="15.75" customHeight="1">
      <c r="H507" s="13"/>
      <c r="I507" s="13"/>
    </row>
    <row r="508" ht="15.75" customHeight="1">
      <c r="H508" s="13"/>
      <c r="I508" s="13"/>
    </row>
    <row r="509" ht="15.75" customHeight="1">
      <c r="H509" s="13"/>
      <c r="I509" s="13"/>
    </row>
    <row r="510" ht="15.75" customHeight="1">
      <c r="H510" s="13"/>
      <c r="I510" s="13"/>
    </row>
    <row r="511" ht="15.75" customHeight="1">
      <c r="H511" s="13"/>
      <c r="I511" s="13"/>
    </row>
    <row r="512" ht="15.75" customHeight="1">
      <c r="H512" s="13"/>
      <c r="I512" s="13"/>
    </row>
    <row r="513" ht="15.75" customHeight="1">
      <c r="H513" s="13"/>
      <c r="I513" s="13"/>
    </row>
    <row r="514" ht="15.75" customHeight="1">
      <c r="H514" s="13"/>
      <c r="I514" s="13"/>
    </row>
    <row r="515" ht="15.75" customHeight="1">
      <c r="H515" s="13"/>
      <c r="I515" s="13"/>
    </row>
    <row r="516" ht="15.75" customHeight="1">
      <c r="H516" s="13"/>
      <c r="I516" s="13"/>
    </row>
    <row r="517" ht="15.75" customHeight="1">
      <c r="H517" s="13"/>
      <c r="I517" s="13"/>
    </row>
    <row r="518" ht="15.75" customHeight="1">
      <c r="H518" s="13"/>
      <c r="I518" s="13"/>
    </row>
    <row r="519" ht="15.75" customHeight="1">
      <c r="H519" s="13"/>
      <c r="I519" s="13"/>
    </row>
    <row r="520" ht="15.75" customHeight="1">
      <c r="H520" s="13"/>
      <c r="I520" s="13"/>
    </row>
    <row r="521" ht="15.75" customHeight="1">
      <c r="H521" s="13"/>
      <c r="I521" s="13"/>
    </row>
    <row r="522" ht="15.75" customHeight="1">
      <c r="H522" s="13"/>
      <c r="I522" s="13"/>
    </row>
    <row r="523" ht="15.75" customHeight="1">
      <c r="H523" s="13"/>
      <c r="I523" s="13"/>
    </row>
    <row r="524" ht="15.75" customHeight="1">
      <c r="H524" s="13"/>
      <c r="I524" s="13"/>
    </row>
    <row r="525" ht="15.75" customHeight="1">
      <c r="H525" s="13"/>
      <c r="I525" s="13"/>
    </row>
    <row r="526" ht="15.75" customHeight="1">
      <c r="H526" s="13"/>
      <c r="I526" s="13"/>
    </row>
    <row r="527" ht="15.75" customHeight="1">
      <c r="H527" s="13"/>
      <c r="I527" s="13"/>
    </row>
    <row r="528" ht="15.75" customHeight="1">
      <c r="H528" s="13"/>
      <c r="I528" s="13"/>
    </row>
    <row r="529" ht="15.75" customHeight="1">
      <c r="H529" s="13"/>
      <c r="I529" s="13"/>
    </row>
    <row r="530" ht="15.75" customHeight="1">
      <c r="H530" s="13"/>
      <c r="I530" s="13"/>
    </row>
    <row r="531" ht="15.75" customHeight="1">
      <c r="H531" s="13"/>
      <c r="I531" s="13"/>
    </row>
    <row r="532" ht="15.75" customHeight="1">
      <c r="H532" s="13"/>
      <c r="I532" s="13"/>
    </row>
    <row r="533" ht="15.75" customHeight="1">
      <c r="H533" s="13"/>
      <c r="I533" s="13"/>
    </row>
    <row r="534" ht="15.75" customHeight="1">
      <c r="H534" s="13"/>
      <c r="I534" s="13"/>
    </row>
    <row r="535" ht="15.75" customHeight="1">
      <c r="H535" s="13"/>
      <c r="I535" s="13"/>
    </row>
    <row r="536" ht="15.75" customHeight="1">
      <c r="H536" s="13"/>
      <c r="I536" s="13"/>
    </row>
    <row r="537" ht="15.75" customHeight="1">
      <c r="H537" s="13"/>
      <c r="I537" s="13"/>
    </row>
    <row r="538" ht="15.75" customHeight="1">
      <c r="H538" s="13"/>
      <c r="I538" s="13"/>
    </row>
    <row r="539" ht="15.75" customHeight="1">
      <c r="H539" s="13"/>
      <c r="I539" s="13"/>
    </row>
    <row r="540" ht="15.75" customHeight="1">
      <c r="H540" s="13"/>
      <c r="I540" s="13"/>
    </row>
    <row r="541" ht="15.75" customHeight="1">
      <c r="H541" s="13"/>
      <c r="I541" s="13"/>
    </row>
    <row r="542" ht="15.75" customHeight="1">
      <c r="H542" s="13"/>
      <c r="I542" s="13"/>
    </row>
    <row r="543" ht="15.75" customHeight="1">
      <c r="H543" s="13"/>
      <c r="I543" s="13"/>
    </row>
    <row r="544" ht="15.75" customHeight="1">
      <c r="H544" s="13"/>
      <c r="I544" s="13"/>
    </row>
    <row r="545" ht="15.75" customHeight="1">
      <c r="H545" s="13"/>
      <c r="I545" s="13"/>
    </row>
    <row r="546" ht="15.75" customHeight="1">
      <c r="H546" s="13"/>
      <c r="I546" s="13"/>
    </row>
    <row r="547" ht="15.75" customHeight="1">
      <c r="H547" s="13"/>
      <c r="I547" s="13"/>
    </row>
    <row r="548" ht="15.75" customHeight="1">
      <c r="H548" s="13"/>
      <c r="I548" s="13"/>
    </row>
    <row r="549" ht="15.75" customHeight="1">
      <c r="H549" s="13"/>
      <c r="I549" s="13"/>
    </row>
    <row r="550" ht="15.75" customHeight="1">
      <c r="H550" s="13"/>
      <c r="I550" s="13"/>
    </row>
    <row r="551" ht="15.75" customHeight="1">
      <c r="H551" s="13"/>
      <c r="I551" s="13"/>
    </row>
    <row r="552" ht="15.75" customHeight="1">
      <c r="H552" s="13"/>
      <c r="I552" s="13"/>
    </row>
    <row r="553" ht="15.75" customHeight="1">
      <c r="H553" s="13"/>
      <c r="I553" s="13"/>
    </row>
    <row r="554" ht="15.75" customHeight="1">
      <c r="H554" s="13"/>
      <c r="I554" s="13"/>
    </row>
    <row r="555" ht="15.75" customHeight="1">
      <c r="H555" s="13"/>
      <c r="I555" s="13"/>
    </row>
    <row r="556" ht="15.75" customHeight="1">
      <c r="H556" s="13"/>
      <c r="I556" s="13"/>
    </row>
    <row r="557" ht="15.75" customHeight="1">
      <c r="H557" s="13"/>
      <c r="I557" s="13"/>
    </row>
    <row r="558" ht="15.75" customHeight="1">
      <c r="H558" s="13"/>
      <c r="I558" s="13"/>
    </row>
    <row r="559" ht="15.75" customHeight="1">
      <c r="H559" s="13"/>
      <c r="I559" s="13"/>
    </row>
    <row r="560" ht="15.75" customHeight="1">
      <c r="H560" s="13"/>
      <c r="I560" s="13"/>
    </row>
    <row r="561" ht="15.75" customHeight="1">
      <c r="H561" s="13"/>
      <c r="I561" s="13"/>
    </row>
    <row r="562" ht="15.75" customHeight="1">
      <c r="H562" s="13"/>
      <c r="I562" s="13"/>
    </row>
    <row r="563" ht="15.75" customHeight="1">
      <c r="H563" s="13"/>
      <c r="I563" s="13"/>
    </row>
    <row r="564" ht="15.75" customHeight="1">
      <c r="H564" s="13"/>
      <c r="I564" s="13"/>
    </row>
    <row r="565" ht="15.75" customHeight="1">
      <c r="H565" s="13"/>
      <c r="I565" s="13"/>
    </row>
    <row r="566" ht="15.75" customHeight="1">
      <c r="H566" s="13"/>
      <c r="I566" s="13"/>
    </row>
    <row r="567" ht="15.75" customHeight="1">
      <c r="H567" s="13"/>
      <c r="I567" s="13"/>
    </row>
    <row r="568" ht="15.75" customHeight="1">
      <c r="H568" s="13"/>
      <c r="I568" s="13"/>
    </row>
    <row r="569" ht="15.75" customHeight="1">
      <c r="H569" s="13"/>
      <c r="I569" s="13"/>
    </row>
    <row r="570" ht="15.75" customHeight="1">
      <c r="H570" s="13"/>
      <c r="I570" s="13"/>
    </row>
    <row r="571" ht="15.75" customHeight="1">
      <c r="H571" s="13"/>
      <c r="I571" s="13"/>
    </row>
    <row r="572" ht="15.75" customHeight="1">
      <c r="H572" s="13"/>
      <c r="I572" s="13"/>
    </row>
    <row r="573" ht="15.75" customHeight="1">
      <c r="H573" s="13"/>
      <c r="I573" s="13"/>
    </row>
    <row r="574" ht="15.75" customHeight="1">
      <c r="H574" s="13"/>
      <c r="I574" s="13"/>
    </row>
    <row r="575" ht="15.75" customHeight="1">
      <c r="H575" s="13"/>
      <c r="I575" s="13"/>
    </row>
    <row r="576" ht="15.75" customHeight="1">
      <c r="H576" s="13"/>
      <c r="I576" s="13"/>
    </row>
    <row r="577" ht="15.75" customHeight="1">
      <c r="H577" s="13"/>
      <c r="I577" s="13"/>
    </row>
    <row r="578" ht="15.75" customHeight="1">
      <c r="H578" s="13"/>
      <c r="I578" s="13"/>
    </row>
    <row r="579" ht="15.75" customHeight="1">
      <c r="H579" s="13"/>
      <c r="I579" s="13"/>
    </row>
    <row r="580" ht="15.75" customHeight="1">
      <c r="H580" s="13"/>
      <c r="I580" s="13"/>
    </row>
    <row r="581" ht="15.75" customHeight="1">
      <c r="H581" s="13"/>
      <c r="I581" s="13"/>
    </row>
    <row r="582" ht="15.75" customHeight="1">
      <c r="H582" s="13"/>
      <c r="I582" s="13"/>
    </row>
    <row r="583" ht="15.75" customHeight="1">
      <c r="H583" s="13"/>
      <c r="I583" s="13"/>
    </row>
    <row r="584" ht="15.75" customHeight="1">
      <c r="H584" s="13"/>
      <c r="I584" s="13"/>
    </row>
    <row r="585" ht="15.75" customHeight="1">
      <c r="H585" s="13"/>
      <c r="I585" s="13"/>
    </row>
    <row r="586" ht="15.75" customHeight="1">
      <c r="H586" s="13"/>
      <c r="I586" s="13"/>
    </row>
    <row r="587" ht="15.75" customHeight="1">
      <c r="H587" s="13"/>
      <c r="I587" s="13"/>
    </row>
    <row r="588" ht="15.75" customHeight="1">
      <c r="H588" s="13"/>
      <c r="I588" s="13"/>
    </row>
    <row r="589" ht="15.75" customHeight="1">
      <c r="H589" s="13"/>
      <c r="I589" s="13"/>
    </row>
    <row r="590" ht="15.75" customHeight="1">
      <c r="H590" s="13"/>
      <c r="I590" s="13"/>
    </row>
    <row r="591" ht="15.75" customHeight="1">
      <c r="H591" s="13"/>
      <c r="I591" s="13"/>
    </row>
    <row r="592" ht="15.75" customHeight="1">
      <c r="H592" s="13"/>
      <c r="I592" s="13"/>
    </row>
    <row r="593" ht="15.75" customHeight="1">
      <c r="H593" s="13"/>
      <c r="I593" s="13"/>
    </row>
    <row r="594" ht="15.75" customHeight="1">
      <c r="H594" s="13"/>
      <c r="I594" s="13"/>
    </row>
    <row r="595" ht="15.75" customHeight="1">
      <c r="H595" s="13"/>
      <c r="I595" s="13"/>
    </row>
    <row r="596" ht="15.75" customHeight="1">
      <c r="H596" s="13"/>
      <c r="I596" s="13"/>
    </row>
    <row r="597" ht="15.75" customHeight="1">
      <c r="H597" s="13"/>
      <c r="I597" s="13"/>
    </row>
    <row r="598" ht="15.75" customHeight="1">
      <c r="H598" s="13"/>
      <c r="I598" s="13"/>
    </row>
    <row r="599" ht="15.75" customHeight="1">
      <c r="H599" s="13"/>
      <c r="I599" s="13"/>
    </row>
    <row r="600" ht="15.75" customHeight="1">
      <c r="H600" s="13"/>
      <c r="I600" s="13"/>
    </row>
    <row r="601" ht="15.75" customHeight="1">
      <c r="H601" s="13"/>
      <c r="I601" s="13"/>
    </row>
    <row r="602" ht="15.75" customHeight="1">
      <c r="H602" s="13"/>
      <c r="I602" s="13"/>
    </row>
    <row r="603" ht="15.75" customHeight="1">
      <c r="H603" s="13"/>
      <c r="I603" s="13"/>
    </row>
    <row r="604" ht="15.75" customHeight="1">
      <c r="H604" s="13"/>
      <c r="I604" s="13"/>
    </row>
    <row r="605" ht="15.75" customHeight="1">
      <c r="H605" s="13"/>
      <c r="I605" s="13"/>
    </row>
    <row r="606" ht="15.75" customHeight="1">
      <c r="H606" s="13"/>
      <c r="I606" s="13"/>
    </row>
    <row r="607" ht="15.75" customHeight="1">
      <c r="H607" s="13"/>
      <c r="I607" s="13"/>
    </row>
    <row r="608" ht="15.75" customHeight="1">
      <c r="H608" s="13"/>
      <c r="I608" s="13"/>
    </row>
    <row r="609" ht="15.75" customHeight="1">
      <c r="H609" s="13"/>
      <c r="I609" s="13"/>
    </row>
    <row r="610" ht="15.75" customHeight="1">
      <c r="H610" s="13"/>
      <c r="I610" s="13"/>
    </row>
    <row r="611" ht="15.75" customHeight="1">
      <c r="H611" s="13"/>
      <c r="I611" s="13"/>
    </row>
    <row r="612" ht="15.75" customHeight="1">
      <c r="H612" s="13"/>
      <c r="I612" s="13"/>
    </row>
    <row r="613" ht="15.75" customHeight="1">
      <c r="H613" s="13"/>
      <c r="I613" s="13"/>
    </row>
    <row r="614" ht="15.75" customHeight="1">
      <c r="H614" s="13"/>
      <c r="I614" s="13"/>
    </row>
    <row r="615" ht="15.75" customHeight="1">
      <c r="H615" s="13"/>
      <c r="I615" s="13"/>
    </row>
    <row r="616" ht="15.75" customHeight="1">
      <c r="H616" s="13"/>
      <c r="I616" s="13"/>
    </row>
    <row r="617" ht="15.75" customHeight="1">
      <c r="H617" s="13"/>
      <c r="I617" s="13"/>
    </row>
    <row r="618" ht="15.75" customHeight="1">
      <c r="H618" s="13"/>
      <c r="I618" s="13"/>
    </row>
    <row r="619" ht="15.75" customHeight="1">
      <c r="H619" s="13"/>
      <c r="I619" s="13"/>
    </row>
    <row r="620" ht="15.75" customHeight="1">
      <c r="H620" s="13"/>
      <c r="I620" s="13"/>
    </row>
    <row r="621" ht="15.75" customHeight="1">
      <c r="H621" s="13"/>
      <c r="I621" s="13"/>
    </row>
    <row r="622" ht="15.75" customHeight="1">
      <c r="H622" s="13"/>
      <c r="I622" s="13"/>
    </row>
    <row r="623" ht="15.75" customHeight="1">
      <c r="H623" s="13"/>
      <c r="I623" s="13"/>
    </row>
    <row r="624" ht="15.75" customHeight="1">
      <c r="H624" s="13"/>
      <c r="I624" s="13"/>
    </row>
    <row r="625" ht="15.75" customHeight="1">
      <c r="H625" s="13"/>
      <c r="I625" s="13"/>
    </row>
    <row r="626" ht="15.75" customHeight="1">
      <c r="H626" s="13"/>
      <c r="I626" s="13"/>
    </row>
    <row r="627" ht="15.75" customHeight="1">
      <c r="H627" s="13"/>
      <c r="I627" s="13"/>
    </row>
    <row r="628" ht="15.75" customHeight="1">
      <c r="H628" s="13"/>
      <c r="I628" s="13"/>
    </row>
    <row r="629" ht="15.75" customHeight="1">
      <c r="H629" s="13"/>
      <c r="I629" s="13"/>
    </row>
    <row r="630" ht="15.75" customHeight="1">
      <c r="H630" s="13"/>
      <c r="I630" s="13"/>
    </row>
    <row r="631" ht="15.75" customHeight="1">
      <c r="H631" s="13"/>
      <c r="I631" s="13"/>
    </row>
    <row r="632" ht="15.75" customHeight="1">
      <c r="H632" s="13"/>
      <c r="I632" s="13"/>
    </row>
    <row r="633" ht="15.75" customHeight="1">
      <c r="H633" s="13"/>
      <c r="I633" s="13"/>
    </row>
    <row r="634" ht="15.75" customHeight="1">
      <c r="H634" s="13"/>
      <c r="I634" s="13"/>
    </row>
    <row r="635" ht="15.75" customHeight="1">
      <c r="H635" s="13"/>
      <c r="I635" s="13"/>
    </row>
    <row r="636" ht="15.75" customHeight="1">
      <c r="H636" s="13"/>
      <c r="I636" s="13"/>
    </row>
    <row r="637" ht="15.75" customHeight="1">
      <c r="H637" s="13"/>
      <c r="I637" s="13"/>
    </row>
    <row r="638" ht="15.75" customHeight="1">
      <c r="H638" s="13"/>
      <c r="I638" s="13"/>
    </row>
    <row r="639" ht="15.75" customHeight="1">
      <c r="H639" s="13"/>
      <c r="I639" s="13"/>
    </row>
    <row r="640" ht="15.75" customHeight="1">
      <c r="H640" s="13"/>
      <c r="I640" s="13"/>
    </row>
    <row r="641" ht="15.75" customHeight="1">
      <c r="H641" s="13"/>
      <c r="I641" s="13"/>
    </row>
    <row r="642" ht="15.75" customHeight="1">
      <c r="H642" s="13"/>
      <c r="I642" s="13"/>
    </row>
    <row r="643" ht="15.75" customHeight="1">
      <c r="H643" s="13"/>
      <c r="I643" s="13"/>
    </row>
    <row r="644" ht="15.75" customHeight="1">
      <c r="H644" s="13"/>
      <c r="I644" s="13"/>
    </row>
    <row r="645" ht="15.75" customHeight="1">
      <c r="H645" s="13"/>
      <c r="I645" s="13"/>
    </row>
    <row r="646" ht="15.75" customHeight="1">
      <c r="H646" s="13"/>
      <c r="I646" s="13"/>
    </row>
    <row r="647" ht="15.75" customHeight="1">
      <c r="H647" s="13"/>
      <c r="I647" s="13"/>
    </row>
    <row r="648" ht="15.75" customHeight="1">
      <c r="H648" s="13"/>
      <c r="I648" s="13"/>
    </row>
    <row r="649" ht="15.75" customHeight="1">
      <c r="H649" s="13"/>
      <c r="I649" s="13"/>
    </row>
    <row r="650" ht="15.75" customHeight="1">
      <c r="H650" s="13"/>
      <c r="I650" s="13"/>
    </row>
    <row r="651" ht="15.75" customHeight="1">
      <c r="H651" s="13"/>
      <c r="I651" s="13"/>
    </row>
    <row r="652" ht="15.75" customHeight="1">
      <c r="H652" s="13"/>
      <c r="I652" s="13"/>
    </row>
    <row r="653" ht="15.75" customHeight="1">
      <c r="H653" s="13"/>
      <c r="I653" s="13"/>
    </row>
    <row r="654" ht="15.75" customHeight="1">
      <c r="H654" s="13"/>
      <c r="I654" s="13"/>
    </row>
    <row r="655" ht="15.75" customHeight="1">
      <c r="H655" s="13"/>
      <c r="I655" s="13"/>
    </row>
    <row r="656" ht="15.75" customHeight="1">
      <c r="H656" s="13"/>
      <c r="I656" s="13"/>
    </row>
    <row r="657" ht="15.75" customHeight="1">
      <c r="H657" s="13"/>
      <c r="I657" s="13"/>
    </row>
    <row r="658" ht="15.75" customHeight="1">
      <c r="H658" s="13"/>
      <c r="I658" s="13"/>
    </row>
    <row r="659" ht="15.75" customHeight="1">
      <c r="H659" s="13"/>
      <c r="I659" s="13"/>
    </row>
    <row r="660" ht="15.75" customHeight="1">
      <c r="H660" s="13"/>
      <c r="I660" s="13"/>
    </row>
    <row r="661" ht="15.75" customHeight="1">
      <c r="H661" s="13"/>
      <c r="I661" s="13"/>
    </row>
    <row r="662" ht="15.75" customHeight="1">
      <c r="H662" s="13"/>
      <c r="I662" s="13"/>
    </row>
    <row r="663" ht="15.75" customHeight="1">
      <c r="H663" s="13"/>
      <c r="I663" s="13"/>
    </row>
    <row r="664" ht="15.75" customHeight="1">
      <c r="H664" s="13"/>
      <c r="I664" s="13"/>
    </row>
    <row r="665" ht="15.75" customHeight="1">
      <c r="H665" s="13"/>
      <c r="I665" s="13"/>
    </row>
    <row r="666" ht="15.75" customHeight="1">
      <c r="H666" s="13"/>
      <c r="I666" s="13"/>
    </row>
    <row r="667" ht="15.75" customHeight="1">
      <c r="H667" s="13"/>
      <c r="I667" s="13"/>
    </row>
    <row r="668" ht="15.75" customHeight="1">
      <c r="H668" s="13"/>
      <c r="I668" s="13"/>
    </row>
    <row r="669" ht="15.75" customHeight="1">
      <c r="H669" s="13"/>
      <c r="I669" s="13"/>
    </row>
    <row r="670" ht="15.75" customHeight="1">
      <c r="H670" s="13"/>
      <c r="I670" s="13"/>
    </row>
    <row r="671" ht="15.75" customHeight="1">
      <c r="H671" s="13"/>
      <c r="I671" s="13"/>
    </row>
    <row r="672" ht="15.75" customHeight="1">
      <c r="H672" s="13"/>
      <c r="I672" s="13"/>
    </row>
    <row r="673" ht="15.75" customHeight="1">
      <c r="H673" s="13"/>
      <c r="I673" s="13"/>
    </row>
    <row r="674" ht="15.75" customHeight="1">
      <c r="H674" s="13"/>
      <c r="I674" s="13"/>
    </row>
    <row r="675" ht="15.75" customHeight="1">
      <c r="H675" s="13"/>
      <c r="I675" s="13"/>
    </row>
    <row r="676" ht="15.75" customHeight="1">
      <c r="H676" s="13"/>
      <c r="I676" s="13"/>
    </row>
    <row r="677" ht="15.75" customHeight="1">
      <c r="H677" s="13"/>
      <c r="I677" s="13"/>
    </row>
    <row r="678" ht="15.75" customHeight="1">
      <c r="H678" s="13"/>
      <c r="I678" s="13"/>
    </row>
    <row r="679" ht="15.75" customHeight="1">
      <c r="H679" s="13"/>
      <c r="I679" s="13"/>
    </row>
    <row r="680" ht="15.75" customHeight="1">
      <c r="H680" s="13"/>
      <c r="I680" s="13"/>
    </row>
    <row r="681" ht="15.75" customHeight="1">
      <c r="H681" s="13"/>
      <c r="I681" s="13"/>
    </row>
    <row r="682" ht="15.75" customHeight="1">
      <c r="H682" s="13"/>
      <c r="I682" s="13"/>
    </row>
    <row r="683" ht="15.75" customHeight="1">
      <c r="H683" s="13"/>
      <c r="I683" s="13"/>
    </row>
    <row r="684" ht="15.75" customHeight="1">
      <c r="H684" s="13"/>
      <c r="I684" s="13"/>
    </row>
    <row r="685" ht="15.75" customHeight="1">
      <c r="H685" s="13"/>
      <c r="I685" s="13"/>
    </row>
    <row r="686" ht="15.75" customHeight="1">
      <c r="H686" s="13"/>
      <c r="I686" s="13"/>
    </row>
    <row r="687" ht="15.75" customHeight="1">
      <c r="H687" s="13"/>
      <c r="I687" s="13"/>
    </row>
    <row r="688" ht="15.75" customHeight="1">
      <c r="H688" s="13"/>
      <c r="I688" s="13"/>
    </row>
    <row r="689" ht="15.75" customHeight="1">
      <c r="H689" s="13"/>
      <c r="I689" s="13"/>
    </row>
    <row r="690" ht="15.75" customHeight="1">
      <c r="H690" s="13"/>
      <c r="I690" s="13"/>
    </row>
    <row r="691" ht="15.75" customHeight="1">
      <c r="H691" s="13"/>
      <c r="I691" s="13"/>
    </row>
    <row r="692" ht="15.75" customHeight="1">
      <c r="H692" s="13"/>
      <c r="I692" s="13"/>
    </row>
    <row r="693" ht="15.75" customHeight="1">
      <c r="H693" s="13"/>
      <c r="I693" s="13"/>
    </row>
    <row r="694" ht="15.75" customHeight="1">
      <c r="H694" s="13"/>
      <c r="I694" s="13"/>
    </row>
    <row r="695" ht="15.75" customHeight="1">
      <c r="H695" s="13"/>
      <c r="I695" s="13"/>
    </row>
    <row r="696" ht="15.75" customHeight="1">
      <c r="H696" s="13"/>
      <c r="I696" s="13"/>
    </row>
    <row r="697" ht="15.75" customHeight="1">
      <c r="H697" s="13"/>
      <c r="I697" s="13"/>
    </row>
    <row r="698" ht="15.75" customHeight="1">
      <c r="H698" s="13"/>
      <c r="I698" s="13"/>
    </row>
    <row r="699" ht="15.75" customHeight="1">
      <c r="H699" s="13"/>
      <c r="I699" s="13"/>
    </row>
    <row r="700" ht="15.75" customHeight="1">
      <c r="H700" s="13"/>
      <c r="I700" s="13"/>
    </row>
    <row r="701" ht="15.75" customHeight="1">
      <c r="H701" s="13"/>
      <c r="I701" s="13"/>
    </row>
    <row r="702" ht="15.75" customHeight="1">
      <c r="H702" s="13"/>
      <c r="I702" s="13"/>
    </row>
    <row r="703" ht="15.75" customHeight="1">
      <c r="H703" s="13"/>
      <c r="I703" s="13"/>
    </row>
    <row r="704" ht="15.75" customHeight="1">
      <c r="H704" s="13"/>
      <c r="I704" s="13"/>
    </row>
    <row r="705" ht="15.75" customHeight="1">
      <c r="H705" s="13"/>
      <c r="I705" s="13"/>
    </row>
    <row r="706" ht="15.75" customHeight="1">
      <c r="H706" s="13"/>
      <c r="I706" s="13"/>
    </row>
    <row r="707" ht="15.75" customHeight="1">
      <c r="H707" s="13"/>
      <c r="I707" s="13"/>
    </row>
    <row r="708" ht="15.75" customHeight="1">
      <c r="H708" s="13"/>
      <c r="I708" s="13"/>
    </row>
    <row r="709" ht="15.75" customHeight="1">
      <c r="H709" s="13"/>
      <c r="I709" s="13"/>
    </row>
    <row r="710" ht="15.75" customHeight="1">
      <c r="H710" s="13"/>
      <c r="I710" s="13"/>
    </row>
    <row r="711" ht="15.75" customHeight="1">
      <c r="H711" s="13"/>
      <c r="I711" s="13"/>
    </row>
    <row r="712" ht="15.75" customHeight="1">
      <c r="H712" s="13"/>
      <c r="I712" s="13"/>
    </row>
    <row r="713" ht="15.75" customHeight="1">
      <c r="H713" s="13"/>
      <c r="I713" s="13"/>
    </row>
    <row r="714" ht="15.75" customHeight="1">
      <c r="H714" s="13"/>
      <c r="I714" s="13"/>
    </row>
    <row r="715" ht="15.75" customHeight="1">
      <c r="H715" s="13"/>
      <c r="I715" s="13"/>
    </row>
    <row r="716" ht="15.75" customHeight="1">
      <c r="H716" s="13"/>
      <c r="I716" s="13"/>
    </row>
    <row r="717" ht="15.75" customHeight="1">
      <c r="H717" s="13"/>
      <c r="I717" s="13"/>
    </row>
    <row r="718" ht="15.75" customHeight="1">
      <c r="H718" s="13"/>
      <c r="I718" s="13"/>
    </row>
    <row r="719" ht="15.75" customHeight="1">
      <c r="H719" s="13"/>
      <c r="I719" s="13"/>
    </row>
    <row r="720" ht="15.75" customHeight="1">
      <c r="H720" s="13"/>
      <c r="I720" s="13"/>
    </row>
    <row r="721" ht="15.75" customHeight="1">
      <c r="H721" s="13"/>
      <c r="I721" s="13"/>
    </row>
    <row r="722" ht="15.75" customHeight="1">
      <c r="H722" s="13"/>
      <c r="I722" s="13"/>
    </row>
    <row r="723" ht="15.75" customHeight="1">
      <c r="H723" s="13"/>
      <c r="I723" s="13"/>
    </row>
    <row r="724" ht="15.75" customHeight="1">
      <c r="H724" s="13"/>
      <c r="I724" s="13"/>
    </row>
    <row r="725" ht="15.75" customHeight="1">
      <c r="H725" s="13"/>
      <c r="I725" s="13"/>
    </row>
    <row r="726" ht="15.75" customHeight="1">
      <c r="H726" s="13"/>
      <c r="I726" s="13"/>
    </row>
    <row r="727" ht="15.75" customHeight="1">
      <c r="H727" s="13"/>
      <c r="I727" s="13"/>
    </row>
    <row r="728" ht="15.75" customHeight="1">
      <c r="H728" s="13"/>
      <c r="I728" s="13"/>
    </row>
    <row r="729" ht="15.75" customHeight="1">
      <c r="H729" s="13"/>
      <c r="I729" s="13"/>
    </row>
    <row r="730" ht="15.75" customHeight="1">
      <c r="H730" s="13"/>
      <c r="I730" s="13"/>
    </row>
    <row r="731" ht="15.75" customHeight="1">
      <c r="H731" s="13"/>
      <c r="I731" s="13"/>
    </row>
    <row r="732" ht="15.75" customHeight="1">
      <c r="H732" s="13"/>
      <c r="I732" s="13"/>
    </row>
    <row r="733" ht="15.75" customHeight="1">
      <c r="H733" s="13"/>
      <c r="I733" s="13"/>
    </row>
    <row r="734" ht="15.75" customHeight="1">
      <c r="H734" s="13"/>
      <c r="I734" s="13"/>
    </row>
    <row r="735" ht="15.75" customHeight="1">
      <c r="H735" s="13"/>
      <c r="I735" s="13"/>
    </row>
    <row r="736" ht="15.75" customHeight="1">
      <c r="H736" s="13"/>
      <c r="I736" s="13"/>
    </row>
    <row r="737" ht="15.75" customHeight="1">
      <c r="H737" s="13"/>
      <c r="I737" s="13"/>
    </row>
    <row r="738" ht="15.75" customHeight="1">
      <c r="H738" s="13"/>
      <c r="I738" s="13"/>
    </row>
    <row r="739" ht="15.75" customHeight="1">
      <c r="H739" s="13"/>
      <c r="I739" s="13"/>
    </row>
    <row r="740" ht="15.75" customHeight="1">
      <c r="H740" s="13"/>
      <c r="I740" s="13"/>
    </row>
    <row r="741" ht="15.75" customHeight="1">
      <c r="H741" s="13"/>
      <c r="I741" s="13"/>
    </row>
    <row r="742" ht="15.75" customHeight="1">
      <c r="H742" s="13"/>
      <c r="I742" s="13"/>
    </row>
    <row r="743" ht="15.75" customHeight="1">
      <c r="H743" s="13"/>
      <c r="I743" s="13"/>
    </row>
    <row r="744" ht="15.75" customHeight="1">
      <c r="H744" s="13"/>
      <c r="I744" s="13"/>
    </row>
    <row r="745" ht="15.75" customHeight="1">
      <c r="H745" s="13"/>
      <c r="I745" s="13"/>
    </row>
    <row r="746" ht="15.75" customHeight="1">
      <c r="H746" s="13"/>
      <c r="I746" s="13"/>
    </row>
    <row r="747" ht="15.75" customHeight="1">
      <c r="H747" s="13"/>
      <c r="I747" s="13"/>
    </row>
    <row r="748" ht="15.75" customHeight="1">
      <c r="H748" s="13"/>
      <c r="I748" s="13"/>
    </row>
    <row r="749" ht="15.75" customHeight="1">
      <c r="H749" s="13"/>
      <c r="I749" s="13"/>
    </row>
    <row r="750" ht="15.75" customHeight="1">
      <c r="H750" s="13"/>
      <c r="I750" s="13"/>
    </row>
    <row r="751" ht="15.75" customHeight="1">
      <c r="H751" s="13"/>
      <c r="I751" s="13"/>
    </row>
    <row r="752" ht="15.75" customHeight="1">
      <c r="H752" s="13"/>
      <c r="I752" s="13"/>
    </row>
    <row r="753" ht="15.75" customHeight="1">
      <c r="H753" s="13"/>
      <c r="I753" s="13"/>
    </row>
    <row r="754" ht="15.75" customHeight="1">
      <c r="H754" s="13"/>
      <c r="I754" s="13"/>
    </row>
    <row r="755" ht="15.75" customHeight="1">
      <c r="H755" s="13"/>
      <c r="I755" s="13"/>
    </row>
    <row r="756" ht="15.75" customHeight="1">
      <c r="H756" s="13"/>
      <c r="I756" s="13"/>
    </row>
    <row r="757" ht="15.75" customHeight="1">
      <c r="H757" s="13"/>
      <c r="I757" s="13"/>
    </row>
    <row r="758" ht="15.75" customHeight="1">
      <c r="H758" s="13"/>
      <c r="I758" s="13"/>
    </row>
    <row r="759" ht="15.75" customHeight="1">
      <c r="H759" s="13"/>
      <c r="I759" s="13"/>
    </row>
    <row r="760" ht="15.75" customHeight="1">
      <c r="H760" s="13"/>
      <c r="I760" s="13"/>
    </row>
    <row r="761" ht="15.75" customHeight="1">
      <c r="H761" s="13"/>
      <c r="I761" s="13"/>
    </row>
    <row r="762" ht="15.75" customHeight="1">
      <c r="H762" s="13"/>
      <c r="I762" s="13"/>
    </row>
    <row r="763" ht="15.75" customHeight="1">
      <c r="H763" s="13"/>
      <c r="I763" s="13"/>
    </row>
    <row r="764" ht="15.75" customHeight="1">
      <c r="H764" s="13"/>
      <c r="I764" s="13"/>
    </row>
    <row r="765" ht="15.75" customHeight="1">
      <c r="H765" s="13"/>
      <c r="I765" s="13"/>
    </row>
    <row r="766" ht="15.75" customHeight="1">
      <c r="H766" s="13"/>
      <c r="I766" s="13"/>
    </row>
    <row r="767" ht="15.75" customHeight="1">
      <c r="H767" s="13"/>
      <c r="I767" s="13"/>
    </row>
    <row r="768" ht="15.75" customHeight="1">
      <c r="H768" s="13"/>
      <c r="I768" s="13"/>
    </row>
    <row r="769" ht="15.75" customHeight="1">
      <c r="H769" s="13"/>
      <c r="I769" s="13"/>
    </row>
    <row r="770" ht="15.75" customHeight="1">
      <c r="H770" s="13"/>
      <c r="I770" s="13"/>
    </row>
    <row r="771" ht="15.75" customHeight="1">
      <c r="H771" s="13"/>
      <c r="I771" s="13"/>
    </row>
    <row r="772" ht="15.75" customHeight="1">
      <c r="H772" s="13"/>
      <c r="I772" s="13"/>
    </row>
    <row r="773" ht="15.75" customHeight="1">
      <c r="H773" s="13"/>
      <c r="I773" s="13"/>
    </row>
    <row r="774" ht="15.75" customHeight="1">
      <c r="H774" s="13"/>
      <c r="I774" s="13"/>
    </row>
    <row r="775" ht="15.75" customHeight="1">
      <c r="H775" s="13"/>
      <c r="I775" s="13"/>
    </row>
    <row r="776" ht="15.75" customHeight="1">
      <c r="H776" s="13"/>
      <c r="I776" s="13"/>
    </row>
    <row r="777" ht="15.75" customHeight="1">
      <c r="H777" s="13"/>
      <c r="I777" s="13"/>
    </row>
    <row r="778" ht="15.75" customHeight="1">
      <c r="H778" s="13"/>
      <c r="I778" s="13"/>
    </row>
    <row r="779" ht="15.75" customHeight="1">
      <c r="H779" s="13"/>
      <c r="I779" s="13"/>
    </row>
    <row r="780" ht="15.75" customHeight="1">
      <c r="H780" s="13"/>
      <c r="I780" s="13"/>
    </row>
    <row r="781" ht="15.75" customHeight="1">
      <c r="H781" s="13"/>
      <c r="I781" s="13"/>
    </row>
    <row r="782" ht="15.75" customHeight="1">
      <c r="H782" s="13"/>
      <c r="I782" s="13"/>
    </row>
    <row r="783" ht="15.75" customHeight="1">
      <c r="H783" s="13"/>
      <c r="I783" s="13"/>
    </row>
    <row r="784" ht="15.75" customHeight="1">
      <c r="H784" s="13"/>
      <c r="I784" s="13"/>
    </row>
    <row r="785" ht="15.75" customHeight="1">
      <c r="H785" s="13"/>
      <c r="I785" s="13"/>
    </row>
    <row r="786" ht="15.75" customHeight="1">
      <c r="H786" s="13"/>
      <c r="I786" s="13"/>
    </row>
    <row r="787" ht="15.75" customHeight="1">
      <c r="H787" s="13"/>
      <c r="I787" s="13"/>
    </row>
    <row r="788" ht="15.75" customHeight="1">
      <c r="H788" s="13"/>
      <c r="I788" s="13"/>
    </row>
    <row r="789" ht="15.75" customHeight="1">
      <c r="H789" s="13"/>
      <c r="I789" s="13"/>
    </row>
    <row r="790" ht="15.75" customHeight="1">
      <c r="H790" s="13"/>
      <c r="I790" s="13"/>
    </row>
    <row r="791" ht="15.75" customHeight="1">
      <c r="H791" s="13"/>
      <c r="I791" s="13"/>
    </row>
    <row r="792" ht="15.75" customHeight="1">
      <c r="H792" s="13"/>
      <c r="I792" s="13"/>
    </row>
    <row r="793" ht="15.75" customHeight="1">
      <c r="H793" s="13"/>
      <c r="I793" s="13"/>
    </row>
    <row r="794" ht="15.75" customHeight="1">
      <c r="H794" s="13"/>
      <c r="I794" s="13"/>
    </row>
    <row r="795" ht="15.75" customHeight="1">
      <c r="H795" s="13"/>
      <c r="I795" s="13"/>
    </row>
    <row r="796" ht="15.75" customHeight="1">
      <c r="H796" s="13"/>
      <c r="I796" s="13"/>
    </row>
    <row r="797" ht="15.75" customHeight="1">
      <c r="H797" s="13"/>
      <c r="I797" s="13"/>
    </row>
    <row r="798" ht="15.75" customHeight="1">
      <c r="H798" s="13"/>
      <c r="I798" s="13"/>
    </row>
    <row r="799" ht="15.75" customHeight="1">
      <c r="H799" s="13"/>
      <c r="I799" s="13"/>
    </row>
    <row r="800" ht="15.75" customHeight="1">
      <c r="H800" s="13"/>
      <c r="I800" s="13"/>
    </row>
    <row r="801" ht="15.75" customHeight="1">
      <c r="H801" s="13"/>
      <c r="I801" s="13"/>
    </row>
    <row r="802" ht="15.75" customHeight="1">
      <c r="H802" s="13"/>
      <c r="I802" s="13"/>
    </row>
    <row r="803" ht="15.75" customHeight="1">
      <c r="H803" s="13"/>
      <c r="I803" s="13"/>
    </row>
    <row r="804" ht="15.75" customHeight="1">
      <c r="H804" s="13"/>
      <c r="I804" s="13"/>
    </row>
    <row r="805" ht="15.75" customHeight="1">
      <c r="H805" s="13"/>
      <c r="I805" s="13"/>
    </row>
    <row r="806" ht="15.75" customHeight="1">
      <c r="H806" s="13"/>
      <c r="I806" s="13"/>
    </row>
    <row r="807" ht="15.75" customHeight="1">
      <c r="H807" s="13"/>
      <c r="I807" s="13"/>
    </row>
    <row r="808" ht="15.75" customHeight="1">
      <c r="H808" s="13"/>
      <c r="I808" s="13"/>
    </row>
    <row r="809" ht="15.75" customHeight="1">
      <c r="H809" s="13"/>
      <c r="I809" s="13"/>
    </row>
    <row r="810" ht="15.75" customHeight="1">
      <c r="H810" s="13"/>
      <c r="I810" s="13"/>
    </row>
    <row r="811" ht="15.75" customHeight="1">
      <c r="H811" s="13"/>
      <c r="I811" s="13"/>
    </row>
    <row r="812" ht="15.75" customHeight="1">
      <c r="H812" s="13"/>
      <c r="I812" s="13"/>
    </row>
    <row r="813" ht="15.75" customHeight="1">
      <c r="H813" s="13"/>
      <c r="I813" s="13"/>
    </row>
    <row r="814" ht="15.75" customHeight="1">
      <c r="H814" s="13"/>
      <c r="I814" s="13"/>
    </row>
    <row r="815" ht="15.75" customHeight="1">
      <c r="H815" s="13"/>
      <c r="I815" s="13"/>
    </row>
    <row r="816" ht="15.75" customHeight="1">
      <c r="H816" s="13"/>
      <c r="I816" s="13"/>
    </row>
    <row r="817" ht="15.75" customHeight="1">
      <c r="H817" s="13"/>
      <c r="I817" s="13"/>
    </row>
    <row r="818" ht="15.75" customHeight="1">
      <c r="H818" s="13"/>
      <c r="I818" s="13"/>
    </row>
    <row r="819" ht="15.75" customHeight="1">
      <c r="H819" s="13"/>
      <c r="I819" s="13"/>
    </row>
    <row r="820" ht="15.75" customHeight="1">
      <c r="H820" s="13"/>
      <c r="I820" s="13"/>
    </row>
    <row r="821" ht="15.75" customHeight="1">
      <c r="H821" s="13"/>
      <c r="I821" s="13"/>
    </row>
    <row r="822" ht="15.75" customHeight="1">
      <c r="H822" s="13"/>
      <c r="I822" s="13"/>
    </row>
    <row r="823" ht="15.75" customHeight="1">
      <c r="H823" s="13"/>
      <c r="I823" s="13"/>
    </row>
    <row r="824" ht="15.75" customHeight="1">
      <c r="H824" s="13"/>
      <c r="I824" s="13"/>
    </row>
    <row r="825" ht="15.75" customHeight="1">
      <c r="H825" s="13"/>
      <c r="I825" s="13"/>
    </row>
    <row r="826" ht="15.75" customHeight="1">
      <c r="H826" s="13"/>
      <c r="I826" s="13"/>
    </row>
    <row r="827" ht="15.75" customHeight="1">
      <c r="H827" s="13"/>
      <c r="I827" s="13"/>
    </row>
    <row r="828" ht="15.75" customHeight="1">
      <c r="H828" s="13"/>
      <c r="I828" s="13"/>
    </row>
    <row r="829" ht="15.75" customHeight="1">
      <c r="H829" s="13"/>
      <c r="I829" s="13"/>
    </row>
    <row r="830" ht="15.75" customHeight="1">
      <c r="H830" s="13"/>
      <c r="I830" s="13"/>
    </row>
    <row r="831" ht="15.75" customHeight="1">
      <c r="H831" s="13"/>
      <c r="I831" s="13"/>
    </row>
    <row r="832" ht="15.75" customHeight="1">
      <c r="H832" s="13"/>
      <c r="I832" s="13"/>
    </row>
    <row r="833" ht="15.75" customHeight="1">
      <c r="H833" s="13"/>
      <c r="I833" s="13"/>
    </row>
    <row r="834" ht="15.75" customHeight="1">
      <c r="H834" s="13"/>
      <c r="I834" s="13"/>
    </row>
    <row r="835" ht="15.75" customHeight="1">
      <c r="H835" s="13"/>
      <c r="I835" s="13"/>
    </row>
    <row r="836" ht="15.75" customHeight="1">
      <c r="H836" s="13"/>
      <c r="I836" s="13"/>
    </row>
    <row r="837" ht="15.75" customHeight="1">
      <c r="H837" s="13"/>
      <c r="I837" s="13"/>
    </row>
    <row r="838" ht="15.75" customHeight="1">
      <c r="H838" s="13"/>
      <c r="I838" s="13"/>
    </row>
    <row r="839" ht="15.75" customHeight="1">
      <c r="H839" s="13"/>
      <c r="I839" s="13"/>
    </row>
    <row r="840" ht="15.75" customHeight="1">
      <c r="H840" s="13"/>
      <c r="I840" s="13"/>
    </row>
    <row r="841" ht="15.75" customHeight="1">
      <c r="H841" s="13"/>
      <c r="I841" s="13"/>
    </row>
    <row r="842" ht="15.75" customHeight="1">
      <c r="H842" s="13"/>
      <c r="I842" s="13"/>
    </row>
    <row r="843" ht="15.75" customHeight="1">
      <c r="H843" s="13"/>
      <c r="I843" s="13"/>
    </row>
    <row r="844" ht="15.75" customHeight="1">
      <c r="H844" s="13"/>
      <c r="I844" s="13"/>
    </row>
    <row r="845" ht="15.75" customHeight="1">
      <c r="H845" s="13"/>
      <c r="I845" s="13"/>
    </row>
    <row r="846" ht="15.75" customHeight="1">
      <c r="H846" s="13"/>
      <c r="I846" s="13"/>
    </row>
    <row r="847" ht="15.75" customHeight="1">
      <c r="H847" s="13"/>
      <c r="I847" s="13"/>
    </row>
    <row r="848" ht="15.75" customHeight="1">
      <c r="H848" s="13"/>
      <c r="I848" s="13"/>
    </row>
    <row r="849" ht="15.75" customHeight="1">
      <c r="H849" s="13"/>
      <c r="I849" s="13"/>
    </row>
    <row r="850" ht="15.75" customHeight="1">
      <c r="H850" s="13"/>
      <c r="I850" s="13"/>
    </row>
    <row r="851" ht="15.75" customHeight="1">
      <c r="H851" s="13"/>
      <c r="I851" s="13"/>
    </row>
    <row r="852" ht="15.75" customHeight="1">
      <c r="H852" s="13"/>
      <c r="I852" s="13"/>
    </row>
    <row r="853" ht="15.75" customHeight="1">
      <c r="H853" s="13"/>
      <c r="I853" s="13"/>
    </row>
    <row r="854" ht="15.75" customHeight="1">
      <c r="H854" s="13"/>
      <c r="I854" s="13"/>
    </row>
    <row r="855" ht="15.75" customHeight="1">
      <c r="H855" s="13"/>
      <c r="I855" s="13"/>
    </row>
    <row r="856" ht="15.75" customHeight="1">
      <c r="H856" s="13"/>
      <c r="I856" s="13"/>
    </row>
    <row r="857" ht="15.75" customHeight="1">
      <c r="H857" s="13"/>
      <c r="I857" s="13"/>
    </row>
    <row r="858" ht="15.75" customHeight="1">
      <c r="H858" s="13"/>
      <c r="I858" s="13"/>
    </row>
    <row r="859" ht="15.75" customHeight="1">
      <c r="H859" s="13"/>
      <c r="I859" s="13"/>
    </row>
    <row r="860" ht="15.75" customHeight="1">
      <c r="H860" s="13"/>
      <c r="I860" s="13"/>
    </row>
    <row r="861" ht="15.75" customHeight="1">
      <c r="H861" s="13"/>
      <c r="I861" s="13"/>
    </row>
    <row r="862" ht="15.75" customHeight="1">
      <c r="H862" s="13"/>
      <c r="I862" s="13"/>
    </row>
    <row r="863" ht="15.75" customHeight="1">
      <c r="H863" s="13"/>
      <c r="I863" s="13"/>
    </row>
    <row r="864" ht="15.75" customHeight="1">
      <c r="H864" s="13"/>
      <c r="I864" s="13"/>
    </row>
    <row r="865" ht="15.75" customHeight="1">
      <c r="H865" s="13"/>
      <c r="I865" s="13"/>
    </row>
    <row r="866" ht="15.75" customHeight="1">
      <c r="H866" s="13"/>
      <c r="I866" s="13"/>
    </row>
    <row r="867" ht="15.75" customHeight="1">
      <c r="H867" s="13"/>
      <c r="I867" s="13"/>
    </row>
    <row r="868" ht="15.75" customHeight="1">
      <c r="H868" s="13"/>
      <c r="I868" s="13"/>
    </row>
    <row r="869" ht="15.75" customHeight="1">
      <c r="H869" s="13"/>
      <c r="I869" s="13"/>
    </row>
    <row r="870" ht="15.75" customHeight="1">
      <c r="H870" s="13"/>
      <c r="I870" s="13"/>
    </row>
    <row r="871" ht="15.75" customHeight="1">
      <c r="H871" s="13"/>
      <c r="I871" s="13"/>
    </row>
    <row r="872" ht="15.75" customHeight="1">
      <c r="H872" s="13"/>
      <c r="I872" s="13"/>
    </row>
    <row r="873" ht="15.75" customHeight="1">
      <c r="H873" s="13"/>
      <c r="I873" s="13"/>
    </row>
    <row r="874" ht="15.75" customHeight="1">
      <c r="H874" s="13"/>
      <c r="I874" s="13"/>
    </row>
    <row r="875" ht="15.75" customHeight="1">
      <c r="H875" s="13"/>
      <c r="I875" s="13"/>
    </row>
    <row r="876" ht="15.75" customHeight="1">
      <c r="H876" s="13"/>
      <c r="I876" s="13"/>
    </row>
    <row r="877" ht="15.75" customHeight="1">
      <c r="H877" s="13"/>
      <c r="I877" s="13"/>
    </row>
    <row r="878" ht="15.75" customHeight="1">
      <c r="H878" s="13"/>
      <c r="I878" s="13"/>
    </row>
    <row r="879" ht="15.75" customHeight="1">
      <c r="H879" s="13"/>
      <c r="I879" s="13"/>
    </row>
    <row r="880" ht="15.75" customHeight="1">
      <c r="H880" s="13"/>
      <c r="I880" s="13"/>
    </row>
    <row r="881" ht="15.75" customHeight="1">
      <c r="H881" s="13"/>
      <c r="I881" s="13"/>
    </row>
    <row r="882" ht="15.75" customHeight="1">
      <c r="H882" s="13"/>
      <c r="I882" s="13"/>
    </row>
    <row r="883" ht="15.75" customHeight="1">
      <c r="H883" s="13"/>
      <c r="I883" s="13"/>
    </row>
    <row r="884" ht="15.75" customHeight="1">
      <c r="H884" s="13"/>
      <c r="I884" s="13"/>
    </row>
    <row r="885" ht="15.75" customHeight="1">
      <c r="H885" s="13"/>
      <c r="I885" s="13"/>
    </row>
    <row r="886" ht="15.75" customHeight="1">
      <c r="H886" s="13"/>
      <c r="I886" s="13"/>
    </row>
    <row r="887" ht="15.75" customHeight="1">
      <c r="H887" s="13"/>
      <c r="I887" s="13"/>
    </row>
    <row r="888" ht="15.75" customHeight="1">
      <c r="H888" s="13"/>
      <c r="I888" s="13"/>
    </row>
    <row r="889" ht="15.75" customHeight="1">
      <c r="H889" s="13"/>
      <c r="I889" s="13"/>
    </row>
    <row r="890" ht="15.75" customHeight="1">
      <c r="H890" s="13"/>
      <c r="I890" s="13"/>
    </row>
    <row r="891" ht="15.75" customHeight="1">
      <c r="H891" s="13"/>
      <c r="I891" s="13"/>
    </row>
    <row r="892" ht="15.75" customHeight="1">
      <c r="H892" s="13"/>
      <c r="I892" s="13"/>
    </row>
    <row r="893" ht="15.75" customHeight="1">
      <c r="H893" s="13"/>
      <c r="I893" s="13"/>
    </row>
    <row r="894" ht="15.75" customHeight="1">
      <c r="H894" s="13"/>
      <c r="I894" s="13"/>
    </row>
    <row r="895" ht="15.75" customHeight="1">
      <c r="H895" s="13"/>
      <c r="I895" s="13"/>
    </row>
    <row r="896" ht="15.75" customHeight="1">
      <c r="H896" s="13"/>
      <c r="I896" s="13"/>
    </row>
    <row r="897" ht="15.75" customHeight="1">
      <c r="H897" s="13"/>
      <c r="I897" s="13"/>
    </row>
    <row r="898" ht="15.75" customHeight="1">
      <c r="H898" s="13"/>
      <c r="I898" s="13"/>
    </row>
    <row r="899" ht="15.75" customHeight="1">
      <c r="H899" s="13"/>
      <c r="I899" s="13"/>
    </row>
    <row r="900" ht="15.75" customHeight="1">
      <c r="H900" s="13"/>
      <c r="I900" s="13"/>
    </row>
    <row r="901" ht="15.75" customHeight="1">
      <c r="H901" s="13"/>
      <c r="I901" s="13"/>
    </row>
    <row r="902" ht="15.75" customHeight="1">
      <c r="H902" s="13"/>
      <c r="I902" s="13"/>
    </row>
    <row r="903" ht="15.75" customHeight="1">
      <c r="H903" s="13"/>
      <c r="I903" s="13"/>
    </row>
    <row r="904" ht="15.75" customHeight="1">
      <c r="H904" s="13"/>
      <c r="I904" s="13"/>
    </row>
    <row r="905" ht="15.75" customHeight="1">
      <c r="H905" s="13"/>
      <c r="I905" s="13"/>
    </row>
    <row r="906" ht="15.75" customHeight="1">
      <c r="H906" s="13"/>
      <c r="I906" s="13"/>
    </row>
    <row r="907" ht="15.75" customHeight="1">
      <c r="H907" s="13"/>
      <c r="I907" s="13"/>
    </row>
    <row r="908" ht="15.75" customHeight="1">
      <c r="H908" s="13"/>
      <c r="I908" s="13"/>
    </row>
    <row r="909" ht="15.75" customHeight="1">
      <c r="H909" s="13"/>
      <c r="I909" s="13"/>
    </row>
    <row r="910" ht="15.75" customHeight="1">
      <c r="H910" s="13"/>
      <c r="I910" s="13"/>
    </row>
    <row r="911" ht="15.75" customHeight="1">
      <c r="H911" s="13"/>
      <c r="I911" s="13"/>
    </row>
    <row r="912" ht="15.75" customHeight="1">
      <c r="H912" s="13"/>
      <c r="I912" s="13"/>
    </row>
    <row r="913" ht="15.75" customHeight="1">
      <c r="H913" s="13"/>
      <c r="I913" s="13"/>
    </row>
    <row r="914" ht="15.75" customHeight="1">
      <c r="H914" s="13"/>
      <c r="I914" s="13"/>
    </row>
    <row r="915" ht="15.75" customHeight="1">
      <c r="H915" s="13"/>
      <c r="I915" s="13"/>
    </row>
    <row r="916" ht="15.75" customHeight="1">
      <c r="H916" s="13"/>
      <c r="I916" s="13"/>
    </row>
    <row r="917" ht="15.75" customHeight="1">
      <c r="H917" s="13"/>
      <c r="I917" s="13"/>
    </row>
    <row r="918" ht="15.75" customHeight="1">
      <c r="H918" s="13"/>
      <c r="I918" s="13"/>
    </row>
    <row r="919" ht="15.75" customHeight="1">
      <c r="H919" s="13"/>
      <c r="I919" s="13"/>
    </row>
    <row r="920" ht="15.75" customHeight="1">
      <c r="H920" s="13"/>
      <c r="I920" s="13"/>
    </row>
    <row r="921" ht="15.75" customHeight="1">
      <c r="H921" s="13"/>
      <c r="I921" s="13"/>
    </row>
    <row r="922" ht="15.75" customHeight="1">
      <c r="H922" s="13"/>
      <c r="I922" s="13"/>
    </row>
    <row r="923" ht="15.75" customHeight="1">
      <c r="H923" s="13"/>
      <c r="I923" s="13"/>
    </row>
    <row r="924" ht="15.75" customHeight="1">
      <c r="H924" s="13"/>
      <c r="I924" s="13"/>
    </row>
    <row r="925" ht="15.75" customHeight="1">
      <c r="H925" s="13"/>
      <c r="I925" s="13"/>
    </row>
    <row r="926" ht="15.75" customHeight="1">
      <c r="H926" s="13"/>
      <c r="I926" s="13"/>
    </row>
    <row r="927" ht="15.75" customHeight="1">
      <c r="H927" s="13"/>
      <c r="I927" s="13"/>
    </row>
    <row r="928" ht="15.75" customHeight="1">
      <c r="H928" s="13"/>
      <c r="I928" s="13"/>
    </row>
    <row r="929" ht="15.75" customHeight="1">
      <c r="H929" s="13"/>
      <c r="I929" s="13"/>
    </row>
    <row r="930" ht="15.75" customHeight="1">
      <c r="H930" s="13"/>
      <c r="I930" s="13"/>
    </row>
    <row r="931" ht="15.75" customHeight="1">
      <c r="H931" s="13"/>
      <c r="I931" s="13"/>
    </row>
    <row r="932" ht="15.75" customHeight="1">
      <c r="H932" s="13"/>
      <c r="I932" s="13"/>
    </row>
    <row r="933" ht="15.75" customHeight="1">
      <c r="H933" s="13"/>
      <c r="I933" s="13"/>
    </row>
    <row r="934" ht="15.75" customHeight="1">
      <c r="H934" s="13"/>
      <c r="I934" s="13"/>
    </row>
    <row r="935" ht="15.75" customHeight="1">
      <c r="H935" s="13"/>
      <c r="I935" s="13"/>
    </row>
    <row r="936" ht="15.75" customHeight="1">
      <c r="H936" s="13"/>
      <c r="I936" s="13"/>
    </row>
    <row r="937" ht="15.75" customHeight="1">
      <c r="H937" s="13"/>
      <c r="I937" s="13"/>
    </row>
    <row r="938" ht="15.75" customHeight="1">
      <c r="H938" s="13"/>
      <c r="I938" s="13"/>
    </row>
    <row r="939" ht="15.75" customHeight="1">
      <c r="H939" s="13"/>
      <c r="I939" s="13"/>
    </row>
    <row r="940" ht="15.75" customHeight="1">
      <c r="H940" s="13"/>
      <c r="I940" s="13"/>
    </row>
    <row r="941" ht="15.75" customHeight="1">
      <c r="H941" s="13"/>
      <c r="I941" s="13"/>
    </row>
    <row r="942" ht="15.75" customHeight="1">
      <c r="H942" s="13"/>
      <c r="I942" s="13"/>
    </row>
    <row r="943" ht="15.75" customHeight="1">
      <c r="H943" s="13"/>
      <c r="I943" s="13"/>
    </row>
    <row r="944" ht="15.75" customHeight="1">
      <c r="H944" s="13"/>
      <c r="I944" s="13"/>
    </row>
    <row r="945" ht="15.75" customHeight="1">
      <c r="H945" s="13"/>
      <c r="I945" s="13"/>
    </row>
    <row r="946" ht="15.75" customHeight="1">
      <c r="H946" s="13"/>
      <c r="I946" s="13"/>
    </row>
    <row r="947" ht="15.75" customHeight="1">
      <c r="H947" s="13"/>
      <c r="I947" s="13"/>
    </row>
    <row r="948" ht="15.75" customHeight="1">
      <c r="H948" s="13"/>
      <c r="I948" s="13"/>
    </row>
    <row r="949" ht="15.75" customHeight="1">
      <c r="H949" s="13"/>
      <c r="I949" s="13"/>
    </row>
    <row r="950" ht="15.75" customHeight="1">
      <c r="H950" s="13"/>
      <c r="I950" s="13"/>
    </row>
    <row r="951" ht="15.75" customHeight="1">
      <c r="H951" s="13"/>
      <c r="I951" s="13"/>
    </row>
    <row r="952" ht="15.75" customHeight="1">
      <c r="H952" s="13"/>
      <c r="I952" s="13"/>
    </row>
    <row r="953" ht="15.75" customHeight="1">
      <c r="H953" s="13"/>
      <c r="I953" s="13"/>
    </row>
    <row r="954" ht="15.75" customHeight="1">
      <c r="H954" s="13"/>
      <c r="I954" s="13"/>
    </row>
    <row r="955" ht="15.75" customHeight="1">
      <c r="H955" s="13"/>
      <c r="I955" s="13"/>
    </row>
    <row r="956" ht="15.75" customHeight="1">
      <c r="H956" s="13"/>
      <c r="I956" s="13"/>
    </row>
    <row r="957" ht="15.75" customHeight="1">
      <c r="H957" s="13"/>
      <c r="I957" s="13"/>
    </row>
    <row r="958" ht="15.75" customHeight="1">
      <c r="H958" s="13"/>
      <c r="I958" s="13"/>
    </row>
    <row r="959" ht="15.75" customHeight="1">
      <c r="H959" s="13"/>
      <c r="I959" s="13"/>
    </row>
    <row r="960" ht="15.75" customHeight="1">
      <c r="H960" s="13"/>
      <c r="I960" s="13"/>
    </row>
    <row r="961" ht="15.75" customHeight="1">
      <c r="H961" s="13"/>
      <c r="I961" s="13"/>
    </row>
    <row r="962" ht="15.75" customHeight="1">
      <c r="H962" s="13"/>
      <c r="I962" s="13"/>
    </row>
    <row r="963" ht="15.75" customHeight="1">
      <c r="H963" s="13"/>
      <c r="I963" s="13"/>
    </row>
    <row r="964" ht="15.75" customHeight="1">
      <c r="H964" s="13"/>
      <c r="I964" s="13"/>
    </row>
    <row r="965" ht="15.75" customHeight="1">
      <c r="H965" s="13"/>
      <c r="I965" s="13"/>
    </row>
    <row r="966" ht="15.75" customHeight="1">
      <c r="H966" s="13"/>
      <c r="I966" s="13"/>
    </row>
    <row r="967" ht="15.75" customHeight="1">
      <c r="H967" s="13"/>
      <c r="I967" s="13"/>
    </row>
    <row r="968" ht="15.75" customHeight="1">
      <c r="H968" s="13"/>
      <c r="I968" s="13"/>
    </row>
    <row r="969" ht="15.75" customHeight="1">
      <c r="H969" s="13"/>
      <c r="I969" s="13"/>
    </row>
    <row r="970" ht="15.75" customHeight="1">
      <c r="H970" s="13"/>
      <c r="I970" s="13"/>
    </row>
    <row r="971" ht="15.75" customHeight="1">
      <c r="H971" s="13"/>
      <c r="I971" s="13"/>
    </row>
    <row r="972" ht="15.75" customHeight="1">
      <c r="H972" s="13"/>
      <c r="I972" s="13"/>
    </row>
    <row r="973" ht="15.75" customHeight="1">
      <c r="H973" s="13"/>
      <c r="I973" s="13"/>
    </row>
    <row r="974" ht="15.75" customHeight="1">
      <c r="H974" s="13"/>
      <c r="I974" s="13"/>
    </row>
    <row r="975" ht="15.75" customHeight="1">
      <c r="H975" s="13"/>
      <c r="I975" s="13"/>
    </row>
    <row r="976" ht="15.75" customHeight="1">
      <c r="H976" s="13"/>
      <c r="I976" s="13"/>
    </row>
    <row r="977" ht="15.75" customHeight="1">
      <c r="H977" s="13"/>
      <c r="I977" s="13"/>
    </row>
    <row r="978" ht="15.75" customHeight="1">
      <c r="H978" s="13"/>
      <c r="I978" s="13"/>
    </row>
    <row r="979" ht="15.75" customHeight="1">
      <c r="H979" s="13"/>
      <c r="I979" s="13"/>
    </row>
    <row r="980" ht="15.75" customHeight="1">
      <c r="H980" s="13"/>
      <c r="I980" s="13"/>
    </row>
    <row r="981" ht="15.75" customHeight="1">
      <c r="H981" s="13"/>
      <c r="I981" s="13"/>
    </row>
    <row r="982" ht="15.75" customHeight="1">
      <c r="H982" s="13"/>
      <c r="I982" s="13"/>
    </row>
    <row r="983" ht="15.75" customHeight="1">
      <c r="H983" s="13"/>
      <c r="I983" s="13"/>
    </row>
    <row r="984" ht="15.75" customHeight="1">
      <c r="H984" s="13"/>
      <c r="I984" s="13"/>
    </row>
    <row r="985" ht="15.75" customHeight="1">
      <c r="H985" s="13"/>
      <c r="I985" s="13"/>
    </row>
    <row r="986" ht="15.75" customHeight="1">
      <c r="H986" s="13"/>
      <c r="I986" s="13"/>
    </row>
    <row r="987" ht="15.75" customHeight="1">
      <c r="H987" s="13"/>
      <c r="I987" s="13"/>
    </row>
    <row r="988" ht="15.75" customHeight="1">
      <c r="H988" s="13"/>
      <c r="I988" s="13"/>
    </row>
    <row r="989" ht="15.75" customHeight="1">
      <c r="H989" s="13"/>
      <c r="I989" s="13"/>
    </row>
    <row r="990" ht="15.75" customHeight="1">
      <c r="H990" s="13"/>
      <c r="I990" s="13"/>
    </row>
    <row r="991" ht="15.75" customHeight="1">
      <c r="H991" s="13"/>
      <c r="I991" s="13"/>
    </row>
    <row r="992" ht="15.75" customHeight="1">
      <c r="H992" s="13"/>
      <c r="I992" s="13"/>
    </row>
    <row r="993" ht="15.75" customHeight="1">
      <c r="H993" s="13"/>
      <c r="I993" s="13"/>
    </row>
    <row r="994" ht="15.75" customHeight="1">
      <c r="H994" s="13"/>
      <c r="I994" s="13"/>
    </row>
    <row r="995" ht="15.75" customHeight="1">
      <c r="H995" s="13"/>
      <c r="I995" s="13"/>
    </row>
    <row r="996" ht="15.75" customHeight="1">
      <c r="H996" s="13"/>
      <c r="I996" s="13"/>
    </row>
    <row r="997" ht="15.75" customHeight="1">
      <c r="H997" s="13"/>
      <c r="I997" s="13"/>
    </row>
    <row r="998" ht="15.75" customHeight="1">
      <c r="H998" s="13"/>
      <c r="I998" s="13"/>
    </row>
    <row r="999" ht="15.75" customHeight="1">
      <c r="H999" s="13"/>
      <c r="I999" s="13"/>
    </row>
    <row r="1000" ht="15.75" customHeight="1">
      <c r="H1000" s="13"/>
      <c r="I1000" s="13"/>
    </row>
  </sheetData>
  <customSheetViews>
    <customSheetView guid="{454B3B68-2B76-42B1-88DA-FD5EC81CFC76}" filter="1" showAutoFilter="1">
      <autoFilter ref="$A$1:$L$31"/>
      <extLst>
        <ext uri="GoogleSheetsCustomDataVersion1">
          <go:sheetsCustomData xmlns:go="http://customooxmlschemas.google.com/" filterViewId="2056056736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5.29"/>
    <col customWidth="1" min="3" max="3" width="11.14"/>
    <col customWidth="1" min="4" max="4" width="11.86"/>
    <col customWidth="1" min="5" max="5" width="16.86"/>
    <col customWidth="1" min="6" max="7" width="15.86"/>
    <col customWidth="1" min="8" max="8" width="17.86"/>
    <col customWidth="1" min="9" max="10" width="15.86"/>
    <col customWidth="1" min="11" max="11" width="19.71"/>
    <col customWidth="1" min="12" max="12" width="15.86"/>
    <col customWidth="1" min="13" max="13" width="16.43"/>
    <col customWidth="1" min="14" max="14" width="15.86"/>
    <col customWidth="1" min="15" max="15" width="18.71"/>
    <col customWidth="1" min="16" max="16" width="21.86"/>
    <col customWidth="1" min="17" max="26" width="8.71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8</v>
      </c>
      <c r="J1" s="1" t="s">
        <v>290</v>
      </c>
      <c r="K1" s="1" t="s">
        <v>291</v>
      </c>
      <c r="L1" s="7" t="s">
        <v>15</v>
      </c>
      <c r="M1" s="1" t="s">
        <v>294</v>
      </c>
      <c r="N1" s="1" t="s">
        <v>12</v>
      </c>
      <c r="O1" s="1" t="s">
        <v>14</v>
      </c>
      <c r="P1" s="1" t="s">
        <v>296</v>
      </c>
    </row>
    <row r="2">
      <c r="A2" s="5" t="s">
        <v>19</v>
      </c>
      <c r="B2" s="5" t="s">
        <v>23</v>
      </c>
      <c r="C2" s="5" t="s">
        <v>26</v>
      </c>
      <c r="D2" s="5" t="s">
        <v>29</v>
      </c>
      <c r="E2" s="6" t="str">
        <f t="array" ref="E2">IFERROR(INDEX(Airlines!$B:$B,MATCH(D2,Airlines!$A:$A,0)),"")</f>
        <v>AirAsia</v>
      </c>
      <c r="F2" s="6" t="str">
        <f>VLOOKUP(A2,Bookings!$A:$F,6,FALSE())</f>
        <v>Economy</v>
      </c>
      <c r="G2" s="6" t="str">
        <f t="array" ref="G2">IFERROR(INDEX(Flights!$E:$E,MATCH(B2,Flights!$A:$A,0)),"")</f>
        <v>Delhi</v>
      </c>
      <c r="H2" s="6" t="str">
        <f>VLOOKUP(B2,Flights!A:H,6,FALSE())</f>
        <v>Mumbai</v>
      </c>
      <c r="I2" s="6" t="str">
        <f t="array" ref="I2">IFERROR(INDEX(Bookings!$G:$G,MATCH(B2,Bookings!$B:$B,0)),"")</f>
        <v>0</v>
      </c>
      <c r="J2" s="5">
        <f>VLOOKUP(B2,Bookings!B:H,7,FALSE())</f>
        <v>2.17</v>
      </c>
      <c r="K2" s="5" t="str">
        <f t="shared" ref="K2:K1201" si="1">IF(J2&lt;=4,"Short",IF(J2&lt;=10,"Medium",IF(J2&gt;10,"Long")))</f>
        <v>Short</v>
      </c>
      <c r="L2" s="11">
        <f t="array" ref="L2">IFERROR(INDEX(Bookings!$K:$K,MATCH(A2,Bookings!$A:$A,0)),"")</f>
        <v>5956</v>
      </c>
      <c r="M2" s="5" t="str">
        <f t="shared" ref="M2:M1201" si="2">IF(L2="","",IF(L2&lt;=4631,"Low",IF(L2&lt;=15800,"Medium","High")))</f>
        <v>Medium</v>
      </c>
      <c r="N2" s="5">
        <f t="array" ref="N2">IFERROR(INDEX(Bookings!$I:$I,MATCH(A2,Bookings!$A:$A,0)),"")</f>
        <v>14</v>
      </c>
      <c r="O2" s="5" t="str">
        <f t="shared" ref="O2:O1201" si="3">IF(N2&lt;=7,"Last Minute",IF(N2&lt;=15,"Short Notice",IF(N2&lt;=30,"Moderate",IF(N2&gt;=31,"Advance"))))</f>
        <v>Short Notice</v>
      </c>
      <c r="P2" s="5" t="str">
        <f t="shared" ref="P2:P1201" si="4">CONCATENATE(G2," -&gt; ",H2)</f>
        <v>Delhi -&gt; Mumbai</v>
      </c>
    </row>
    <row r="3">
      <c r="A3" s="5" t="s">
        <v>46</v>
      </c>
      <c r="B3" s="5" t="s">
        <v>48</v>
      </c>
      <c r="C3" s="5" t="s">
        <v>26</v>
      </c>
      <c r="D3" s="5" t="s">
        <v>20</v>
      </c>
      <c r="E3" s="6" t="str">
        <f t="array" ref="E3">IFERROR(INDEX(Airlines!$B:$B,MATCH(D3,Airlines!$A:$A,0)),"")</f>
        <v>Vistara</v>
      </c>
      <c r="F3" s="6" t="str">
        <f>VLOOKUP(A3,Bookings!$A:$F,6,FALSE())</f>
        <v>Business</v>
      </c>
      <c r="G3" s="6" t="str">
        <f t="array" ref="G3">IFERROR(INDEX(Flights!$E:$E,MATCH(B3,Flights!$A:$A,0)),"")</f>
        <v>Delhi</v>
      </c>
      <c r="H3" s="6" t="str">
        <f>VLOOKUP(B3,Flights!A:H,6,FALSE())</f>
        <v>Mumbai</v>
      </c>
      <c r="I3" s="6" t="str">
        <f t="array" ref="I3">IFERROR(INDEX(Bookings!$G:$G,MATCH(B3,Bookings!$B:$B,0)),"")</f>
        <v>0</v>
      </c>
      <c r="J3" s="5">
        <f>VLOOKUP(B3,Bookings!B:H,7,FALSE())</f>
        <v>2.08</v>
      </c>
      <c r="K3" s="5" t="str">
        <f t="shared" si="1"/>
        <v>Short</v>
      </c>
      <c r="L3" s="11">
        <f t="array" ref="L3">IFERROR(INDEX(Bookings!$K:$K,MATCH(A3,Bookings!$A:$A,0)),"")</f>
        <v>28872</v>
      </c>
      <c r="M3" s="5" t="str">
        <f t="shared" si="2"/>
        <v>High</v>
      </c>
      <c r="N3" s="5">
        <f t="array" ref="N3">IFERROR(INDEX(Bookings!$I:$I,MATCH(A3,Bookings!$A:$A,0)),"")</f>
        <v>15</v>
      </c>
      <c r="O3" s="5" t="str">
        <f t="shared" si="3"/>
        <v>Short Notice</v>
      </c>
      <c r="P3" s="5" t="str">
        <f t="shared" si="4"/>
        <v>Delhi -&gt; Mumbai</v>
      </c>
    </row>
    <row r="4">
      <c r="A4" s="5" t="s">
        <v>56</v>
      </c>
      <c r="B4" s="5" t="s">
        <v>57</v>
      </c>
      <c r="C4" s="5" t="s">
        <v>26</v>
      </c>
      <c r="D4" s="5" t="s">
        <v>58</v>
      </c>
      <c r="E4" s="6" t="str">
        <f t="array" ref="E4">IFERROR(INDEX(Airlines!$B:$B,MATCH(D4,Airlines!$A:$A,0)),"")</f>
        <v>Go_First</v>
      </c>
      <c r="F4" s="6" t="str">
        <f>VLOOKUP(A4,Bookings!$A:$F,6,FALSE())</f>
        <v>Economy</v>
      </c>
      <c r="G4" s="6" t="str">
        <f t="array" ref="G4">IFERROR(INDEX(Flights!$E:$E,MATCH(B4,Flights!$A:$A,0)),"")</f>
        <v>Delhi</v>
      </c>
      <c r="H4" s="6" t="str">
        <f>VLOOKUP(B4,Flights!A:H,6,FALSE())</f>
        <v>Mumbai</v>
      </c>
      <c r="I4" s="6" t="str">
        <f t="array" ref="I4">IFERROR(INDEX(Bookings!$G:$G,MATCH(B4,Bookings!$B:$B,0)),"")</f>
        <v>0</v>
      </c>
      <c r="J4" s="5">
        <f>VLOOKUP(B4,Bookings!B:H,7,FALSE())</f>
        <v>2.25</v>
      </c>
      <c r="K4" s="5" t="str">
        <f t="shared" si="1"/>
        <v>Short</v>
      </c>
      <c r="L4" s="11">
        <f t="array" ref="L4">IFERROR(INDEX(Bookings!$K:$K,MATCH(A4,Bookings!$A:$A,0)),"")</f>
        <v>2410</v>
      </c>
      <c r="M4" s="5" t="str">
        <f t="shared" si="2"/>
        <v>Low</v>
      </c>
      <c r="N4" s="5">
        <f t="array" ref="N4">IFERROR(INDEX(Bookings!$I:$I,MATCH(A4,Bookings!$A:$A,0)),"")</f>
        <v>30</v>
      </c>
      <c r="O4" s="5" t="str">
        <f t="shared" si="3"/>
        <v>Moderate</v>
      </c>
      <c r="P4" s="5" t="str">
        <f t="shared" si="4"/>
        <v>Delhi -&gt; Mumbai</v>
      </c>
    </row>
    <row r="5">
      <c r="A5" s="5" t="s">
        <v>62</v>
      </c>
      <c r="B5" s="5" t="s">
        <v>63</v>
      </c>
      <c r="C5" s="5" t="s">
        <v>26</v>
      </c>
      <c r="D5" s="5" t="s">
        <v>58</v>
      </c>
      <c r="E5" s="6" t="str">
        <f t="array" ref="E5">IFERROR(INDEX(Airlines!$B:$B,MATCH(D5,Airlines!$A:$A,0)),"")</f>
        <v>Go_First</v>
      </c>
      <c r="F5" s="6" t="str">
        <f>VLOOKUP(A5,Bookings!$A:$F,6,FALSE())</f>
        <v>Economy</v>
      </c>
      <c r="G5" s="6" t="str">
        <f t="array" ref="G5">IFERROR(INDEX(Flights!$E:$E,MATCH(B5,Flights!$A:$A,0)),"")</f>
        <v>Delhi</v>
      </c>
      <c r="H5" s="6" t="str">
        <f>VLOOKUP(B5,Flights!A:H,6,FALSE())</f>
        <v>Mumbai</v>
      </c>
      <c r="I5" s="6" t="str">
        <f t="array" ref="I5">IFERROR(INDEX(Bookings!$G:$G,MATCH(B5,Bookings!$B:$B,0)),"")</f>
        <v>1</v>
      </c>
      <c r="J5" s="5">
        <f>VLOOKUP(B5,Bookings!B:H,7,FALSE())</f>
        <v>8</v>
      </c>
      <c r="K5" s="5" t="str">
        <f t="shared" si="1"/>
        <v>Medium</v>
      </c>
      <c r="L5" s="11">
        <f t="array" ref="L5">IFERROR(INDEX(Bookings!$K:$K,MATCH(A5,Bookings!$A:$A,0)),"")</f>
        <v>7907</v>
      </c>
      <c r="M5" s="5" t="str">
        <f t="shared" si="2"/>
        <v>Medium</v>
      </c>
      <c r="N5" s="5">
        <f t="array" ref="N5">IFERROR(INDEX(Bookings!$I:$I,MATCH(A5,Bookings!$A:$A,0)),"")</f>
        <v>38</v>
      </c>
      <c r="O5" s="5" t="str">
        <f t="shared" si="3"/>
        <v>Advance</v>
      </c>
      <c r="P5" s="5" t="str">
        <f t="shared" si="4"/>
        <v>Delhi -&gt; Mumbai</v>
      </c>
    </row>
    <row r="6">
      <c r="A6" s="5" t="s">
        <v>74</v>
      </c>
      <c r="B6" s="5" t="s">
        <v>75</v>
      </c>
      <c r="C6" s="5" t="s">
        <v>26</v>
      </c>
      <c r="D6" s="5" t="s">
        <v>20</v>
      </c>
      <c r="E6" s="6" t="str">
        <f t="array" ref="E6">IFERROR(INDEX(Airlines!$B:$B,MATCH(D6,Airlines!$A:$A,0)),"")</f>
        <v>Vistara</v>
      </c>
      <c r="F6" s="6" t="str">
        <f>VLOOKUP(A6,Bookings!$A:$F,6,FALSE())</f>
        <v>Business</v>
      </c>
      <c r="G6" s="6" t="str">
        <f t="array" ref="G6">IFERROR(INDEX(Flights!$E:$E,MATCH(B6,Flights!$A:$A,0)),"")</f>
        <v>Delhi</v>
      </c>
      <c r="H6" s="6" t="str">
        <f>VLOOKUP(B6,Flights!A:H,6,FALSE())</f>
        <v>Mumbai</v>
      </c>
      <c r="I6" s="6" t="str">
        <f t="array" ref="I6">IFERROR(INDEX(Bookings!$G:$G,MATCH(B6,Bookings!$B:$B,0)),"")</f>
        <v>1</v>
      </c>
      <c r="J6" s="5">
        <f>VLOOKUP(B6,Bookings!B:H,7,FALSE())</f>
        <v>26.42</v>
      </c>
      <c r="K6" s="5" t="str">
        <f t="shared" si="1"/>
        <v>Long</v>
      </c>
      <c r="L6" s="11">
        <f t="array" ref="L6">IFERROR(INDEX(Bookings!$K:$K,MATCH(A6,Bookings!$A:$A,0)),"")</f>
        <v>41281</v>
      </c>
      <c r="M6" s="5" t="str">
        <f t="shared" si="2"/>
        <v>High</v>
      </c>
      <c r="N6" s="5">
        <f t="array" ref="N6">IFERROR(INDEX(Bookings!$I:$I,MATCH(A6,Bookings!$A:$A,0)),"")</f>
        <v>19</v>
      </c>
      <c r="O6" s="5" t="str">
        <f t="shared" si="3"/>
        <v>Moderate</v>
      </c>
      <c r="P6" s="5" t="str">
        <f t="shared" si="4"/>
        <v>Delhi -&gt; Mumbai</v>
      </c>
    </row>
    <row r="7">
      <c r="A7" s="5" t="s">
        <v>80</v>
      </c>
      <c r="B7" s="5" t="s">
        <v>81</v>
      </c>
      <c r="C7" s="5" t="s">
        <v>26</v>
      </c>
      <c r="D7" s="5" t="s">
        <v>20</v>
      </c>
      <c r="E7" s="6" t="str">
        <f t="array" ref="E7">IFERROR(INDEX(Airlines!$B:$B,MATCH(D7,Airlines!$A:$A,0)),"")</f>
        <v>Vistara</v>
      </c>
      <c r="F7" s="6" t="str">
        <f>VLOOKUP(A7,Bookings!$A:$F,6,FALSE())</f>
        <v>Business</v>
      </c>
      <c r="G7" s="6" t="str">
        <f t="array" ref="G7">IFERROR(INDEX(Flights!$E:$E,MATCH(B7,Flights!$A:$A,0)),"")</f>
        <v>Delhi</v>
      </c>
      <c r="H7" s="6" t="str">
        <f>VLOOKUP(B7,Flights!A:H,6,FALSE())</f>
        <v>Mumbai</v>
      </c>
      <c r="I7" s="6" t="str">
        <f t="array" ref="I7">IFERROR(INDEX(Bookings!$G:$G,MATCH(B7,Bookings!$B:$B,0)),"")</f>
        <v>1</v>
      </c>
      <c r="J7" s="5">
        <f>VLOOKUP(B7,Bookings!B:H,7,FALSE())</f>
        <v>13.83</v>
      </c>
      <c r="K7" s="5" t="str">
        <f t="shared" si="1"/>
        <v>Long</v>
      </c>
      <c r="L7" s="11">
        <f t="array" ref="L7">IFERROR(INDEX(Bookings!$K:$K,MATCH(A7,Bookings!$A:$A,0)),"")</f>
        <v>70793</v>
      </c>
      <c r="M7" s="5" t="str">
        <f t="shared" si="2"/>
        <v>High</v>
      </c>
      <c r="N7" s="5" t="str">
        <f t="array" ref="N7">IFERROR(INDEX(Bookings!$I:$I,MATCH(A7,Bookings!$A:$A,0)),"")</f>
        <v/>
      </c>
      <c r="O7" s="5" t="str">
        <f t="shared" si="3"/>
        <v>Last Minute</v>
      </c>
      <c r="P7" s="5" t="str">
        <f t="shared" si="4"/>
        <v>Delhi -&gt; Mumbai</v>
      </c>
    </row>
    <row r="8">
      <c r="A8" s="5" t="s">
        <v>85</v>
      </c>
      <c r="B8" s="5" t="s">
        <v>86</v>
      </c>
      <c r="C8" s="5" t="s">
        <v>26</v>
      </c>
      <c r="D8" s="5" t="s">
        <v>20</v>
      </c>
      <c r="E8" s="6" t="str">
        <f t="array" ref="E8">IFERROR(INDEX(Airlines!$B:$B,MATCH(D8,Airlines!$A:$A,0)),"")</f>
        <v>Vistara</v>
      </c>
      <c r="F8" s="6" t="str">
        <f>VLOOKUP(A8,Bookings!$A:$F,6,FALSE())</f>
        <v>Economy</v>
      </c>
      <c r="G8" s="6" t="str">
        <f t="array" ref="G8">IFERROR(INDEX(Flights!$E:$E,MATCH(B8,Flights!$A:$A,0)),"")</f>
        <v>Delhi</v>
      </c>
      <c r="H8" s="6" t="str">
        <f>VLOOKUP(B8,Flights!A:H,6,FALSE())</f>
        <v>Mumbai</v>
      </c>
      <c r="I8" s="6" t="str">
        <f t="array" ref="I8">IFERROR(INDEX(Bookings!$G:$G,MATCH(B8,Bookings!$B:$B,0)),"")</f>
        <v>1</v>
      </c>
      <c r="J8" s="5">
        <f>VLOOKUP(B8,Bookings!B:H,7,FALSE())</f>
        <v>24.42</v>
      </c>
      <c r="K8" s="5" t="str">
        <f t="shared" si="1"/>
        <v>Long</v>
      </c>
      <c r="L8" s="11">
        <f t="array" ref="L8">IFERROR(INDEX(Bookings!$K:$K,MATCH(A8,Bookings!$A:$A,0)),"")</f>
        <v>17348</v>
      </c>
      <c r="M8" s="5" t="str">
        <f t="shared" si="2"/>
        <v>High</v>
      </c>
      <c r="N8" s="5">
        <f t="array" ref="N8">IFERROR(INDEX(Bookings!$I:$I,MATCH(A8,Bookings!$A:$A,0)),"")</f>
        <v>2</v>
      </c>
      <c r="O8" s="5" t="str">
        <f t="shared" si="3"/>
        <v>Last Minute</v>
      </c>
      <c r="P8" s="5" t="str">
        <f t="shared" si="4"/>
        <v>Delhi -&gt; Mumbai</v>
      </c>
    </row>
    <row r="9">
      <c r="A9" s="5" t="s">
        <v>89</v>
      </c>
      <c r="B9" s="5" t="s">
        <v>91</v>
      </c>
      <c r="C9" s="5" t="s">
        <v>26</v>
      </c>
      <c r="D9" s="5" t="s">
        <v>20</v>
      </c>
      <c r="E9" s="6" t="str">
        <f t="array" ref="E9">IFERROR(INDEX(Airlines!$B:$B,MATCH(D9,Airlines!$A:$A,0)),"")</f>
        <v>Vistara</v>
      </c>
      <c r="F9" s="6" t="str">
        <f>VLOOKUP(A9,Bookings!$A:$F,6,FALSE())</f>
        <v>Economy</v>
      </c>
      <c r="G9" s="6" t="str">
        <f t="array" ref="G9">IFERROR(INDEX(Flights!$E:$E,MATCH(B9,Flights!$A:$A,0)),"")</f>
        <v>Delhi</v>
      </c>
      <c r="H9" s="6" t="str">
        <f>VLOOKUP(B9,Flights!A:H,6,FALSE())</f>
        <v>Mumbai</v>
      </c>
      <c r="I9" s="6" t="str">
        <f t="array" ref="I9">IFERROR(INDEX(Bookings!$G:$G,MATCH(B9,Bookings!$B:$B,0)),"")</f>
        <v>1</v>
      </c>
      <c r="J9" s="5">
        <f>VLOOKUP(B9,Bookings!B:H,7,FALSE())</f>
        <v>26</v>
      </c>
      <c r="K9" s="5" t="str">
        <f t="shared" si="1"/>
        <v>Long</v>
      </c>
      <c r="L9" s="11">
        <f t="array" ref="L9">IFERROR(INDEX(Bookings!$K:$K,MATCH(A9,Bookings!$A:$A,0)),"")</f>
        <v>15353</v>
      </c>
      <c r="M9" s="5" t="str">
        <f t="shared" si="2"/>
        <v>Medium</v>
      </c>
      <c r="N9" s="5">
        <f t="array" ref="N9">IFERROR(INDEX(Bookings!$I:$I,MATCH(A9,Bookings!$A:$A,0)),"")</f>
        <v>2</v>
      </c>
      <c r="O9" s="5" t="str">
        <f t="shared" si="3"/>
        <v>Last Minute</v>
      </c>
      <c r="P9" s="5" t="str">
        <f t="shared" si="4"/>
        <v>Delhi -&gt; Mumbai</v>
      </c>
    </row>
    <row r="10">
      <c r="A10" s="5" t="s">
        <v>95</v>
      </c>
      <c r="B10" s="5" t="s">
        <v>55</v>
      </c>
      <c r="C10" s="5" t="s">
        <v>26</v>
      </c>
      <c r="D10" s="5" t="s">
        <v>43</v>
      </c>
      <c r="E10" s="6" t="str">
        <f t="array" ref="E10">IFERROR(INDEX(Airlines!$B:$B,MATCH(D10,Airlines!$A:$A,0)),"")</f>
        <v>Indigo</v>
      </c>
      <c r="F10" s="6" t="str">
        <f>VLOOKUP(A10,Bookings!$A:$F,6,FALSE())</f>
        <v>Economy</v>
      </c>
      <c r="G10" s="6" t="str">
        <f t="array" ref="G10">IFERROR(INDEX(Flights!$E:$E,MATCH(B10,Flights!$A:$A,0)),"")</f>
        <v>Delhi</v>
      </c>
      <c r="H10" s="6" t="str">
        <f>VLOOKUP(B10,Flights!A:H,6,FALSE())</f>
        <v>Mumbai</v>
      </c>
      <c r="I10" s="6" t="str">
        <f t="array" ref="I10">IFERROR(INDEX(Bookings!$G:$G,MATCH(B10,Bookings!$B:$B,0)),"")</f>
        <v>1</v>
      </c>
      <c r="J10" s="5">
        <f>VLOOKUP(B10,Bookings!B:H,7,FALSE())</f>
        <v>4.17</v>
      </c>
      <c r="K10" s="5" t="str">
        <f t="shared" si="1"/>
        <v>Medium</v>
      </c>
      <c r="L10" s="11">
        <f t="array" ref="L10">IFERROR(INDEX(Bookings!$K:$K,MATCH(A10,Bookings!$A:$A,0)),"")</f>
        <v>3054</v>
      </c>
      <c r="M10" s="5" t="str">
        <f t="shared" si="2"/>
        <v>Low</v>
      </c>
      <c r="N10" s="5">
        <f t="array" ref="N10">IFERROR(INDEX(Bookings!$I:$I,MATCH(A10,Bookings!$A:$A,0)),"")</f>
        <v>38</v>
      </c>
      <c r="O10" s="5" t="str">
        <f t="shared" si="3"/>
        <v>Advance</v>
      </c>
      <c r="P10" s="5" t="str">
        <f t="shared" si="4"/>
        <v>Delhi -&gt; Mumbai</v>
      </c>
    </row>
    <row r="11">
      <c r="A11" s="5" t="s">
        <v>100</v>
      </c>
      <c r="B11" s="5" t="s">
        <v>42</v>
      </c>
      <c r="C11" s="5" t="s">
        <v>26</v>
      </c>
      <c r="D11" s="5" t="s">
        <v>43</v>
      </c>
      <c r="E11" s="6" t="str">
        <f t="array" ref="E11">IFERROR(INDEX(Airlines!$B:$B,MATCH(D11,Airlines!$A:$A,0)),"")</f>
        <v>Indigo</v>
      </c>
      <c r="F11" s="6" t="str">
        <f>VLOOKUP(A11,Bookings!$A:$F,6,FALSE())</f>
        <v>Economy</v>
      </c>
      <c r="G11" s="6" t="str">
        <f t="array" ref="G11">IFERROR(INDEX(Flights!$E:$E,MATCH(B11,Flights!$A:$A,0)),"")</f>
        <v>Delhi</v>
      </c>
      <c r="H11" s="6" t="str">
        <f>VLOOKUP(B11,Flights!A:H,6,FALSE())</f>
        <v>Mumbai</v>
      </c>
      <c r="I11" s="6" t="str">
        <f t="array" ref="I11">IFERROR(INDEX(Bookings!$G:$G,MATCH(B11,Bookings!$B:$B,0)),"")</f>
        <v>1</v>
      </c>
      <c r="J11" s="5">
        <f>VLOOKUP(B11,Bookings!B:H,7,FALSE())</f>
        <v>5.08</v>
      </c>
      <c r="K11" s="5" t="str">
        <f t="shared" si="1"/>
        <v>Medium</v>
      </c>
      <c r="L11" s="11">
        <f t="array" ref="L11">IFERROR(INDEX(Bookings!$K:$K,MATCH(A11,Bookings!$A:$A,0)),"")</f>
        <v>3631</v>
      </c>
      <c r="M11" s="5" t="str">
        <f t="shared" si="2"/>
        <v>Low</v>
      </c>
      <c r="N11" s="5">
        <f t="array" ref="N11">IFERROR(INDEX(Bookings!$I:$I,MATCH(A11,Bookings!$A:$A,0)),"")</f>
        <v>39</v>
      </c>
      <c r="O11" s="5" t="str">
        <f t="shared" si="3"/>
        <v>Advance</v>
      </c>
      <c r="P11" s="5" t="str">
        <f t="shared" si="4"/>
        <v>Delhi -&gt; Mumbai</v>
      </c>
    </row>
    <row r="12">
      <c r="A12" s="5" t="s">
        <v>102</v>
      </c>
      <c r="B12" s="5" t="s">
        <v>76</v>
      </c>
      <c r="C12" s="5" t="s">
        <v>26</v>
      </c>
      <c r="D12" s="5" t="s">
        <v>45</v>
      </c>
      <c r="E12" s="6" t="str">
        <f t="array" ref="E12">IFERROR(INDEX(Airlines!$B:$B,MATCH(D12,Airlines!$A:$A,0)),"")</f>
        <v>Air_India</v>
      </c>
      <c r="F12" s="6" t="str">
        <f>VLOOKUP(A12,Bookings!$A:$F,6,FALSE())</f>
        <v>Economy</v>
      </c>
      <c r="G12" s="6" t="str">
        <f t="array" ref="G12">IFERROR(INDEX(Flights!$E:$E,MATCH(B12,Flights!$A:$A,0)),"")</f>
        <v>Delhi</v>
      </c>
      <c r="H12" s="6" t="str">
        <f>VLOOKUP(B12,Flights!A:H,6,FALSE())</f>
        <v>Mumbai</v>
      </c>
      <c r="I12" s="6" t="str">
        <f t="array" ref="I12">IFERROR(INDEX(Bookings!$G:$G,MATCH(B12,Bookings!$B:$B,0)),"")</f>
        <v>1</v>
      </c>
      <c r="J12" s="5">
        <f>VLOOKUP(B12,Bookings!B:H,7,FALSE())</f>
        <v>29.33</v>
      </c>
      <c r="K12" s="5" t="str">
        <f t="shared" si="1"/>
        <v>Long</v>
      </c>
      <c r="L12" s="11">
        <f t="array" ref="L12">IFERROR(INDEX(Bookings!$K:$K,MATCH(A12,Bookings!$A:$A,0)),"")</f>
        <v>16245</v>
      </c>
      <c r="M12" s="5" t="str">
        <f t="shared" si="2"/>
        <v>High</v>
      </c>
      <c r="N12" s="5" t="str">
        <f t="array" ref="N12">IFERROR(INDEX(Bookings!$I:$I,MATCH(A12,Bookings!$A:$A,0)),"")</f>
        <v/>
      </c>
      <c r="O12" s="5" t="str">
        <f t="shared" si="3"/>
        <v>Last Minute</v>
      </c>
      <c r="P12" s="5" t="str">
        <f t="shared" si="4"/>
        <v>Delhi -&gt; Mumbai</v>
      </c>
    </row>
    <row r="13">
      <c r="A13" s="5" t="s">
        <v>106</v>
      </c>
      <c r="B13" s="5" t="s">
        <v>87</v>
      </c>
      <c r="C13" s="5" t="s">
        <v>26</v>
      </c>
      <c r="D13" s="5" t="s">
        <v>20</v>
      </c>
      <c r="E13" s="6" t="str">
        <f t="array" ref="E13">IFERROR(INDEX(Airlines!$B:$B,MATCH(D13,Airlines!$A:$A,0)),"")</f>
        <v>Vistara</v>
      </c>
      <c r="F13" s="6" t="str">
        <f>VLOOKUP(A13,Bookings!$A:$F,6,FALSE())</f>
        <v>Economy</v>
      </c>
      <c r="G13" s="6" t="str">
        <f t="array" ref="G13">IFERROR(INDEX(Flights!$E:$E,MATCH(B13,Flights!$A:$A,0)),"")</f>
        <v>Delhi</v>
      </c>
      <c r="H13" s="6" t="str">
        <f>VLOOKUP(B13,Flights!A:H,6,FALSE())</f>
        <v>Mumbai</v>
      </c>
      <c r="I13" s="6" t="str">
        <f t="array" ref="I13">IFERROR(INDEX(Bookings!$G:$G,MATCH(B13,Bookings!$B:$B,0)),"")</f>
        <v>1</v>
      </c>
      <c r="J13" s="5">
        <f>VLOOKUP(B13,Bookings!B:H,7,FALSE())</f>
        <v>4.42</v>
      </c>
      <c r="K13" s="5" t="str">
        <f t="shared" si="1"/>
        <v>Medium</v>
      </c>
      <c r="L13" s="11">
        <f t="array" ref="L13">IFERROR(INDEX(Bookings!$K:$K,MATCH(A13,Bookings!$A:$A,0)),"")</f>
        <v>4381</v>
      </c>
      <c r="M13" s="5" t="str">
        <f t="shared" si="2"/>
        <v>Low</v>
      </c>
      <c r="N13" s="5">
        <f t="array" ref="N13">IFERROR(INDEX(Bookings!$I:$I,MATCH(A13,Bookings!$A:$A,0)),"")</f>
        <v>46</v>
      </c>
      <c r="O13" s="5" t="str">
        <f t="shared" si="3"/>
        <v>Advance</v>
      </c>
      <c r="P13" s="5" t="str">
        <f t="shared" si="4"/>
        <v>Delhi -&gt; Mumbai</v>
      </c>
    </row>
    <row r="14">
      <c r="A14" s="5" t="s">
        <v>112</v>
      </c>
      <c r="B14" s="5" t="s">
        <v>96</v>
      </c>
      <c r="C14" s="5" t="s">
        <v>26</v>
      </c>
      <c r="D14" s="5" t="s">
        <v>20</v>
      </c>
      <c r="E14" s="6" t="str">
        <f t="array" ref="E14">IFERROR(INDEX(Airlines!$B:$B,MATCH(D14,Airlines!$A:$A,0)),"")</f>
        <v>Vistara</v>
      </c>
      <c r="F14" s="6" t="str">
        <f>VLOOKUP(A14,Bookings!$A:$F,6,FALSE())</f>
        <v>Economy</v>
      </c>
      <c r="G14" s="6" t="str">
        <f t="array" ref="G14">IFERROR(INDEX(Flights!$E:$E,MATCH(B14,Flights!$A:$A,0)),"")</f>
        <v>Delhi</v>
      </c>
      <c r="H14" s="6" t="str">
        <f>VLOOKUP(B14,Flights!A:H,6,FALSE())</f>
        <v>Mumbai</v>
      </c>
      <c r="I14" s="6" t="str">
        <f t="array" ref="I14">IFERROR(INDEX(Bookings!$G:$G,MATCH(B14,Bookings!$B:$B,0)),"")</f>
        <v>1</v>
      </c>
      <c r="J14" s="5">
        <f>VLOOKUP(B14,Bookings!B:H,7,FALSE())</f>
        <v>17</v>
      </c>
      <c r="K14" s="5" t="str">
        <f t="shared" si="1"/>
        <v>Long</v>
      </c>
      <c r="L14" s="11">
        <f t="array" ref="L14">IFERROR(INDEX(Bookings!$K:$K,MATCH(A14,Bookings!$A:$A,0)),"")</f>
        <v>7575</v>
      </c>
      <c r="M14" s="5" t="str">
        <f t="shared" si="2"/>
        <v>Medium</v>
      </c>
      <c r="N14" s="5">
        <f t="array" ref="N14">IFERROR(INDEX(Bookings!$I:$I,MATCH(A14,Bookings!$A:$A,0)),"")</f>
        <v>22</v>
      </c>
      <c r="O14" s="5" t="str">
        <f t="shared" si="3"/>
        <v>Moderate</v>
      </c>
      <c r="P14" s="5" t="str">
        <f t="shared" si="4"/>
        <v>Delhi -&gt; Mumbai</v>
      </c>
    </row>
    <row r="15">
      <c r="A15" s="5" t="s">
        <v>117</v>
      </c>
      <c r="B15" s="5" t="s">
        <v>118</v>
      </c>
      <c r="C15" s="5" t="s">
        <v>26</v>
      </c>
      <c r="D15" s="5" t="s">
        <v>45</v>
      </c>
      <c r="E15" s="6" t="str">
        <f t="array" ref="E15">IFERROR(INDEX(Airlines!$B:$B,MATCH(D15,Airlines!$A:$A,0)),"")</f>
        <v>Air_India</v>
      </c>
      <c r="F15" s="6" t="str">
        <f>VLOOKUP(A15,Bookings!$A:$F,6,FALSE())</f>
        <v>Economy</v>
      </c>
      <c r="G15" s="6" t="str">
        <f t="array" ref="G15">IFERROR(INDEX(Flights!$E:$E,MATCH(B15,Flights!$A:$A,0)),"")</f>
        <v>Delhi</v>
      </c>
      <c r="H15" s="6" t="str">
        <f>VLOOKUP(B15,Flights!A:H,6,FALSE())</f>
        <v>Mumbai</v>
      </c>
      <c r="I15" s="6" t="str">
        <f t="array" ref="I15">IFERROR(INDEX(Bookings!$G:$G,MATCH(B15,Bookings!$B:$B,0)),"")</f>
        <v>1</v>
      </c>
      <c r="J15" s="5">
        <f>VLOOKUP(B15,Bookings!B:H,7,FALSE())</f>
        <v>27.17</v>
      </c>
      <c r="K15" s="5" t="str">
        <f t="shared" si="1"/>
        <v>Long</v>
      </c>
      <c r="L15" s="11">
        <f t="array" ref="L15">IFERROR(INDEX(Bookings!$K:$K,MATCH(A15,Bookings!$A:$A,0)),"")</f>
        <v>16455</v>
      </c>
      <c r="M15" s="5" t="str">
        <f t="shared" si="2"/>
        <v>High</v>
      </c>
      <c r="N15" s="5">
        <f t="array" ref="N15">IFERROR(INDEX(Bookings!$I:$I,MATCH(A15,Bookings!$A:$A,0)),"")</f>
        <v>1</v>
      </c>
      <c r="O15" s="5" t="str">
        <f t="shared" si="3"/>
        <v>Last Minute</v>
      </c>
      <c r="P15" s="5" t="str">
        <f t="shared" si="4"/>
        <v>Delhi -&gt; Mumbai</v>
      </c>
    </row>
    <row r="16">
      <c r="A16" s="5" t="s">
        <v>121</v>
      </c>
      <c r="B16" s="5" t="s">
        <v>119</v>
      </c>
      <c r="C16" s="5" t="s">
        <v>26</v>
      </c>
      <c r="D16" s="5" t="s">
        <v>20</v>
      </c>
      <c r="E16" s="6" t="str">
        <f t="array" ref="E16">IFERROR(INDEX(Airlines!$B:$B,MATCH(D16,Airlines!$A:$A,0)),"")</f>
        <v>Vistara</v>
      </c>
      <c r="F16" s="6" t="str">
        <f>VLOOKUP(A16,Bookings!$A:$F,6,FALSE())</f>
        <v>Economy</v>
      </c>
      <c r="G16" s="6" t="str">
        <f t="array" ref="G16">IFERROR(INDEX(Flights!$E:$E,MATCH(B16,Flights!$A:$A,0)),"")</f>
        <v>Delhi</v>
      </c>
      <c r="H16" s="6" t="str">
        <f>VLOOKUP(B16,Flights!A:H,6,FALSE())</f>
        <v>Mumbai</v>
      </c>
      <c r="I16" s="6" t="str">
        <f t="array" ref="I16">IFERROR(INDEX(Bookings!$G:$G,MATCH(B16,Bookings!$B:$B,0)),"")</f>
        <v>1</v>
      </c>
      <c r="J16" s="5">
        <f>VLOOKUP(B16,Bookings!B:H,7,FALSE())</f>
        <v>16</v>
      </c>
      <c r="K16" s="5" t="str">
        <f t="shared" si="1"/>
        <v>Long</v>
      </c>
      <c r="L16" s="11">
        <f t="array" ref="L16">IFERROR(INDEX(Bookings!$K:$K,MATCH(A16,Bookings!$A:$A,0)),"")</f>
        <v>7575</v>
      </c>
      <c r="M16" s="5" t="str">
        <f t="shared" si="2"/>
        <v>Medium</v>
      </c>
      <c r="N16" s="5">
        <f t="array" ref="N16">IFERROR(INDEX(Bookings!$I:$I,MATCH(A16,Bookings!$A:$A,0)),"")</f>
        <v>27</v>
      </c>
      <c r="O16" s="5" t="str">
        <f t="shared" si="3"/>
        <v>Moderate</v>
      </c>
      <c r="P16" s="5" t="str">
        <f t="shared" si="4"/>
        <v>Delhi -&gt; Mumbai</v>
      </c>
    </row>
    <row r="17">
      <c r="A17" s="5" t="s">
        <v>125</v>
      </c>
      <c r="B17" s="5" t="s">
        <v>115</v>
      </c>
      <c r="C17" s="5" t="s">
        <v>26</v>
      </c>
      <c r="D17" s="5" t="s">
        <v>45</v>
      </c>
      <c r="E17" s="6" t="str">
        <f t="array" ref="E17">IFERROR(INDEX(Airlines!$B:$B,MATCH(D17,Airlines!$A:$A,0)),"")</f>
        <v>Air_India</v>
      </c>
      <c r="F17" s="6" t="str">
        <f>VLOOKUP(A17,Bookings!$A:$F,6,FALSE())</f>
        <v>Economy</v>
      </c>
      <c r="G17" s="6" t="str">
        <f t="array" ref="G17">IFERROR(INDEX(Flights!$E:$E,MATCH(B17,Flights!$A:$A,0)),"")</f>
        <v>Delhi</v>
      </c>
      <c r="H17" s="6" t="str">
        <f>VLOOKUP(B17,Flights!A:H,6,FALSE())</f>
        <v>Mumbai</v>
      </c>
      <c r="I17" s="6" t="str">
        <f t="array" ref="I17">IFERROR(INDEX(Bookings!$G:$G,MATCH(B17,Bookings!$B:$B,0)),"")</f>
        <v>1</v>
      </c>
      <c r="J17" s="5">
        <f>VLOOKUP(B17,Bookings!B:H,7,FALSE())</f>
        <v>3.5</v>
      </c>
      <c r="K17" s="5" t="str">
        <f t="shared" si="1"/>
        <v>Short</v>
      </c>
      <c r="L17" s="11">
        <f t="array" ref="L17">IFERROR(INDEX(Bookings!$K:$K,MATCH(A17,Bookings!$A:$A,0)),"")</f>
        <v>2476</v>
      </c>
      <c r="M17" s="5" t="str">
        <f t="shared" si="2"/>
        <v>Low</v>
      </c>
      <c r="N17" s="5">
        <f t="array" ref="N17">IFERROR(INDEX(Bookings!$I:$I,MATCH(A17,Bookings!$A:$A,0)),"")</f>
        <v>37</v>
      </c>
      <c r="O17" s="5" t="str">
        <f t="shared" si="3"/>
        <v>Advance</v>
      </c>
      <c r="P17" s="5" t="str">
        <f t="shared" si="4"/>
        <v>Delhi -&gt; Mumbai</v>
      </c>
    </row>
    <row r="18">
      <c r="A18" s="5" t="s">
        <v>126</v>
      </c>
      <c r="B18" s="5" t="s">
        <v>50</v>
      </c>
      <c r="C18" s="5" t="s">
        <v>26</v>
      </c>
      <c r="D18" s="5" t="s">
        <v>45</v>
      </c>
      <c r="E18" s="6" t="str">
        <f t="array" ref="E18">IFERROR(INDEX(Airlines!$B:$B,MATCH(D18,Airlines!$A:$A,0)),"")</f>
        <v>Air_India</v>
      </c>
      <c r="F18" s="6" t="str">
        <f>VLOOKUP(A18,Bookings!$A:$F,6,FALSE())</f>
        <v>Economy</v>
      </c>
      <c r="G18" s="6" t="str">
        <f t="array" ref="G18">IFERROR(INDEX(Flights!$E:$E,MATCH(B18,Flights!$A:$A,0)),"")</f>
        <v>Delhi</v>
      </c>
      <c r="H18" s="6" t="str">
        <f>VLOOKUP(B18,Flights!A:H,6,FALSE())</f>
        <v>Mumbai</v>
      </c>
      <c r="I18" s="6" t="str">
        <f t="array" ref="I18">IFERROR(INDEX(Bookings!$G:$G,MATCH(B18,Bookings!$B:$B,0)),"")</f>
        <v>1</v>
      </c>
      <c r="J18" s="5">
        <f>VLOOKUP(B18,Bookings!B:H,7,FALSE())</f>
        <v>6.67</v>
      </c>
      <c r="K18" s="5" t="str">
        <f t="shared" si="1"/>
        <v>Medium</v>
      </c>
      <c r="L18" s="11">
        <f t="array" ref="L18">IFERROR(INDEX(Bookings!$K:$K,MATCH(A18,Bookings!$A:$A,0)),"")</f>
        <v>3831</v>
      </c>
      <c r="M18" s="5" t="str">
        <f t="shared" si="2"/>
        <v>Low</v>
      </c>
      <c r="N18" s="5">
        <f t="array" ref="N18">IFERROR(INDEX(Bookings!$I:$I,MATCH(A18,Bookings!$A:$A,0)),"")</f>
        <v>36</v>
      </c>
      <c r="O18" s="5" t="str">
        <f t="shared" si="3"/>
        <v>Advance</v>
      </c>
      <c r="P18" s="5" t="str">
        <f t="shared" si="4"/>
        <v>Delhi -&gt; Mumbai</v>
      </c>
    </row>
    <row r="19">
      <c r="A19" s="5" t="s">
        <v>127</v>
      </c>
      <c r="B19" s="5" t="s">
        <v>128</v>
      </c>
      <c r="C19" s="5" t="s">
        <v>26</v>
      </c>
      <c r="D19" s="5" t="s">
        <v>20</v>
      </c>
      <c r="E19" s="6" t="str">
        <f t="array" ref="E19">IFERROR(INDEX(Airlines!$B:$B,MATCH(D19,Airlines!$A:$A,0)),"")</f>
        <v>Vistara</v>
      </c>
      <c r="F19" s="6" t="str">
        <f>VLOOKUP(A19,Bookings!$A:$F,6,FALSE())</f>
        <v>Business</v>
      </c>
      <c r="G19" s="6" t="str">
        <f t="array" ref="G19">IFERROR(INDEX(Flights!$E:$E,MATCH(B19,Flights!$A:$A,0)),"")</f>
        <v>Delhi</v>
      </c>
      <c r="H19" s="6" t="str">
        <f>VLOOKUP(B19,Flights!A:H,6,FALSE())</f>
        <v>Mumbai</v>
      </c>
      <c r="I19" s="6" t="str">
        <f t="array" ref="I19">IFERROR(INDEX(Bookings!$G:$G,MATCH(B19,Bookings!$B:$B,0)),"")</f>
        <v>1</v>
      </c>
      <c r="J19" s="5">
        <f>VLOOKUP(B19,Bookings!B:H,7,FALSE())</f>
        <v>8.25</v>
      </c>
      <c r="K19" s="5" t="str">
        <f t="shared" si="1"/>
        <v>Medium</v>
      </c>
      <c r="L19" s="11">
        <f t="array" ref="L19">IFERROR(INDEX(Bookings!$K:$K,MATCH(A19,Bookings!$A:$A,0)),"")</f>
        <v>41281</v>
      </c>
      <c r="M19" s="5" t="str">
        <f t="shared" si="2"/>
        <v>High</v>
      </c>
      <c r="N19" s="5" t="str">
        <f t="array" ref="N19">IFERROR(INDEX(Bookings!$I:$I,MATCH(A19,Bookings!$A:$A,0)),"")</f>
        <v/>
      </c>
      <c r="O19" s="5" t="str">
        <f t="shared" si="3"/>
        <v>Last Minute</v>
      </c>
      <c r="P19" s="5" t="str">
        <f t="shared" si="4"/>
        <v>Delhi -&gt; Mumbai</v>
      </c>
    </row>
    <row r="20">
      <c r="A20" s="5" t="s">
        <v>129</v>
      </c>
      <c r="B20" s="5" t="s">
        <v>130</v>
      </c>
      <c r="C20" s="5" t="s">
        <v>26</v>
      </c>
      <c r="D20" s="5" t="s">
        <v>45</v>
      </c>
      <c r="E20" s="6" t="str">
        <f t="array" ref="E20">IFERROR(INDEX(Airlines!$B:$B,MATCH(D20,Airlines!$A:$A,0)),"")</f>
        <v>Air_India</v>
      </c>
      <c r="F20" s="6" t="str">
        <f>VLOOKUP(A20,Bookings!$A:$F,6,FALSE())</f>
        <v>Business</v>
      </c>
      <c r="G20" s="6" t="str">
        <f t="array" ref="G20">IFERROR(INDEX(Flights!$E:$E,MATCH(B20,Flights!$A:$A,0)),"")</f>
        <v>Delhi</v>
      </c>
      <c r="H20" s="6" t="str">
        <f>VLOOKUP(B20,Flights!A:H,6,FALSE())</f>
        <v>Mumbai</v>
      </c>
      <c r="I20" s="6" t="str">
        <f t="array" ref="I20">IFERROR(INDEX(Bookings!$G:$G,MATCH(B20,Bookings!$B:$B,0)),"")</f>
        <v>1</v>
      </c>
      <c r="J20" s="5">
        <f>VLOOKUP(B20,Bookings!B:H,7,FALSE())</f>
        <v>21.42</v>
      </c>
      <c r="K20" s="5" t="str">
        <f t="shared" si="1"/>
        <v>Long</v>
      </c>
      <c r="L20" s="11">
        <f t="array" ref="L20">IFERROR(INDEX(Bookings!$K:$K,MATCH(A20,Bookings!$A:$A,0)),"")</f>
        <v>47217</v>
      </c>
      <c r="M20" s="5" t="str">
        <f t="shared" si="2"/>
        <v>High</v>
      </c>
      <c r="N20" s="5">
        <f t="array" ref="N20">IFERROR(INDEX(Bookings!$I:$I,MATCH(A20,Bookings!$A:$A,0)),"")</f>
        <v>15</v>
      </c>
      <c r="O20" s="5" t="str">
        <f t="shared" si="3"/>
        <v>Short Notice</v>
      </c>
      <c r="P20" s="5" t="str">
        <f t="shared" si="4"/>
        <v>Delhi -&gt; Mumbai</v>
      </c>
    </row>
    <row r="21" ht="15.75" customHeight="1">
      <c r="A21" s="5" t="s">
        <v>133</v>
      </c>
      <c r="B21" s="5" t="s">
        <v>113</v>
      </c>
      <c r="C21" s="5" t="s">
        <v>26</v>
      </c>
      <c r="D21" s="5" t="s">
        <v>58</v>
      </c>
      <c r="E21" s="6" t="str">
        <f t="array" ref="E21">IFERROR(INDEX(Airlines!$B:$B,MATCH(D21,Airlines!$A:$A,0)),"")</f>
        <v>Go_First</v>
      </c>
      <c r="F21" s="6" t="str">
        <f>VLOOKUP(A21,Bookings!$A:$F,6,FALSE())</f>
        <v>Economy</v>
      </c>
      <c r="G21" s="6" t="str">
        <f t="array" ref="G21">IFERROR(INDEX(Flights!$E:$E,MATCH(B21,Flights!$A:$A,0)),"")</f>
        <v>Delhi</v>
      </c>
      <c r="H21" s="6" t="str">
        <f>VLOOKUP(B21,Flights!A:H,6,FALSE())</f>
        <v>Mumbai</v>
      </c>
      <c r="I21" s="6" t="str">
        <f t="array" ref="I21">IFERROR(INDEX(Bookings!$G:$G,MATCH(B21,Bookings!$B:$B,0)),"")</f>
        <v>1</v>
      </c>
      <c r="J21" s="5">
        <f>VLOOKUP(B21,Bookings!B:H,7,FALSE())</f>
        <v>7.75</v>
      </c>
      <c r="K21" s="5" t="str">
        <f t="shared" si="1"/>
        <v>Medium</v>
      </c>
      <c r="L21" s="11">
        <f t="array" ref="L21">IFERROR(INDEX(Bookings!$K:$K,MATCH(A21,Bookings!$A:$A,0)),"")</f>
        <v>13321</v>
      </c>
      <c r="M21" s="5" t="str">
        <f t="shared" si="2"/>
        <v>Medium</v>
      </c>
      <c r="N21" s="5">
        <f t="array" ref="N21">IFERROR(INDEX(Bookings!$I:$I,MATCH(A21,Bookings!$A:$A,0)),"")</f>
        <v>2</v>
      </c>
      <c r="O21" s="5" t="str">
        <f t="shared" si="3"/>
        <v>Last Minute</v>
      </c>
      <c r="P21" s="5" t="str">
        <f t="shared" si="4"/>
        <v>Delhi -&gt; Mumbai</v>
      </c>
    </row>
    <row r="22" ht="15.75" customHeight="1">
      <c r="A22" s="5" t="s">
        <v>138</v>
      </c>
      <c r="B22" s="5" t="s">
        <v>82</v>
      </c>
      <c r="C22" s="5" t="s">
        <v>26</v>
      </c>
      <c r="D22" s="5" t="s">
        <v>45</v>
      </c>
      <c r="E22" s="6" t="str">
        <f t="array" ref="E22">IFERROR(INDEX(Airlines!$B:$B,MATCH(D22,Airlines!$A:$A,0)),"")</f>
        <v>Air_India</v>
      </c>
      <c r="F22" s="6" t="str">
        <f>VLOOKUP(A22,Bookings!$A:$F,6,FALSE())</f>
        <v>Business</v>
      </c>
      <c r="G22" s="6" t="str">
        <f t="array" ref="G22">IFERROR(INDEX(Flights!$E:$E,MATCH(B22,Flights!$A:$A,0)),"")</f>
        <v>Delhi</v>
      </c>
      <c r="H22" s="6" t="str">
        <f>VLOOKUP(B22,Flights!A:H,6,FALSE())</f>
        <v>Mumbai</v>
      </c>
      <c r="I22" s="6" t="str">
        <f t="array" ref="I22">IFERROR(INDEX(Bookings!$G:$G,MATCH(B22,Bookings!$B:$B,0)),"")</f>
        <v>1</v>
      </c>
      <c r="J22" s="5">
        <f>VLOOKUP(B22,Bookings!B:H,7,FALSE())</f>
        <v>23.83</v>
      </c>
      <c r="K22" s="5" t="str">
        <f t="shared" si="1"/>
        <v>Long</v>
      </c>
      <c r="L22" s="11">
        <f t="array" ref="L22">IFERROR(INDEX(Bookings!$K:$K,MATCH(A22,Bookings!$A:$A,0)),"")</f>
        <v>53164</v>
      </c>
      <c r="M22" s="5" t="str">
        <f t="shared" si="2"/>
        <v>High</v>
      </c>
      <c r="N22" s="5">
        <f t="array" ref="N22">IFERROR(INDEX(Bookings!$I:$I,MATCH(A22,Bookings!$A:$A,0)),"")</f>
        <v>30</v>
      </c>
      <c r="O22" s="5" t="str">
        <f t="shared" si="3"/>
        <v>Moderate</v>
      </c>
      <c r="P22" s="5" t="str">
        <f t="shared" si="4"/>
        <v>Delhi -&gt; Mumbai</v>
      </c>
    </row>
    <row r="23" ht="15.75" customHeight="1">
      <c r="A23" s="5" t="s">
        <v>142</v>
      </c>
      <c r="B23" s="5" t="s">
        <v>143</v>
      </c>
      <c r="C23" s="5" t="s">
        <v>26</v>
      </c>
      <c r="D23" s="5" t="s">
        <v>45</v>
      </c>
      <c r="E23" s="6" t="str">
        <f t="array" ref="E23">IFERROR(INDEX(Airlines!$B:$B,MATCH(D23,Airlines!$A:$A,0)),"")</f>
        <v>Air_India</v>
      </c>
      <c r="F23" s="6" t="str">
        <f>VLOOKUP(A23,Bookings!$A:$F,6,FALSE())</f>
        <v>Business</v>
      </c>
      <c r="G23" s="6" t="str">
        <f t="array" ref="G23">IFERROR(INDEX(Flights!$E:$E,MATCH(B23,Flights!$A:$A,0)),"")</f>
        <v>Delhi</v>
      </c>
      <c r="H23" s="6" t="str">
        <f>VLOOKUP(B23,Flights!A:H,6,FALSE())</f>
        <v>Mumbai</v>
      </c>
      <c r="I23" s="6" t="str">
        <f t="array" ref="I23">IFERROR(INDEX(Bookings!$G:$G,MATCH(B23,Bookings!$B:$B,0)),"")</f>
        <v>1</v>
      </c>
      <c r="J23" s="5">
        <f>VLOOKUP(B23,Bookings!B:H,7,FALSE())</f>
        <v>20.58</v>
      </c>
      <c r="K23" s="5" t="str">
        <f t="shared" si="1"/>
        <v>Long</v>
      </c>
      <c r="L23" s="11">
        <f t="array" ref="L23">IFERROR(INDEX(Bookings!$K:$K,MATCH(A23,Bookings!$A:$A,0)),"")</f>
        <v>32646</v>
      </c>
      <c r="M23" s="5" t="str">
        <f t="shared" si="2"/>
        <v>High</v>
      </c>
      <c r="N23" s="5">
        <f t="array" ref="N23">IFERROR(INDEX(Bookings!$I:$I,MATCH(A23,Bookings!$A:$A,0)),"")</f>
        <v>9</v>
      </c>
      <c r="O23" s="5" t="str">
        <f t="shared" si="3"/>
        <v>Short Notice</v>
      </c>
      <c r="P23" s="5" t="str">
        <f t="shared" si="4"/>
        <v>Delhi -&gt; Mumbai</v>
      </c>
    </row>
    <row r="24" ht="15.75" customHeight="1">
      <c r="A24" s="5" t="s">
        <v>145</v>
      </c>
      <c r="B24" s="5" t="s">
        <v>90</v>
      </c>
      <c r="C24" s="5" t="s">
        <v>26</v>
      </c>
      <c r="D24" s="5" t="s">
        <v>20</v>
      </c>
      <c r="E24" s="6" t="str">
        <f t="array" ref="E24">IFERROR(INDEX(Airlines!$B:$B,MATCH(D24,Airlines!$A:$A,0)),"")</f>
        <v>Vistara</v>
      </c>
      <c r="F24" s="6" t="str">
        <f>VLOOKUP(A24,Bookings!$A:$F,6,FALSE())</f>
        <v>Economy</v>
      </c>
      <c r="G24" s="6" t="str">
        <f t="array" ref="G24">IFERROR(INDEX(Flights!$E:$E,MATCH(B24,Flights!$A:$A,0)),"")</f>
        <v>Delhi</v>
      </c>
      <c r="H24" s="6" t="str">
        <f>VLOOKUP(B24,Flights!A:H,6,FALSE())</f>
        <v>Mumbai</v>
      </c>
      <c r="I24" s="6" t="str">
        <f t="array" ref="I24">IFERROR(INDEX(Bookings!$G:$G,MATCH(B24,Bookings!$B:$B,0)),"")</f>
        <v>1</v>
      </c>
      <c r="J24" s="5">
        <f>VLOOKUP(B24,Bookings!B:H,7,FALSE())</f>
        <v>16.33</v>
      </c>
      <c r="K24" s="5" t="str">
        <f t="shared" si="1"/>
        <v>Long</v>
      </c>
      <c r="L24" s="11">
        <f t="array" ref="L24">IFERROR(INDEX(Bookings!$K:$K,MATCH(A24,Bookings!$A:$A,0)),"")</f>
        <v>5857</v>
      </c>
      <c r="M24" s="5" t="str">
        <f t="shared" si="2"/>
        <v>Medium</v>
      </c>
      <c r="N24" s="5">
        <f t="array" ref="N24">IFERROR(INDEX(Bookings!$I:$I,MATCH(A24,Bookings!$A:$A,0)),"")</f>
        <v>45</v>
      </c>
      <c r="O24" s="5" t="str">
        <f t="shared" si="3"/>
        <v>Advance</v>
      </c>
      <c r="P24" s="5" t="str">
        <f t="shared" si="4"/>
        <v>Delhi -&gt; Mumbai</v>
      </c>
    </row>
    <row r="25" ht="15.75" customHeight="1">
      <c r="A25" s="5" t="s">
        <v>149</v>
      </c>
      <c r="B25" s="5" t="s">
        <v>64</v>
      </c>
      <c r="C25" s="5" t="s">
        <v>26</v>
      </c>
      <c r="D25" s="5" t="s">
        <v>20</v>
      </c>
      <c r="E25" s="6" t="str">
        <f t="array" ref="E25">IFERROR(INDEX(Airlines!$B:$B,MATCH(D25,Airlines!$A:$A,0)),"")</f>
        <v>Vistara</v>
      </c>
      <c r="F25" s="6" t="str">
        <f>VLOOKUP(A25,Bookings!$A:$F,6,FALSE())</f>
        <v>Economy</v>
      </c>
      <c r="G25" s="6" t="str">
        <f t="array" ref="G25">IFERROR(INDEX(Flights!$E:$E,MATCH(B25,Flights!$A:$A,0)),"")</f>
        <v>Delhi</v>
      </c>
      <c r="H25" s="6" t="str">
        <f>VLOOKUP(B25,Flights!A:H,6,FALSE())</f>
        <v>Mumbai</v>
      </c>
      <c r="I25" s="6" t="str">
        <f t="array" ref="I25">IFERROR(INDEX(Bookings!$G:$G,MATCH(B25,Bookings!$B:$B,0)),"")</f>
        <v>1</v>
      </c>
      <c r="J25" s="5">
        <f>VLOOKUP(B25,Bookings!B:H,7,FALSE())</f>
        <v>13.08</v>
      </c>
      <c r="K25" s="5" t="str">
        <f t="shared" si="1"/>
        <v>Long</v>
      </c>
      <c r="L25" s="11">
        <f t="array" ref="L25">IFERROR(INDEX(Bookings!$K:$K,MATCH(A25,Bookings!$A:$A,0)),"")</f>
        <v>5355</v>
      </c>
      <c r="M25" s="5" t="str">
        <f t="shared" si="2"/>
        <v>Medium</v>
      </c>
      <c r="N25" s="5">
        <f t="array" ref="N25">IFERROR(INDEX(Bookings!$I:$I,MATCH(A25,Bookings!$A:$A,0)),"")</f>
        <v>44</v>
      </c>
      <c r="O25" s="5" t="str">
        <f t="shared" si="3"/>
        <v>Advance</v>
      </c>
      <c r="P25" s="5" t="str">
        <f t="shared" si="4"/>
        <v>Delhi -&gt; Mumbai</v>
      </c>
    </row>
    <row r="26" ht="15.75" customHeight="1">
      <c r="A26" s="5" t="s">
        <v>151</v>
      </c>
      <c r="B26" s="5" t="s">
        <v>123</v>
      </c>
      <c r="C26" s="5" t="s">
        <v>26</v>
      </c>
      <c r="D26" s="5" t="s">
        <v>45</v>
      </c>
      <c r="E26" s="6" t="str">
        <f t="array" ref="E26">IFERROR(INDEX(Airlines!$B:$B,MATCH(D26,Airlines!$A:$A,0)),"")</f>
        <v>Air_India</v>
      </c>
      <c r="F26" s="6" t="str">
        <f>VLOOKUP(A26,Bookings!$A:$F,6,FALSE())</f>
        <v>Economy</v>
      </c>
      <c r="G26" s="6" t="str">
        <f t="array" ref="G26">IFERROR(INDEX(Flights!$E:$E,MATCH(B26,Flights!$A:$A,0)),"")</f>
        <v>Delhi</v>
      </c>
      <c r="H26" s="6" t="str">
        <f>VLOOKUP(B26,Flights!A:H,6,FALSE())</f>
        <v>Mumbai</v>
      </c>
      <c r="I26" s="6" t="str">
        <f t="array" ref="I26">IFERROR(INDEX(Bookings!$G:$G,MATCH(B26,Bookings!$B:$B,0)),"")</f>
        <v>1</v>
      </c>
      <c r="J26" s="5">
        <f>VLOOKUP(B26,Bookings!B:H,7,FALSE())</f>
        <v>11</v>
      </c>
      <c r="K26" s="5" t="str">
        <f t="shared" si="1"/>
        <v>Long</v>
      </c>
      <c r="L26" s="11">
        <f t="array" ref="L26">IFERROR(INDEX(Bookings!$K:$K,MATCH(A26,Bookings!$A:$A,0)),"")</f>
        <v>15825</v>
      </c>
      <c r="M26" s="5" t="str">
        <f t="shared" si="2"/>
        <v>High</v>
      </c>
      <c r="N26" s="5">
        <f t="array" ref="N26">IFERROR(INDEX(Bookings!$I:$I,MATCH(A26,Bookings!$A:$A,0)),"")</f>
        <v>4</v>
      </c>
      <c r="O26" s="5" t="str">
        <f t="shared" si="3"/>
        <v>Last Minute</v>
      </c>
      <c r="P26" s="5" t="str">
        <f t="shared" si="4"/>
        <v>Delhi -&gt; Mumbai</v>
      </c>
    </row>
    <row r="27" ht="15.75" customHeight="1">
      <c r="A27" s="5" t="s">
        <v>155</v>
      </c>
      <c r="B27" s="5" t="s">
        <v>156</v>
      </c>
      <c r="C27" s="5" t="s">
        <v>26</v>
      </c>
      <c r="D27" s="5" t="s">
        <v>20</v>
      </c>
      <c r="E27" s="6" t="str">
        <f t="array" ref="E27">IFERROR(INDEX(Airlines!$B:$B,MATCH(D27,Airlines!$A:$A,0)),"")</f>
        <v>Vistara</v>
      </c>
      <c r="F27" s="6" t="str">
        <f>VLOOKUP(A27,Bookings!$A:$F,6,FALSE())</f>
        <v>Business</v>
      </c>
      <c r="G27" s="6" t="str">
        <f t="array" ref="G27">IFERROR(INDEX(Flights!$E:$E,MATCH(B27,Flights!$A:$A,0)),"")</f>
        <v>Delhi</v>
      </c>
      <c r="H27" s="6" t="str">
        <f>VLOOKUP(B27,Flights!A:H,6,FALSE())</f>
        <v>Mumbai</v>
      </c>
      <c r="I27" s="6" t="str">
        <f t="array" ref="I27">IFERROR(INDEX(Bookings!$G:$G,MATCH(B27,Bookings!$B:$B,0)),"")</f>
        <v>1</v>
      </c>
      <c r="J27" s="5">
        <f>VLOOKUP(B27,Bookings!B:H,7,FALSE())</f>
        <v>6.5</v>
      </c>
      <c r="K27" s="5" t="str">
        <f t="shared" si="1"/>
        <v>Medium</v>
      </c>
      <c r="L27" s="11">
        <f t="array" ref="L27">IFERROR(INDEX(Bookings!$K:$K,MATCH(A27,Bookings!$A:$A,0)),"")</f>
        <v>7336</v>
      </c>
      <c r="M27" s="5" t="str">
        <f t="shared" si="2"/>
        <v>Medium</v>
      </c>
      <c r="N27" s="5">
        <f t="array" ref="N27">IFERROR(INDEX(Bookings!$I:$I,MATCH(A27,Bookings!$A:$A,0)),"")</f>
        <v>5</v>
      </c>
      <c r="O27" s="5" t="str">
        <f t="shared" si="3"/>
        <v>Last Minute</v>
      </c>
      <c r="P27" s="5" t="str">
        <f t="shared" si="4"/>
        <v>Delhi -&gt; Mumbai</v>
      </c>
    </row>
    <row r="28" ht="15.75" customHeight="1">
      <c r="A28" s="5" t="s">
        <v>158</v>
      </c>
      <c r="B28" s="5" t="s">
        <v>93</v>
      </c>
      <c r="C28" s="5" t="s">
        <v>26</v>
      </c>
      <c r="D28" s="5" t="s">
        <v>45</v>
      </c>
      <c r="E28" s="6" t="str">
        <f t="array" ref="E28">IFERROR(INDEX(Airlines!$B:$B,MATCH(D28,Airlines!$A:$A,0)),"")</f>
        <v>Air_India</v>
      </c>
      <c r="F28" s="6" t="str">
        <f>VLOOKUP(A28,Bookings!$A:$F,6,FALSE())</f>
        <v>Business</v>
      </c>
      <c r="G28" s="6" t="str">
        <f t="array" ref="G28">IFERROR(INDEX(Flights!$E:$E,MATCH(B28,Flights!$A:$A,0)),"")</f>
        <v>Delhi</v>
      </c>
      <c r="H28" s="6" t="str">
        <f>VLOOKUP(B28,Flights!A:H,6,FALSE())</f>
        <v>Mumbai</v>
      </c>
      <c r="I28" s="6">
        <f t="array" ref="I28">IFERROR(INDEX(Bookings!$G:$G,MATCH(B28,Bookings!$B:$B,0)),"")</f>
        <v>1</v>
      </c>
      <c r="J28" s="5">
        <f>VLOOKUP(B28,Bookings!B:H,7,FALSE())</f>
        <v>8.58</v>
      </c>
      <c r="K28" s="5" t="str">
        <f t="shared" si="1"/>
        <v>Medium</v>
      </c>
      <c r="L28" s="11">
        <f t="array" ref="L28">IFERROR(INDEX(Bookings!$K:$K,MATCH(A28,Bookings!$A:$A,0)),"")</f>
        <v>49896</v>
      </c>
      <c r="M28" s="5" t="str">
        <f t="shared" si="2"/>
        <v>High</v>
      </c>
      <c r="N28" s="5" t="str">
        <f t="array" ref="N28">IFERROR(INDEX(Bookings!$I:$I,MATCH(A28,Bookings!$A:$A,0)),"")</f>
        <v/>
      </c>
      <c r="O28" s="5" t="str">
        <f t="shared" si="3"/>
        <v>Last Minute</v>
      </c>
      <c r="P28" s="5" t="str">
        <f t="shared" si="4"/>
        <v>Delhi -&gt; Mumbai</v>
      </c>
    </row>
    <row r="29" ht="15.75" customHeight="1">
      <c r="A29" s="5" t="s">
        <v>160</v>
      </c>
      <c r="B29" s="5" t="s">
        <v>60</v>
      </c>
      <c r="C29" s="5" t="s">
        <v>26</v>
      </c>
      <c r="D29" s="5" t="s">
        <v>43</v>
      </c>
      <c r="E29" s="6" t="str">
        <f t="array" ref="E29">IFERROR(INDEX(Airlines!$B:$B,MATCH(D29,Airlines!$A:$A,0)),"")</f>
        <v>Indigo</v>
      </c>
      <c r="F29" s="6" t="str">
        <f>VLOOKUP(A29,Bookings!$A:$F,6,FALSE())</f>
        <v>Economy</v>
      </c>
      <c r="G29" s="6" t="str">
        <f t="array" ref="G29">IFERROR(INDEX(Flights!$E:$E,MATCH(B29,Flights!$A:$A,0)),"")</f>
        <v>Delhi</v>
      </c>
      <c r="H29" s="6" t="str">
        <f>VLOOKUP(B29,Flights!A:H,6,FALSE())</f>
        <v>Mumbai</v>
      </c>
      <c r="I29" s="6" t="str">
        <f t="array" ref="I29">IFERROR(INDEX(Bookings!$G:$G,MATCH(B29,Bookings!$B:$B,0)),"")</f>
        <v>0</v>
      </c>
      <c r="J29" s="5">
        <f>VLOOKUP(B29,Bookings!B:H,7,FALSE())</f>
        <v>2.17</v>
      </c>
      <c r="K29" s="5" t="str">
        <f t="shared" si="1"/>
        <v>Short</v>
      </c>
      <c r="L29" s="11">
        <f t="array" ref="L29">IFERROR(INDEX(Bookings!$K:$K,MATCH(A29,Bookings!$A:$A,0)),"")</f>
        <v>2410</v>
      </c>
      <c r="M29" s="5" t="str">
        <f t="shared" si="2"/>
        <v>Low</v>
      </c>
      <c r="N29" s="5">
        <f t="array" ref="N29">IFERROR(INDEX(Bookings!$I:$I,MATCH(A29,Bookings!$A:$A,0)),"")</f>
        <v>39</v>
      </c>
      <c r="O29" s="5" t="str">
        <f t="shared" si="3"/>
        <v>Advance</v>
      </c>
      <c r="P29" s="5" t="str">
        <f t="shared" si="4"/>
        <v>Delhi -&gt; Mumbai</v>
      </c>
    </row>
    <row r="30" ht="15.75" customHeight="1">
      <c r="A30" s="5" t="s">
        <v>165</v>
      </c>
      <c r="B30" s="5" t="s">
        <v>103</v>
      </c>
      <c r="C30" s="5" t="s">
        <v>26</v>
      </c>
      <c r="D30" s="5" t="s">
        <v>43</v>
      </c>
      <c r="E30" s="6" t="str">
        <f t="array" ref="E30">IFERROR(INDEX(Airlines!$B:$B,MATCH(D30,Airlines!$A:$A,0)),"")</f>
        <v>Indigo</v>
      </c>
      <c r="F30" s="6" t="str">
        <f>VLOOKUP(A30,Bookings!$A:$F,6,FALSE())</f>
        <v>Economy</v>
      </c>
      <c r="G30" s="6" t="str">
        <f t="array" ref="G30">IFERROR(INDEX(Flights!$E:$E,MATCH(B30,Flights!$A:$A,0)),"")</f>
        <v>Delhi</v>
      </c>
      <c r="H30" s="6" t="str">
        <f>VLOOKUP(B30,Flights!A:H,6,FALSE())</f>
        <v>Mumbai</v>
      </c>
      <c r="I30" s="6" t="str">
        <f t="array" ref="I30">IFERROR(INDEX(Bookings!$G:$G,MATCH(B30,Bookings!$B:$B,0)),"")</f>
        <v>1</v>
      </c>
      <c r="J30" s="5">
        <f>VLOOKUP(B30,Bookings!B:H,7,FALSE())</f>
        <v>4.92</v>
      </c>
      <c r="K30" s="5" t="str">
        <f t="shared" si="1"/>
        <v>Medium</v>
      </c>
      <c r="L30" s="11">
        <f t="array" ref="L30">IFERROR(INDEX(Bookings!$K:$K,MATCH(A30,Bookings!$A:$A,0)),"")</f>
        <v>3911</v>
      </c>
      <c r="M30" s="5" t="str">
        <f t="shared" si="2"/>
        <v>Low</v>
      </c>
      <c r="N30" s="5" t="str">
        <f t="array" ref="N30">IFERROR(INDEX(Bookings!$I:$I,MATCH(A30,Bookings!$A:$A,0)),"")</f>
        <v/>
      </c>
      <c r="O30" s="5" t="str">
        <f t="shared" si="3"/>
        <v>Last Minute</v>
      </c>
      <c r="P30" s="5" t="str">
        <f t="shared" si="4"/>
        <v>Delhi -&gt; Mumbai</v>
      </c>
    </row>
    <row r="31" ht="15.75" customHeight="1">
      <c r="A31" s="5" t="s">
        <v>168</v>
      </c>
      <c r="B31" s="5" t="s">
        <v>78</v>
      </c>
      <c r="C31" s="5" t="s">
        <v>26</v>
      </c>
      <c r="D31" s="5" t="s">
        <v>58</v>
      </c>
      <c r="E31" s="6" t="str">
        <f t="array" ref="E31">IFERROR(INDEX(Airlines!$B:$B,MATCH(D31,Airlines!$A:$A,0)),"")</f>
        <v>Go_First</v>
      </c>
      <c r="F31" s="6" t="str">
        <f>VLOOKUP(A31,Bookings!$A:$F,6,FALSE())</f>
        <v>Economy</v>
      </c>
      <c r="G31" s="6" t="str">
        <f t="array" ref="G31">IFERROR(INDEX(Flights!$E:$E,MATCH(B31,Flights!$A:$A,0)),"")</f>
        <v>Delhi</v>
      </c>
      <c r="H31" s="6" t="str">
        <f>VLOOKUP(B31,Flights!A:H,6,FALSE())</f>
        <v>Mumbai</v>
      </c>
      <c r="I31" s="6" t="str">
        <f t="array" ref="I31">IFERROR(INDEX(Bookings!$G:$G,MATCH(B31,Bookings!$B:$B,0)),"")</f>
        <v>1</v>
      </c>
      <c r="J31" s="5">
        <f>VLOOKUP(B31,Bookings!B:H,7,FALSE())</f>
        <v>9.33</v>
      </c>
      <c r="K31" s="5" t="str">
        <f t="shared" si="1"/>
        <v>Medium</v>
      </c>
      <c r="L31" s="11">
        <f t="array" ref="L31">IFERROR(INDEX(Bookings!$K:$K,MATCH(A31,Bookings!$A:$A,0)),"")</f>
        <v>3330</v>
      </c>
      <c r="M31" s="5" t="str">
        <f t="shared" si="2"/>
        <v>Low</v>
      </c>
      <c r="N31" s="5">
        <f t="array" ref="N31">IFERROR(INDEX(Bookings!$I:$I,MATCH(A31,Bookings!$A:$A,0)),"")</f>
        <v>36</v>
      </c>
      <c r="O31" s="5" t="str">
        <f t="shared" si="3"/>
        <v>Advance</v>
      </c>
      <c r="P31" s="5" t="str">
        <f t="shared" si="4"/>
        <v>Delhi -&gt; Mumbai</v>
      </c>
    </row>
    <row r="32" ht="15.75" customHeight="1">
      <c r="A32" s="5" t="s">
        <v>171</v>
      </c>
      <c r="B32" s="5" t="s">
        <v>135</v>
      </c>
      <c r="C32" s="5" t="s">
        <v>26</v>
      </c>
      <c r="D32" s="5" t="s">
        <v>43</v>
      </c>
      <c r="E32" s="6" t="str">
        <f t="array" ref="E32">IFERROR(INDEX(Airlines!$B:$B,MATCH(D32,Airlines!$A:$A,0)),"")</f>
        <v>Indigo</v>
      </c>
      <c r="F32" s="6" t="str">
        <f>VLOOKUP(A32,Bookings!$A:$F,6,FALSE())</f>
        <v>Economy</v>
      </c>
      <c r="G32" s="6" t="str">
        <f t="array" ref="G32">IFERROR(INDEX(Flights!$E:$E,MATCH(B32,Flights!$A:$A,0)),"")</f>
        <v>Delhi</v>
      </c>
      <c r="H32" s="6" t="str">
        <f>VLOOKUP(B32,Flights!A:H,6,FALSE())</f>
        <v>Mumbai</v>
      </c>
      <c r="I32" s="6" t="str">
        <f t="array" ref="I32">IFERROR(INDEX(Bookings!$G:$G,MATCH(B32,Bookings!$B:$B,0)),"")</f>
        <v>0</v>
      </c>
      <c r="J32" s="5">
        <f>VLOOKUP(B32,Bookings!B:H,7,FALSE())</f>
        <v>2.17</v>
      </c>
      <c r="K32" s="5" t="str">
        <f t="shared" si="1"/>
        <v>Short</v>
      </c>
      <c r="L32" s="11">
        <f t="array" ref="L32">IFERROR(INDEX(Bookings!$K:$K,MATCH(A32,Bookings!$A:$A,0)),"")</f>
        <v>2410</v>
      </c>
      <c r="M32" s="5" t="str">
        <f t="shared" si="2"/>
        <v>Low</v>
      </c>
      <c r="N32" s="5">
        <f t="array" ref="N32">IFERROR(INDEX(Bookings!$I:$I,MATCH(A32,Bookings!$A:$A,0)),"")</f>
        <v>27</v>
      </c>
      <c r="O32" s="5" t="str">
        <f t="shared" si="3"/>
        <v>Moderate</v>
      </c>
      <c r="P32" s="5" t="str">
        <f t="shared" si="4"/>
        <v>Delhi -&gt; Mumbai</v>
      </c>
    </row>
    <row r="33" ht="15.75" customHeight="1">
      <c r="A33" s="5" t="s">
        <v>176</v>
      </c>
      <c r="B33" s="5" t="s">
        <v>146</v>
      </c>
      <c r="C33" s="5" t="s">
        <v>26</v>
      </c>
      <c r="D33" s="5" t="s">
        <v>43</v>
      </c>
      <c r="E33" s="6" t="str">
        <f t="array" ref="E33">IFERROR(INDEX(Airlines!$B:$B,MATCH(D33,Airlines!$A:$A,0)),"")</f>
        <v>Indigo</v>
      </c>
      <c r="F33" s="6" t="str">
        <f>VLOOKUP(A33,Bookings!$A:$F,6,FALSE())</f>
        <v>Economy</v>
      </c>
      <c r="G33" s="6" t="str">
        <f t="array" ref="G33">IFERROR(INDEX(Flights!$E:$E,MATCH(B33,Flights!$A:$A,0)),"")</f>
        <v>Delhi</v>
      </c>
      <c r="H33" s="6" t="str">
        <f>VLOOKUP(B33,Flights!A:H,6,FALSE())</f>
        <v>Mumbai</v>
      </c>
      <c r="I33" s="6" t="str">
        <f t="array" ref="I33">IFERROR(INDEX(Bookings!$G:$G,MATCH(B33,Bookings!$B:$B,0)),"")</f>
        <v>1</v>
      </c>
      <c r="J33" s="5">
        <f>VLOOKUP(B33,Bookings!B:H,7,FALSE())</f>
        <v>10</v>
      </c>
      <c r="K33" s="5" t="str">
        <f t="shared" si="1"/>
        <v>Medium</v>
      </c>
      <c r="L33" s="11">
        <f t="array" ref="L33">IFERROR(INDEX(Bookings!$K:$K,MATCH(A33,Bookings!$A:$A,0)),"")</f>
        <v>4373</v>
      </c>
      <c r="M33" s="5" t="str">
        <f t="shared" si="2"/>
        <v>Low</v>
      </c>
      <c r="N33" s="5">
        <f t="array" ref="N33">IFERROR(INDEX(Bookings!$I:$I,MATCH(A33,Bookings!$A:$A,0)),"")</f>
        <v>44</v>
      </c>
      <c r="O33" s="5" t="str">
        <f t="shared" si="3"/>
        <v>Advance</v>
      </c>
      <c r="P33" s="5" t="str">
        <f t="shared" si="4"/>
        <v>Delhi -&gt; Mumbai</v>
      </c>
    </row>
    <row r="34" ht="15.75" customHeight="1">
      <c r="A34" s="5" t="s">
        <v>183</v>
      </c>
      <c r="B34" s="5" t="s">
        <v>70</v>
      </c>
      <c r="C34" s="5" t="s">
        <v>26</v>
      </c>
      <c r="D34" s="5" t="s">
        <v>58</v>
      </c>
      <c r="E34" s="6" t="str">
        <f t="array" ref="E34">IFERROR(INDEX(Airlines!$B:$B,MATCH(D34,Airlines!$A:$A,0)),"")</f>
        <v>Go_First</v>
      </c>
      <c r="F34" s="6" t="str">
        <f>VLOOKUP(A34,Bookings!$A:$F,6,FALSE())</f>
        <v>Economy</v>
      </c>
      <c r="G34" s="6" t="str">
        <f t="array" ref="G34">IFERROR(INDEX(Flights!$E:$E,MATCH(B34,Flights!$A:$A,0)),"")</f>
        <v>Delhi</v>
      </c>
      <c r="H34" s="6" t="str">
        <f>VLOOKUP(B34,Flights!A:H,6,FALSE())</f>
        <v>Mumbai</v>
      </c>
      <c r="I34" s="6" t="str">
        <f t="array" ref="I34">IFERROR(INDEX(Bookings!$G:$G,MATCH(B34,Bookings!$B:$B,0)),"")</f>
        <v>1</v>
      </c>
      <c r="J34" s="5">
        <f>VLOOKUP(B34,Bookings!B:H,7,FALSE())</f>
        <v>12.75</v>
      </c>
      <c r="K34" s="5" t="str">
        <f t="shared" si="1"/>
        <v>Long</v>
      </c>
      <c r="L34" s="11">
        <f t="array" ref="L34">IFERROR(INDEX(Bookings!$K:$K,MATCH(A34,Bookings!$A:$A,0)),"")</f>
        <v>6146</v>
      </c>
      <c r="M34" s="5" t="str">
        <f t="shared" si="2"/>
        <v>Medium</v>
      </c>
      <c r="N34" s="5">
        <f t="array" ref="N34">IFERROR(INDEX(Bookings!$I:$I,MATCH(A34,Bookings!$A:$A,0)),"")</f>
        <v>44</v>
      </c>
      <c r="O34" s="5" t="str">
        <f t="shared" si="3"/>
        <v>Advance</v>
      </c>
      <c r="P34" s="5" t="str">
        <f t="shared" si="4"/>
        <v>Delhi -&gt; Mumbai</v>
      </c>
    </row>
    <row r="35" ht="15.75" customHeight="1">
      <c r="A35" s="5" t="s">
        <v>186</v>
      </c>
      <c r="B35" s="5" t="s">
        <v>153</v>
      </c>
      <c r="C35" s="5" t="s">
        <v>26</v>
      </c>
      <c r="D35" s="5" t="s">
        <v>43</v>
      </c>
      <c r="E35" s="6" t="str">
        <f t="array" ref="E35">IFERROR(INDEX(Airlines!$B:$B,MATCH(D35,Airlines!$A:$A,0)),"")</f>
        <v>Indigo</v>
      </c>
      <c r="F35" s="6" t="str">
        <f>VLOOKUP(A35,Bookings!$A:$F,6,FALSE())</f>
        <v>Economy</v>
      </c>
      <c r="G35" s="6" t="str">
        <f t="array" ref="G35">IFERROR(INDEX(Flights!$E:$E,MATCH(B35,Flights!$A:$A,0)),"")</f>
        <v>Delhi</v>
      </c>
      <c r="H35" s="6" t="str">
        <f>VLOOKUP(B35,Flights!A:H,6,FALSE())</f>
        <v>Mumbai</v>
      </c>
      <c r="I35" s="6" t="str">
        <f t="array" ref="I35">IFERROR(INDEX(Bookings!$G:$G,MATCH(B35,Bookings!$B:$B,0)),"")</f>
        <v>0</v>
      </c>
      <c r="J35" s="5">
        <f>VLOOKUP(B35,Bookings!B:H,7,FALSE())</f>
        <v>2.17</v>
      </c>
      <c r="K35" s="5" t="str">
        <f t="shared" si="1"/>
        <v>Short</v>
      </c>
      <c r="L35" s="11">
        <f t="array" ref="L35">IFERROR(INDEX(Bookings!$K:$K,MATCH(A35,Bookings!$A:$A,0)),"")</f>
        <v>2410</v>
      </c>
      <c r="M35" s="5" t="str">
        <f t="shared" si="2"/>
        <v>Low</v>
      </c>
      <c r="N35" s="5">
        <f t="array" ref="N35">IFERROR(INDEX(Bookings!$I:$I,MATCH(A35,Bookings!$A:$A,0)),"")</f>
        <v>46</v>
      </c>
      <c r="O35" s="5" t="str">
        <f t="shared" si="3"/>
        <v>Advance</v>
      </c>
      <c r="P35" s="5" t="str">
        <f t="shared" si="4"/>
        <v>Delhi -&gt; Mumbai</v>
      </c>
    </row>
    <row r="36" ht="15.75" customHeight="1">
      <c r="A36" s="5" t="s">
        <v>190</v>
      </c>
      <c r="B36" s="5" t="s">
        <v>105</v>
      </c>
      <c r="C36" s="5" t="s">
        <v>26</v>
      </c>
      <c r="D36" s="5" t="s">
        <v>58</v>
      </c>
      <c r="E36" s="6" t="str">
        <f t="array" ref="E36">IFERROR(INDEX(Airlines!$B:$B,MATCH(D36,Airlines!$A:$A,0)),"")</f>
        <v>Go_First</v>
      </c>
      <c r="F36" s="6" t="str">
        <f>VLOOKUP(A36,Bookings!$A:$F,6,FALSE())</f>
        <v>Economy</v>
      </c>
      <c r="G36" s="6" t="str">
        <f t="array" ref="G36">IFERROR(INDEX(Flights!$E:$E,MATCH(B36,Flights!$A:$A,0)),"")</f>
        <v>Delhi</v>
      </c>
      <c r="H36" s="6" t="str">
        <f>VLOOKUP(B36,Flights!A:H,6,FALSE())</f>
        <v>Mumbai</v>
      </c>
      <c r="I36" s="6" t="str">
        <f t="array" ref="I36">IFERROR(INDEX(Bookings!$G:$G,MATCH(B36,Bookings!$B:$B,0)),"")</f>
        <v>0</v>
      </c>
      <c r="J36" s="5">
        <f>VLOOKUP(B36,Bookings!B:H,7,FALSE())</f>
        <v>2.25</v>
      </c>
      <c r="K36" s="5" t="str">
        <f t="shared" si="1"/>
        <v>Short</v>
      </c>
      <c r="L36" s="11">
        <f t="array" ref="L36">IFERROR(INDEX(Bookings!$K:$K,MATCH(A36,Bookings!$A:$A,0)),"")</f>
        <v>2410</v>
      </c>
      <c r="M36" s="5" t="str">
        <f t="shared" si="2"/>
        <v>Low</v>
      </c>
      <c r="N36" s="5">
        <f t="array" ref="N36">IFERROR(INDEX(Bookings!$I:$I,MATCH(A36,Bookings!$A:$A,0)),"")</f>
        <v>46</v>
      </c>
      <c r="O36" s="5" t="str">
        <f t="shared" si="3"/>
        <v>Advance</v>
      </c>
      <c r="P36" s="5" t="str">
        <f t="shared" si="4"/>
        <v>Delhi -&gt; Mumbai</v>
      </c>
    </row>
    <row r="37" ht="15.75" customHeight="1">
      <c r="A37" s="5" t="s">
        <v>194</v>
      </c>
      <c r="B37" s="5" t="s">
        <v>67</v>
      </c>
      <c r="C37" s="5" t="s">
        <v>26</v>
      </c>
      <c r="D37" s="5" t="s">
        <v>58</v>
      </c>
      <c r="E37" s="6" t="str">
        <f t="array" ref="E37">IFERROR(INDEX(Airlines!$B:$B,MATCH(D37,Airlines!$A:$A,0)),"")</f>
        <v>Go_First</v>
      </c>
      <c r="F37" s="6" t="str">
        <f>VLOOKUP(A37,Bookings!$A:$F,6,FALSE())</f>
        <v>Economy</v>
      </c>
      <c r="G37" s="6" t="str">
        <f t="array" ref="G37">IFERROR(INDEX(Flights!$E:$E,MATCH(B37,Flights!$A:$A,0)),"")</f>
        <v>Delhi</v>
      </c>
      <c r="H37" s="6" t="str">
        <f>VLOOKUP(B37,Flights!A:H,6,FALSE())</f>
        <v>Mumbai</v>
      </c>
      <c r="I37" s="6" t="str">
        <f t="array" ref="I37">IFERROR(INDEX(Bookings!$G:$G,MATCH(B37,Bookings!$B:$B,0)),"")</f>
        <v>1</v>
      </c>
      <c r="J37" s="5">
        <f>VLOOKUP(B37,Bookings!B:H,7,FALSE())</f>
        <v>5.92</v>
      </c>
      <c r="K37" s="5" t="str">
        <f t="shared" si="1"/>
        <v>Medium</v>
      </c>
      <c r="L37" s="11">
        <f t="array" ref="L37">IFERROR(INDEX(Bookings!$K:$K,MATCH(A37,Bookings!$A:$A,0)),"")</f>
        <v>3330</v>
      </c>
      <c r="M37" s="5" t="str">
        <f t="shared" si="2"/>
        <v>Low</v>
      </c>
      <c r="N37" s="5">
        <f t="array" ref="N37">IFERROR(INDEX(Bookings!$I:$I,MATCH(A37,Bookings!$A:$A,0)),"")</f>
        <v>46</v>
      </c>
      <c r="O37" s="5" t="str">
        <f t="shared" si="3"/>
        <v>Advance</v>
      </c>
      <c r="P37" s="5" t="str">
        <f t="shared" si="4"/>
        <v>Delhi -&gt; Mumbai</v>
      </c>
    </row>
    <row r="38" ht="15.75" customHeight="1">
      <c r="A38" s="5" t="s">
        <v>198</v>
      </c>
      <c r="B38" s="5" t="s">
        <v>110</v>
      </c>
      <c r="C38" s="5" t="s">
        <v>26</v>
      </c>
      <c r="D38" s="5" t="s">
        <v>43</v>
      </c>
      <c r="E38" s="6" t="str">
        <f t="array" ref="E38">IFERROR(INDEX(Airlines!$B:$B,MATCH(D38,Airlines!$A:$A,0)),"")</f>
        <v>Indigo</v>
      </c>
      <c r="F38" s="6" t="str">
        <f>VLOOKUP(A38,Bookings!$A:$F,6,FALSE())</f>
        <v>Economy</v>
      </c>
      <c r="G38" s="6" t="str">
        <f t="array" ref="G38">IFERROR(INDEX(Flights!$E:$E,MATCH(B38,Flights!$A:$A,0)),"")</f>
        <v>Delhi</v>
      </c>
      <c r="H38" s="6" t="str">
        <f>VLOOKUP(B38,Flights!A:H,6,FALSE())</f>
        <v>Mumbai</v>
      </c>
      <c r="I38" s="6" t="str">
        <f t="array" ref="I38">IFERROR(INDEX(Bookings!$G:$G,MATCH(B38,Bookings!$B:$B,0)),"")</f>
        <v>1</v>
      </c>
      <c r="J38" s="5">
        <f>VLOOKUP(B38,Bookings!B:H,7,FALSE())</f>
        <v>7.5</v>
      </c>
      <c r="K38" s="5" t="str">
        <f t="shared" si="1"/>
        <v>Medium</v>
      </c>
      <c r="L38" s="11">
        <f t="array" ref="L38">IFERROR(INDEX(Bookings!$K:$K,MATCH(A38,Bookings!$A:$A,0)),"")</f>
        <v>2381</v>
      </c>
      <c r="M38" s="5" t="str">
        <f t="shared" si="2"/>
        <v>Low</v>
      </c>
      <c r="N38" s="5" t="str">
        <f t="array" ref="N38">IFERROR(INDEX(Bookings!$I:$I,MATCH(A38,Bookings!$A:$A,0)),"")</f>
        <v/>
      </c>
      <c r="O38" s="5" t="str">
        <f t="shared" si="3"/>
        <v>Last Minute</v>
      </c>
      <c r="P38" s="5" t="str">
        <f t="shared" si="4"/>
        <v>Delhi -&gt; Mumbai</v>
      </c>
    </row>
    <row r="39" ht="15.75" customHeight="1">
      <c r="A39" s="5" t="s">
        <v>206</v>
      </c>
      <c r="B39" s="5" t="s">
        <v>139</v>
      </c>
      <c r="C39" s="5" t="s">
        <v>26</v>
      </c>
      <c r="D39" s="5" t="s">
        <v>43</v>
      </c>
      <c r="E39" s="6" t="str">
        <f t="array" ref="E39">IFERROR(INDEX(Airlines!$B:$B,MATCH(D39,Airlines!$A:$A,0)),"")</f>
        <v>Indigo</v>
      </c>
      <c r="F39" s="6" t="str">
        <f>VLOOKUP(A39,Bookings!$A:$F,6,FALSE())</f>
        <v>Economy</v>
      </c>
      <c r="G39" s="6" t="str">
        <f t="array" ref="G39">IFERROR(INDEX(Flights!$E:$E,MATCH(B39,Flights!$A:$A,0)),"")</f>
        <v>Delhi</v>
      </c>
      <c r="H39" s="6" t="str">
        <f>VLOOKUP(B39,Flights!A:H,6,FALSE())</f>
        <v>Mumbai</v>
      </c>
      <c r="I39" s="6" t="str">
        <f t="array" ref="I39">IFERROR(INDEX(Bookings!$G:$G,MATCH(B39,Bookings!$B:$B,0)),"")</f>
        <v>0</v>
      </c>
      <c r="J39" s="5">
        <f>VLOOKUP(B39,Bookings!B:H,7,FALSE())</f>
        <v>2.08</v>
      </c>
      <c r="K39" s="5" t="str">
        <f t="shared" si="1"/>
        <v>Short</v>
      </c>
      <c r="L39" s="11">
        <f t="array" ref="L39">IFERROR(INDEX(Bookings!$K:$K,MATCH(A39,Bookings!$A:$A,0)),"")</f>
        <v>3159</v>
      </c>
      <c r="M39" s="5" t="str">
        <f t="shared" si="2"/>
        <v>Low</v>
      </c>
      <c r="N39" s="5">
        <f t="array" ref="N39">IFERROR(INDEX(Bookings!$I:$I,MATCH(A39,Bookings!$A:$A,0)),"")</f>
        <v>46</v>
      </c>
      <c r="O39" s="5" t="str">
        <f t="shared" si="3"/>
        <v>Advance</v>
      </c>
      <c r="P39" s="5" t="str">
        <f t="shared" si="4"/>
        <v>Delhi -&gt; Mumbai</v>
      </c>
    </row>
    <row r="40" ht="15.75" customHeight="1">
      <c r="A40" s="5" t="s">
        <v>209</v>
      </c>
      <c r="B40" s="5" t="s">
        <v>98</v>
      </c>
      <c r="C40" s="5" t="s">
        <v>26</v>
      </c>
      <c r="D40" s="5" t="s">
        <v>58</v>
      </c>
      <c r="E40" s="6" t="str">
        <f t="array" ref="E40">IFERROR(INDEX(Airlines!$B:$B,MATCH(D40,Airlines!$A:$A,0)),"")</f>
        <v>Go_First</v>
      </c>
      <c r="F40" s="6" t="str">
        <f>VLOOKUP(A40,Bookings!$A:$F,6,FALSE())</f>
        <v>Economy</v>
      </c>
      <c r="G40" s="6" t="str">
        <f t="array" ref="G40">IFERROR(INDEX(Flights!$E:$E,MATCH(B40,Flights!$A:$A,0)),"")</f>
        <v>Delhi</v>
      </c>
      <c r="H40" s="6" t="str">
        <f>VLOOKUP(B40,Flights!A:H,6,FALSE())</f>
        <v>Mumbai</v>
      </c>
      <c r="I40" s="6" t="str">
        <f t="array" ref="I40">IFERROR(INDEX(Bookings!$G:$G,MATCH(B40,Bookings!$B:$B,0)),"")</f>
        <v>1</v>
      </c>
      <c r="J40" s="5">
        <f>VLOOKUP(B40,Bookings!B:H,7,FALSE())</f>
        <v>4.92</v>
      </c>
      <c r="K40" s="5" t="str">
        <f t="shared" si="1"/>
        <v>Medium</v>
      </c>
      <c r="L40" s="11">
        <f t="array" ref="L40">IFERROR(INDEX(Bookings!$K:$K,MATCH(A40,Bookings!$A:$A,0)),"")</f>
        <v>4399</v>
      </c>
      <c r="M40" s="5" t="str">
        <f t="shared" si="2"/>
        <v>Low</v>
      </c>
      <c r="N40" s="5">
        <f t="array" ref="N40">IFERROR(INDEX(Bookings!$I:$I,MATCH(A40,Bookings!$A:$A,0)),"")</f>
        <v>47</v>
      </c>
      <c r="O40" s="5" t="str">
        <f t="shared" si="3"/>
        <v>Advance</v>
      </c>
      <c r="P40" s="5" t="str">
        <f t="shared" si="4"/>
        <v>Delhi -&gt; Mumbai</v>
      </c>
    </row>
    <row r="41" ht="15.75" customHeight="1">
      <c r="A41" s="5" t="s">
        <v>212</v>
      </c>
      <c r="B41" s="5" t="s">
        <v>213</v>
      </c>
      <c r="C41" s="5" t="s">
        <v>108</v>
      </c>
      <c r="D41" s="5" t="s">
        <v>20</v>
      </c>
      <c r="E41" s="6" t="str">
        <f t="array" ref="E41">IFERROR(INDEX(Airlines!$B:$B,MATCH(D41,Airlines!$A:$A,0)),"")</f>
        <v>Vistara</v>
      </c>
      <c r="F41" s="6" t="str">
        <f>VLOOKUP(A41,Bookings!$A:$F,6,FALSE())</f>
        <v>Business</v>
      </c>
      <c r="G41" s="6" t="str">
        <f t="array" ref="G41">IFERROR(INDEX(Flights!$E:$E,MATCH(B41,Flights!$A:$A,0)),"")</f>
        <v>Delhi</v>
      </c>
      <c r="H41" s="6" t="str">
        <f>VLOOKUP(B41,Flights!A:H,6,FALSE())</f>
        <v>Bengaluru</v>
      </c>
      <c r="I41" s="6" t="str">
        <f t="array" ref="I41">IFERROR(INDEX(Bookings!$G:$G,MATCH(B41,Bookings!$B:$B,0)),"")</f>
        <v>0</v>
      </c>
      <c r="J41" s="5">
        <f>VLOOKUP(B41,Bookings!B:H,7,FALSE())</f>
        <v>2.75</v>
      </c>
      <c r="K41" s="5" t="str">
        <f t="shared" si="1"/>
        <v>Short</v>
      </c>
      <c r="L41" s="11">
        <f t="array" ref="L41">IFERROR(INDEX(Bookings!$K:$K,MATCH(A41,Bookings!$A:$A,0)),"")</f>
        <v>32859</v>
      </c>
      <c r="M41" s="5" t="str">
        <f t="shared" si="2"/>
        <v>High</v>
      </c>
      <c r="N41" s="5">
        <f t="array" ref="N41">IFERROR(INDEX(Bookings!$I:$I,MATCH(A41,Bookings!$A:$A,0)),"")</f>
        <v>33</v>
      </c>
      <c r="O41" s="5" t="str">
        <f t="shared" si="3"/>
        <v>Advance</v>
      </c>
      <c r="P41" s="5" t="str">
        <f t="shared" si="4"/>
        <v>Delhi -&gt; Bengaluru</v>
      </c>
    </row>
    <row r="42" ht="15.75" customHeight="1">
      <c r="A42" s="5" t="s">
        <v>216</v>
      </c>
      <c r="B42" s="5" t="s">
        <v>217</v>
      </c>
      <c r="C42" s="5" t="s">
        <v>108</v>
      </c>
      <c r="D42" s="5" t="s">
        <v>43</v>
      </c>
      <c r="E42" s="6" t="str">
        <f t="array" ref="E42">IFERROR(INDEX(Airlines!$B:$B,MATCH(D42,Airlines!$A:$A,0)),"")</f>
        <v>Indigo</v>
      </c>
      <c r="F42" s="6" t="str">
        <f>VLOOKUP(A42,Bookings!$A:$F,6,FALSE())</f>
        <v>Economy</v>
      </c>
      <c r="G42" s="6" t="str">
        <f t="array" ref="G42">IFERROR(INDEX(Flights!$E:$E,MATCH(B42,Flights!$A:$A,0)),"")</f>
        <v>Delhi</v>
      </c>
      <c r="H42" s="6" t="str">
        <f>VLOOKUP(B42,Flights!A:H,6,FALSE())</f>
        <v>Bengaluru</v>
      </c>
      <c r="I42" s="6" t="str">
        <f t="array" ref="I42">IFERROR(INDEX(Bookings!$G:$G,MATCH(B42,Bookings!$B:$B,0)),"")</f>
        <v>0</v>
      </c>
      <c r="J42" s="5">
        <f>VLOOKUP(B42,Bookings!B:H,7,FALSE())</f>
        <v>2.92</v>
      </c>
      <c r="K42" s="5" t="str">
        <f t="shared" si="1"/>
        <v>Short</v>
      </c>
      <c r="L42" s="11">
        <f t="array" ref="L42">IFERROR(INDEX(Bookings!$K:$K,MATCH(A42,Bookings!$A:$A,0)),"")</f>
        <v>7425</v>
      </c>
      <c r="M42" s="5" t="str">
        <f t="shared" si="2"/>
        <v>Medium</v>
      </c>
      <c r="N42" s="5">
        <f t="array" ref="N42">IFERROR(INDEX(Bookings!$I:$I,MATCH(A42,Bookings!$A:$A,0)),"")</f>
        <v>14</v>
      </c>
      <c r="O42" s="5" t="str">
        <f t="shared" si="3"/>
        <v>Short Notice</v>
      </c>
      <c r="P42" s="5" t="str">
        <f t="shared" si="4"/>
        <v>Delhi -&gt; Bengaluru</v>
      </c>
    </row>
    <row r="43" ht="15.75" customHeight="1">
      <c r="A43" s="5" t="s">
        <v>221</v>
      </c>
      <c r="B43" s="5" t="s">
        <v>222</v>
      </c>
      <c r="C43" s="5" t="s">
        <v>108</v>
      </c>
      <c r="D43" s="5" t="s">
        <v>20</v>
      </c>
      <c r="E43" s="6" t="str">
        <f t="array" ref="E43">IFERROR(INDEX(Airlines!$B:$B,MATCH(D43,Airlines!$A:$A,0)),"")</f>
        <v>Vistara</v>
      </c>
      <c r="F43" s="6" t="str">
        <f>VLOOKUP(A43,Bookings!$A:$F,6,FALSE())</f>
        <v>Economy</v>
      </c>
      <c r="G43" s="6" t="str">
        <f t="array" ref="G43">IFERROR(INDEX(Flights!$E:$E,MATCH(B43,Flights!$A:$A,0)),"")</f>
        <v>Delhi</v>
      </c>
      <c r="H43" s="6" t="str">
        <f>VLOOKUP(B43,Flights!A:H,6,FALSE())</f>
        <v>Bengaluru</v>
      </c>
      <c r="I43" s="6" t="str">
        <f t="array" ref="I43">IFERROR(INDEX(Bookings!$G:$G,MATCH(B43,Bookings!$B:$B,0)),"")</f>
        <v>1</v>
      </c>
      <c r="J43" s="5">
        <f>VLOOKUP(B43,Bookings!B:H,7,FALSE())</f>
        <v>23.08</v>
      </c>
      <c r="K43" s="5" t="str">
        <f t="shared" si="1"/>
        <v>Long</v>
      </c>
      <c r="L43" s="11">
        <f t="array" ref="L43">IFERROR(INDEX(Bookings!$K:$K,MATCH(A43,Bookings!$A:$A,0)),"")</f>
        <v>10785</v>
      </c>
      <c r="M43" s="5" t="str">
        <f t="shared" si="2"/>
        <v>Medium</v>
      </c>
      <c r="N43" s="5">
        <f t="array" ref="N43">IFERROR(INDEX(Bookings!$I:$I,MATCH(A43,Bookings!$A:$A,0)),"")</f>
        <v>1</v>
      </c>
      <c r="O43" s="5" t="str">
        <f t="shared" si="3"/>
        <v>Last Minute</v>
      </c>
      <c r="P43" s="5" t="str">
        <f t="shared" si="4"/>
        <v>Delhi -&gt; Bengaluru</v>
      </c>
    </row>
    <row r="44" ht="15.75" customHeight="1">
      <c r="A44" s="5" t="s">
        <v>224</v>
      </c>
      <c r="B44" s="5" t="s">
        <v>225</v>
      </c>
      <c r="C44" s="5" t="s">
        <v>108</v>
      </c>
      <c r="D44" s="5" t="s">
        <v>58</v>
      </c>
      <c r="E44" s="6" t="str">
        <f t="array" ref="E44">IFERROR(INDEX(Airlines!$B:$B,MATCH(D44,Airlines!$A:$A,0)),"")</f>
        <v>Go_First</v>
      </c>
      <c r="F44" s="6" t="str">
        <f>VLOOKUP(A44,Bookings!$A:$F,6,FALSE())</f>
        <v>Economy</v>
      </c>
      <c r="G44" s="6" t="str">
        <f t="array" ref="G44">IFERROR(INDEX(Flights!$E:$E,MATCH(B44,Flights!$A:$A,0)),"")</f>
        <v>Delhi</v>
      </c>
      <c r="H44" s="6" t="str">
        <f>VLOOKUP(B44,Flights!A:H,6,FALSE())</f>
        <v>Bengaluru</v>
      </c>
      <c r="I44" s="6" t="str">
        <f t="array" ref="I44">IFERROR(INDEX(Bookings!$G:$G,MATCH(B44,Bookings!$B:$B,0)),"")</f>
        <v>1</v>
      </c>
      <c r="J44" s="5">
        <f>VLOOKUP(B44,Bookings!B:H,7,FALSE())</f>
        <v>10.08</v>
      </c>
      <c r="K44" s="5" t="str">
        <f t="shared" si="1"/>
        <v>Long</v>
      </c>
      <c r="L44" s="11">
        <f t="array" ref="L44">IFERROR(INDEX(Bookings!$K:$K,MATCH(A44,Bookings!$A:$A,0)),"")</f>
        <v>14199</v>
      </c>
      <c r="M44" s="5" t="str">
        <f t="shared" si="2"/>
        <v>Medium</v>
      </c>
      <c r="N44" s="5">
        <f t="array" ref="N44">IFERROR(INDEX(Bookings!$I:$I,MATCH(A44,Bookings!$A:$A,0)),"")</f>
        <v>1</v>
      </c>
      <c r="O44" s="5" t="str">
        <f t="shared" si="3"/>
        <v>Last Minute</v>
      </c>
      <c r="P44" s="5" t="str">
        <f t="shared" si="4"/>
        <v>Delhi -&gt; Bengaluru</v>
      </c>
    </row>
    <row r="45" ht="15.75" customHeight="1">
      <c r="A45" s="5" t="s">
        <v>228</v>
      </c>
      <c r="B45" s="5" t="s">
        <v>229</v>
      </c>
      <c r="C45" s="5" t="s">
        <v>108</v>
      </c>
      <c r="D45" s="5" t="s">
        <v>58</v>
      </c>
      <c r="E45" s="6" t="str">
        <f t="array" ref="E45">IFERROR(INDEX(Airlines!$B:$B,MATCH(D45,Airlines!$A:$A,0)),"")</f>
        <v>Go_First</v>
      </c>
      <c r="F45" s="6" t="str">
        <f>VLOOKUP(A45,Bookings!$A:$F,6,FALSE())</f>
        <v>Economy</v>
      </c>
      <c r="G45" s="6" t="str">
        <f t="array" ref="G45">IFERROR(INDEX(Flights!$E:$E,MATCH(B45,Flights!$A:$A,0)),"")</f>
        <v>Delhi</v>
      </c>
      <c r="H45" s="6" t="str">
        <f>VLOOKUP(B45,Flights!A:H,6,FALSE())</f>
        <v>Bengaluru</v>
      </c>
      <c r="I45" s="6">
        <f t="array" ref="I45">IFERROR(INDEX(Bookings!$G:$G,MATCH(B45,Bookings!$B:$B,0)),"")</f>
        <v>1</v>
      </c>
      <c r="J45" s="5">
        <f>VLOOKUP(B45,Bookings!B:H,7,FALSE())</f>
        <v>6.92</v>
      </c>
      <c r="K45" s="5" t="str">
        <f t="shared" si="1"/>
        <v>Medium</v>
      </c>
      <c r="L45" s="11">
        <f t="array" ref="L45">IFERROR(INDEX(Bookings!$K:$K,MATCH(A45,Bookings!$A:$A,0)),"")</f>
        <v>16035</v>
      </c>
      <c r="M45" s="5" t="str">
        <f t="shared" si="2"/>
        <v>High</v>
      </c>
      <c r="N45" s="5">
        <f t="array" ref="N45">IFERROR(INDEX(Bookings!$I:$I,MATCH(A45,Bookings!$A:$A,0)),"")</f>
        <v>1</v>
      </c>
      <c r="O45" s="5" t="str">
        <f t="shared" si="3"/>
        <v>Last Minute</v>
      </c>
      <c r="P45" s="5" t="str">
        <f t="shared" si="4"/>
        <v>Delhi -&gt; Bengaluru</v>
      </c>
    </row>
    <row r="46" ht="15.75" customHeight="1">
      <c r="A46" s="5" t="s">
        <v>233</v>
      </c>
      <c r="B46" s="5" t="s">
        <v>235</v>
      </c>
      <c r="C46" s="5" t="s">
        <v>108</v>
      </c>
      <c r="D46" s="5" t="s">
        <v>29</v>
      </c>
      <c r="E46" s="6" t="str">
        <f t="array" ref="E46">IFERROR(INDEX(Airlines!$B:$B,MATCH(D46,Airlines!$A:$A,0)),"")</f>
        <v>AirAsia</v>
      </c>
      <c r="F46" s="6" t="str">
        <f>VLOOKUP(A46,Bookings!$A:$F,6,FALSE())</f>
        <v>Economy</v>
      </c>
      <c r="G46" s="6" t="str">
        <f t="array" ref="G46">IFERROR(INDEX(Flights!$E:$E,MATCH(B46,Flights!$A:$A,0)),"")</f>
        <v>Delhi</v>
      </c>
      <c r="H46" s="6" t="str">
        <f>VLOOKUP(B46,Flights!A:H,6,FALSE())</f>
        <v>Bengaluru</v>
      </c>
      <c r="I46" s="6">
        <f t="array" ref="I46">IFERROR(INDEX(Bookings!$G:$G,MATCH(B46,Bookings!$B:$B,0)),"")</f>
        <v>1</v>
      </c>
      <c r="J46" s="5">
        <f>VLOOKUP(B46,Bookings!B:H,7,FALSE())</f>
        <v>11.58</v>
      </c>
      <c r="K46" s="5" t="str">
        <f t="shared" si="1"/>
        <v>Long</v>
      </c>
      <c r="L46" s="11">
        <f t="array" ref="L46">IFERROR(INDEX(Bookings!$K:$K,MATCH(A46,Bookings!$A:$A,0)),"")</f>
        <v>7336</v>
      </c>
      <c r="M46" s="5" t="str">
        <f t="shared" si="2"/>
        <v>Medium</v>
      </c>
      <c r="N46" s="5">
        <f t="array" ref="N46">IFERROR(INDEX(Bookings!$I:$I,MATCH(A46,Bookings!$A:$A,0)),"")</f>
        <v>22</v>
      </c>
      <c r="O46" s="5" t="str">
        <f t="shared" si="3"/>
        <v>Moderate</v>
      </c>
      <c r="P46" s="5" t="str">
        <f t="shared" si="4"/>
        <v>Delhi -&gt; Bengaluru</v>
      </c>
    </row>
    <row r="47" ht="15.75" customHeight="1">
      <c r="A47" s="5" t="s">
        <v>238</v>
      </c>
      <c r="B47" s="5" t="s">
        <v>239</v>
      </c>
      <c r="C47" s="5" t="s">
        <v>108</v>
      </c>
      <c r="D47" s="5" t="s">
        <v>20</v>
      </c>
      <c r="E47" s="6" t="str">
        <f t="array" ref="E47">IFERROR(INDEX(Airlines!$B:$B,MATCH(D47,Airlines!$A:$A,0)),"")</f>
        <v>Vistara</v>
      </c>
      <c r="F47" s="6" t="str">
        <f>VLOOKUP(A47,Bookings!$A:$F,6,FALSE())</f>
        <v>Economy</v>
      </c>
      <c r="G47" s="6" t="str">
        <f t="array" ref="G47">IFERROR(INDEX(Flights!$E:$E,MATCH(B47,Flights!$A:$A,0)),"")</f>
        <v>Delhi</v>
      </c>
      <c r="H47" s="6" t="str">
        <f>VLOOKUP(B47,Flights!A:H,6,FALSE())</f>
        <v>Bengaluru</v>
      </c>
      <c r="I47" s="6" t="str">
        <f t="array" ref="I47">IFERROR(INDEX(Bookings!$G:$G,MATCH(B47,Bookings!$B:$B,0)),"")</f>
        <v>2+</v>
      </c>
      <c r="J47" s="5">
        <f>VLOOKUP(B47,Bookings!B:H,7,FALSE())</f>
        <v>26.33</v>
      </c>
      <c r="K47" s="5" t="str">
        <f t="shared" si="1"/>
        <v>Long</v>
      </c>
      <c r="L47" s="11">
        <f t="array" ref="L47">IFERROR(INDEX(Bookings!$K:$K,MATCH(A47,Bookings!$A:$A,0)),"")</f>
        <v>18909</v>
      </c>
      <c r="M47" s="5" t="str">
        <f t="shared" si="2"/>
        <v>High</v>
      </c>
      <c r="N47" s="5">
        <f t="array" ref="N47">IFERROR(INDEX(Bookings!$I:$I,MATCH(A47,Bookings!$A:$A,0)),"")</f>
        <v>1</v>
      </c>
      <c r="O47" s="5" t="str">
        <f t="shared" si="3"/>
        <v>Last Minute</v>
      </c>
      <c r="P47" s="5" t="str">
        <f t="shared" si="4"/>
        <v>Delhi -&gt; Bengaluru</v>
      </c>
    </row>
    <row r="48" ht="15.75" customHeight="1">
      <c r="A48" s="5" t="s">
        <v>244</v>
      </c>
      <c r="B48" s="5" t="s">
        <v>245</v>
      </c>
      <c r="C48" s="5" t="s">
        <v>108</v>
      </c>
      <c r="D48" s="5" t="s">
        <v>43</v>
      </c>
      <c r="E48" s="6" t="str">
        <f t="array" ref="E48">IFERROR(INDEX(Airlines!$B:$B,MATCH(D48,Airlines!$A:$A,0)),"")</f>
        <v>Indigo</v>
      </c>
      <c r="F48" s="6" t="str">
        <f>VLOOKUP(A48,Bookings!$A:$F,6,FALSE())</f>
        <v>Economy</v>
      </c>
      <c r="G48" s="6" t="str">
        <f t="array" ref="G48">IFERROR(INDEX(Flights!$E:$E,MATCH(B48,Flights!$A:$A,0)),"")</f>
        <v>Delhi</v>
      </c>
      <c r="H48" s="6" t="str">
        <f>VLOOKUP(B48,Flights!A:H,6,FALSE())</f>
        <v>Bengaluru</v>
      </c>
      <c r="I48" s="6" t="str">
        <f t="array" ref="I48">IFERROR(INDEX(Bookings!$G:$G,MATCH(B48,Bookings!$B:$B,0)),"")</f>
        <v>1</v>
      </c>
      <c r="J48" s="5">
        <f>VLOOKUP(B48,Bookings!B:H,7,FALSE())</f>
        <v>5.83</v>
      </c>
      <c r="K48" s="5" t="str">
        <f t="shared" si="1"/>
        <v>Medium</v>
      </c>
      <c r="L48" s="11">
        <f t="array" ref="L48">IFERROR(INDEX(Bookings!$K:$K,MATCH(A48,Bookings!$A:$A,0)),"")</f>
        <v>17400</v>
      </c>
      <c r="M48" s="5" t="str">
        <f t="shared" si="2"/>
        <v>High</v>
      </c>
      <c r="N48" s="5">
        <f t="array" ref="N48">IFERROR(INDEX(Bookings!$I:$I,MATCH(A48,Bookings!$A:$A,0)),"")</f>
        <v>1</v>
      </c>
      <c r="O48" s="5" t="str">
        <f t="shared" si="3"/>
        <v>Last Minute</v>
      </c>
      <c r="P48" s="5" t="str">
        <f t="shared" si="4"/>
        <v>Delhi -&gt; Bengaluru</v>
      </c>
    </row>
    <row r="49" ht="15.75" customHeight="1">
      <c r="A49" s="5" t="s">
        <v>247</v>
      </c>
      <c r="B49" s="5" t="s">
        <v>248</v>
      </c>
      <c r="C49" s="5" t="s">
        <v>108</v>
      </c>
      <c r="D49" s="5" t="s">
        <v>45</v>
      </c>
      <c r="E49" s="6" t="str">
        <f t="array" ref="E49">IFERROR(INDEX(Airlines!$B:$B,MATCH(D49,Airlines!$A:$A,0)),"")</f>
        <v>Air_India</v>
      </c>
      <c r="F49" s="6" t="str">
        <f>VLOOKUP(A49,Bookings!$A:$F,6,FALSE())</f>
        <v>Economy</v>
      </c>
      <c r="G49" s="6" t="str">
        <f t="array" ref="G49">IFERROR(INDEX(Flights!$E:$E,MATCH(B49,Flights!$A:$A,0)),"")</f>
        <v>Delhi</v>
      </c>
      <c r="H49" s="6" t="str">
        <f>VLOOKUP(B49,Flights!A:H,6,FALSE())</f>
        <v>Bengaluru</v>
      </c>
      <c r="I49" s="6" t="str">
        <f t="array" ref="I49">IFERROR(INDEX(Bookings!$G:$G,MATCH(B49,Bookings!$B:$B,0)),"")</f>
        <v>1</v>
      </c>
      <c r="J49" s="5">
        <f>VLOOKUP(B49,Bookings!B:H,7,FALSE())</f>
        <v>17.92</v>
      </c>
      <c r="K49" s="5" t="str">
        <f t="shared" si="1"/>
        <v>Long</v>
      </c>
      <c r="L49" s="11">
        <f t="array" ref="L49">IFERROR(INDEX(Bookings!$K:$K,MATCH(A49,Bookings!$A:$A,0)),"")</f>
        <v>10828</v>
      </c>
      <c r="M49" s="5" t="str">
        <f t="shared" si="2"/>
        <v>Medium</v>
      </c>
      <c r="N49" s="5">
        <f t="array" ref="N49">IFERROR(INDEX(Bookings!$I:$I,MATCH(A49,Bookings!$A:$A,0)),"")</f>
        <v>14</v>
      </c>
      <c r="O49" s="5" t="str">
        <f t="shared" si="3"/>
        <v>Short Notice</v>
      </c>
      <c r="P49" s="5" t="str">
        <f t="shared" si="4"/>
        <v>Delhi -&gt; Bengaluru</v>
      </c>
    </row>
    <row r="50" ht="15.75" customHeight="1">
      <c r="A50" s="5" t="s">
        <v>255</v>
      </c>
      <c r="B50" s="5" t="s">
        <v>256</v>
      </c>
      <c r="C50" s="5" t="s">
        <v>108</v>
      </c>
      <c r="D50" s="5" t="s">
        <v>58</v>
      </c>
      <c r="E50" s="6" t="str">
        <f t="array" ref="E50">IFERROR(INDEX(Airlines!$B:$B,MATCH(D50,Airlines!$A:$A,0)),"")</f>
        <v>Go_First</v>
      </c>
      <c r="F50" s="6" t="str">
        <f>VLOOKUP(A50,Bookings!$A:$F,6,FALSE())</f>
        <v>Economy</v>
      </c>
      <c r="G50" s="6" t="str">
        <f t="array" ref="G50">IFERROR(INDEX(Flights!$E:$E,MATCH(B50,Flights!$A:$A,0)),"")</f>
        <v>Delhi</v>
      </c>
      <c r="H50" s="6" t="str">
        <f>VLOOKUP(B50,Flights!A:H,6,FALSE())</f>
        <v>Bengaluru</v>
      </c>
      <c r="I50" s="6" t="str">
        <f t="array" ref="I50">IFERROR(INDEX(Bookings!$G:$G,MATCH(B50,Bookings!$B:$B,0)),"")</f>
        <v>0</v>
      </c>
      <c r="J50" s="5">
        <f>VLOOKUP(B50,Bookings!B:H,7,FALSE())</f>
        <v>2.75</v>
      </c>
      <c r="K50" s="5" t="str">
        <f t="shared" si="1"/>
        <v>Short</v>
      </c>
      <c r="L50" s="11">
        <f t="array" ref="L50">IFERROR(INDEX(Bookings!$K:$K,MATCH(A50,Bookings!$A:$A,0)),"")</f>
        <v>4501</v>
      </c>
      <c r="M50" s="5" t="str">
        <f t="shared" si="2"/>
        <v>Low</v>
      </c>
      <c r="N50" s="5" t="str">
        <f t="array" ref="N50">IFERROR(INDEX(Bookings!$I:$I,MATCH(A50,Bookings!$A:$A,0)),"")</f>
        <v/>
      </c>
      <c r="O50" s="5" t="str">
        <f t="shared" si="3"/>
        <v>Last Minute</v>
      </c>
      <c r="P50" s="5" t="str">
        <f t="shared" si="4"/>
        <v>Delhi -&gt; Bengaluru</v>
      </c>
    </row>
    <row r="51" ht="15.75" customHeight="1">
      <c r="A51" s="5" t="s">
        <v>259</v>
      </c>
      <c r="B51" s="5" t="s">
        <v>261</v>
      </c>
      <c r="C51" s="5" t="s">
        <v>108</v>
      </c>
      <c r="D51" s="5" t="s">
        <v>43</v>
      </c>
      <c r="E51" s="6" t="str">
        <f t="array" ref="E51">IFERROR(INDEX(Airlines!$B:$B,MATCH(D51,Airlines!$A:$A,0)),"")</f>
        <v>Indigo</v>
      </c>
      <c r="F51" s="6" t="str">
        <f>VLOOKUP(A51,Bookings!$A:$F,6,FALSE())</f>
        <v>Economy</v>
      </c>
      <c r="G51" s="6" t="str">
        <f t="array" ref="G51">IFERROR(INDEX(Flights!$E:$E,MATCH(B51,Flights!$A:$A,0)),"")</f>
        <v>Delhi</v>
      </c>
      <c r="H51" s="6" t="str">
        <f>VLOOKUP(B51,Flights!A:H,6,FALSE())</f>
        <v>Bengaluru</v>
      </c>
      <c r="I51" s="6" t="str">
        <f t="array" ref="I51">IFERROR(INDEX(Bookings!$G:$G,MATCH(B51,Bookings!$B:$B,0)),"")</f>
        <v>0</v>
      </c>
      <c r="J51" s="5">
        <f>VLOOKUP(B51,Bookings!B:H,7,FALSE())</f>
        <v>2.67</v>
      </c>
      <c r="K51" s="5" t="str">
        <f t="shared" si="1"/>
        <v>Short</v>
      </c>
      <c r="L51" s="11">
        <f t="array" ref="L51">IFERROR(INDEX(Bookings!$K:$K,MATCH(A51,Bookings!$A:$A,0)),"")</f>
        <v>6953</v>
      </c>
      <c r="M51" s="5" t="str">
        <f t="shared" si="2"/>
        <v>Medium</v>
      </c>
      <c r="N51" s="5">
        <f t="array" ref="N51">IFERROR(INDEX(Bookings!$I:$I,MATCH(A51,Bookings!$A:$A,0)),"")</f>
        <v>39</v>
      </c>
      <c r="O51" s="5" t="str">
        <f t="shared" si="3"/>
        <v>Advance</v>
      </c>
      <c r="P51" s="5" t="str">
        <f t="shared" si="4"/>
        <v>Delhi -&gt; Bengaluru</v>
      </c>
    </row>
    <row r="52" ht="15.75" customHeight="1">
      <c r="A52" s="5" t="s">
        <v>263</v>
      </c>
      <c r="B52" s="5" t="s">
        <v>265</v>
      </c>
      <c r="C52" s="5" t="s">
        <v>108</v>
      </c>
      <c r="D52" s="5" t="s">
        <v>72</v>
      </c>
      <c r="E52" s="6" t="str">
        <f t="array" ref="E52">IFERROR(INDEX(Airlines!$B:$B,MATCH(D52,Airlines!$A:$A,0)),"")</f>
        <v>Spicejet</v>
      </c>
      <c r="F52" s="6" t="str">
        <f>VLOOKUP(A52,Bookings!$A:$F,6,FALSE())</f>
        <v>Economy</v>
      </c>
      <c r="G52" s="6" t="str">
        <f t="array" ref="G52">IFERROR(INDEX(Flights!$E:$E,MATCH(B52,Flights!$A:$A,0)),"")</f>
        <v>Delhi</v>
      </c>
      <c r="H52" s="6" t="str">
        <f>VLOOKUP(B52,Flights!A:H,6,FALSE())</f>
        <v>Bengaluru</v>
      </c>
      <c r="I52" s="6">
        <f t="array" ref="I52">IFERROR(INDEX(Bookings!$G:$G,MATCH(B52,Bookings!$B:$B,0)),"")</f>
        <v>1</v>
      </c>
      <c r="J52" s="5">
        <f>VLOOKUP(B52,Bookings!B:H,7,FALSE())</f>
        <v>23.08</v>
      </c>
      <c r="K52" s="5" t="str">
        <f t="shared" si="1"/>
        <v>Long</v>
      </c>
      <c r="L52" s="11">
        <f t="array" ref="L52">IFERROR(INDEX(Bookings!$K:$K,MATCH(A52,Bookings!$A:$A,0)),"")</f>
        <v>3569</v>
      </c>
      <c r="M52" s="5" t="str">
        <f t="shared" si="2"/>
        <v>Low</v>
      </c>
      <c r="N52" s="5">
        <f t="array" ref="N52">IFERROR(INDEX(Bookings!$I:$I,MATCH(A52,Bookings!$A:$A,0)),"")</f>
        <v>42</v>
      </c>
      <c r="O52" s="5" t="str">
        <f t="shared" si="3"/>
        <v>Advance</v>
      </c>
      <c r="P52" s="5" t="str">
        <f t="shared" si="4"/>
        <v>Delhi -&gt; Bengaluru</v>
      </c>
    </row>
    <row r="53" ht="15.75" customHeight="1">
      <c r="A53" s="5" t="s">
        <v>268</v>
      </c>
      <c r="B53" s="5" t="s">
        <v>269</v>
      </c>
      <c r="C53" s="5" t="s">
        <v>108</v>
      </c>
      <c r="D53" s="5" t="s">
        <v>43</v>
      </c>
      <c r="E53" s="6" t="str">
        <f t="array" ref="E53">IFERROR(INDEX(Airlines!$B:$B,MATCH(D53,Airlines!$A:$A,0)),"")</f>
        <v>Indigo</v>
      </c>
      <c r="F53" s="6" t="str">
        <f>VLOOKUP(A53,Bookings!$A:$F,6,FALSE())</f>
        <v>Economy</v>
      </c>
      <c r="G53" s="6" t="str">
        <f t="array" ref="G53">IFERROR(INDEX(Flights!$E:$E,MATCH(B53,Flights!$A:$A,0)),"")</f>
        <v>Delhi</v>
      </c>
      <c r="H53" s="6" t="str">
        <f>VLOOKUP(B53,Flights!A:H,6,FALSE())</f>
        <v>Bengaluru</v>
      </c>
      <c r="I53" s="6">
        <f t="array" ref="I53">IFERROR(INDEX(Bookings!$G:$G,MATCH(B53,Bookings!$B:$B,0)),"")</f>
        <v>1</v>
      </c>
      <c r="J53" s="5">
        <f>VLOOKUP(B53,Bookings!B:H,7,FALSE())</f>
        <v>12</v>
      </c>
      <c r="K53" s="5" t="str">
        <f t="shared" si="1"/>
        <v>Long</v>
      </c>
      <c r="L53" s="11">
        <f t="array" ref="L53">IFERROR(INDEX(Bookings!$K:$K,MATCH(A53,Bookings!$A:$A,0)),"")</f>
        <v>7336</v>
      </c>
      <c r="M53" s="5" t="str">
        <f t="shared" si="2"/>
        <v>Medium</v>
      </c>
      <c r="N53" s="5">
        <f t="array" ref="N53">IFERROR(INDEX(Bookings!$I:$I,MATCH(A53,Bookings!$A:$A,0)),"")</f>
        <v>2</v>
      </c>
      <c r="O53" s="5" t="str">
        <f t="shared" si="3"/>
        <v>Last Minute</v>
      </c>
      <c r="P53" s="5" t="str">
        <f t="shared" si="4"/>
        <v>Delhi -&gt; Bengaluru</v>
      </c>
    </row>
    <row r="54" ht="15.75" customHeight="1">
      <c r="A54" s="5" t="s">
        <v>272</v>
      </c>
      <c r="B54" s="5" t="s">
        <v>274</v>
      </c>
      <c r="C54" s="5" t="s">
        <v>108</v>
      </c>
      <c r="D54" s="5" t="s">
        <v>20</v>
      </c>
      <c r="E54" s="6" t="str">
        <f t="array" ref="E54">IFERROR(INDEX(Airlines!$B:$B,MATCH(D54,Airlines!$A:$A,0)),"")</f>
        <v>Vistara</v>
      </c>
      <c r="F54" s="6" t="str">
        <f>VLOOKUP(A54,Bookings!$A:$F,6,FALSE())</f>
        <v>Economy</v>
      </c>
      <c r="G54" s="6" t="str">
        <f t="array" ref="G54">IFERROR(INDEX(Flights!$E:$E,MATCH(B54,Flights!$A:$A,0)),"")</f>
        <v>Delhi</v>
      </c>
      <c r="H54" s="6" t="str">
        <f>VLOOKUP(B54,Flights!A:H,6,FALSE())</f>
        <v>Bengaluru</v>
      </c>
      <c r="I54" s="6" t="str">
        <f t="array" ref="I54">IFERROR(INDEX(Bookings!$G:$G,MATCH(B54,Bookings!$B:$B,0)),"")</f>
        <v>1</v>
      </c>
      <c r="J54" s="5">
        <f>VLOOKUP(B54,Bookings!B:H,7,FALSE())</f>
        <v>11.42</v>
      </c>
      <c r="K54" s="5" t="str">
        <f t="shared" si="1"/>
        <v>Long</v>
      </c>
      <c r="L54" s="11">
        <f t="array" ref="L54">IFERROR(INDEX(Bookings!$K:$K,MATCH(A54,Bookings!$A:$A,0)),"")</f>
        <v>4152</v>
      </c>
      <c r="M54" s="5" t="str">
        <f t="shared" si="2"/>
        <v>Low</v>
      </c>
      <c r="N54" s="5">
        <f t="array" ref="N54">IFERROR(INDEX(Bookings!$I:$I,MATCH(A54,Bookings!$A:$A,0)),"")</f>
        <v>46</v>
      </c>
      <c r="O54" s="5" t="str">
        <f t="shared" si="3"/>
        <v>Advance</v>
      </c>
      <c r="P54" s="5" t="str">
        <f t="shared" si="4"/>
        <v>Delhi -&gt; Bengaluru</v>
      </c>
    </row>
    <row r="55" ht="15.75" customHeight="1">
      <c r="A55" s="5" t="s">
        <v>279</v>
      </c>
      <c r="B55" s="5" t="s">
        <v>281</v>
      </c>
      <c r="C55" s="5" t="s">
        <v>108</v>
      </c>
      <c r="D55" s="5" t="s">
        <v>58</v>
      </c>
      <c r="E55" s="6" t="str">
        <f t="array" ref="E55">IFERROR(INDEX(Airlines!$B:$B,MATCH(D55,Airlines!$A:$A,0)),"")</f>
        <v>Go_First</v>
      </c>
      <c r="F55" s="6" t="str">
        <f>VLOOKUP(A55,Bookings!$A:$F,6,FALSE())</f>
        <v>Economy</v>
      </c>
      <c r="G55" s="6" t="str">
        <f t="array" ref="G55">IFERROR(INDEX(Flights!$E:$E,MATCH(B55,Flights!$A:$A,0)),"")</f>
        <v>Delhi</v>
      </c>
      <c r="H55" s="6" t="str">
        <f>VLOOKUP(B55,Flights!A:H,6,FALSE())</f>
        <v>Bengaluru</v>
      </c>
      <c r="I55" s="6" t="str">
        <f t="array" ref="I55">IFERROR(INDEX(Bookings!$G:$G,MATCH(B55,Bookings!$B:$B,0)),"")</f>
        <v>1</v>
      </c>
      <c r="J55" s="5">
        <f>VLOOKUP(B55,Bookings!B:H,7,FALSE())</f>
        <v>6.5</v>
      </c>
      <c r="K55" s="5" t="str">
        <f t="shared" si="1"/>
        <v>Medium</v>
      </c>
      <c r="L55" s="11">
        <f t="array" ref="L55">IFERROR(INDEX(Bookings!$K:$K,MATCH(A55,Bookings!$A:$A,0)),"")</f>
        <v>7424</v>
      </c>
      <c r="M55" s="5" t="str">
        <f t="shared" si="2"/>
        <v>Medium</v>
      </c>
      <c r="N55" s="5">
        <f t="array" ref="N55">IFERROR(INDEX(Bookings!$I:$I,MATCH(A55,Bookings!$A:$A,0)),"")</f>
        <v>3</v>
      </c>
      <c r="O55" s="5" t="str">
        <f t="shared" si="3"/>
        <v>Last Minute</v>
      </c>
      <c r="P55" s="5" t="str">
        <f t="shared" si="4"/>
        <v>Delhi -&gt; Bengaluru</v>
      </c>
    </row>
    <row r="56" ht="15.75" customHeight="1">
      <c r="A56" s="5" t="s">
        <v>284</v>
      </c>
      <c r="B56" s="5" t="s">
        <v>285</v>
      </c>
      <c r="C56" s="5" t="s">
        <v>108</v>
      </c>
      <c r="D56" s="5" t="s">
        <v>29</v>
      </c>
      <c r="E56" s="6" t="str">
        <f t="array" ref="E56">IFERROR(INDEX(Airlines!$B:$B,MATCH(D56,Airlines!$A:$A,0)),"")</f>
        <v>AirAsia</v>
      </c>
      <c r="F56" s="6" t="str">
        <f>VLOOKUP(A56,Bookings!$A:$F,6,FALSE())</f>
        <v>Economy</v>
      </c>
      <c r="G56" s="6" t="str">
        <f t="array" ref="G56">IFERROR(INDEX(Flights!$E:$E,MATCH(B56,Flights!$A:$A,0)),"")</f>
        <v>Delhi</v>
      </c>
      <c r="H56" s="6" t="str">
        <f>VLOOKUP(B56,Flights!A:H,6,FALSE())</f>
        <v>Bengaluru</v>
      </c>
      <c r="I56" s="6" t="str">
        <f t="array" ref="I56">IFERROR(INDEX(Bookings!$G:$G,MATCH(B56,Bookings!$B:$B,0)),"")</f>
        <v>2+</v>
      </c>
      <c r="J56" s="5">
        <f>VLOOKUP(B56,Bookings!B:H,7,FALSE())</f>
        <v>11.5</v>
      </c>
      <c r="K56" s="5" t="str">
        <f t="shared" si="1"/>
        <v>Long</v>
      </c>
      <c r="L56" s="11">
        <f t="array" ref="L56">IFERROR(INDEX(Bookings!$K:$K,MATCH(A56,Bookings!$A:$A,0)),"")</f>
        <v>6008</v>
      </c>
      <c r="M56" s="5" t="str">
        <f t="shared" si="2"/>
        <v>Medium</v>
      </c>
      <c r="N56" s="5">
        <f t="array" ref="N56">IFERROR(INDEX(Bookings!$I:$I,MATCH(A56,Bookings!$A:$A,0)),"")</f>
        <v>43</v>
      </c>
      <c r="O56" s="5" t="str">
        <f t="shared" si="3"/>
        <v>Advance</v>
      </c>
      <c r="P56" s="5" t="str">
        <f t="shared" si="4"/>
        <v>Delhi -&gt; Bengaluru</v>
      </c>
    </row>
    <row r="57" ht="15.75" customHeight="1">
      <c r="A57" s="5" t="s">
        <v>289</v>
      </c>
      <c r="B57" s="5" t="s">
        <v>292</v>
      </c>
      <c r="C57" s="5" t="s">
        <v>108</v>
      </c>
      <c r="D57" s="5" t="s">
        <v>20</v>
      </c>
      <c r="E57" s="6" t="str">
        <f t="array" ref="E57">IFERROR(INDEX(Airlines!$B:$B,MATCH(D57,Airlines!$A:$A,0)),"")</f>
        <v>Vistara</v>
      </c>
      <c r="F57" s="6" t="str">
        <f>VLOOKUP(A57,Bookings!$A:$F,6,FALSE())</f>
        <v>Business</v>
      </c>
      <c r="G57" s="6" t="str">
        <f t="array" ref="G57">IFERROR(INDEX(Flights!$E:$E,MATCH(B57,Flights!$A:$A,0)),"")</f>
        <v>Delhi</v>
      </c>
      <c r="H57" s="6" t="str">
        <f>VLOOKUP(B57,Flights!A:H,6,FALSE())</f>
        <v>Bengaluru</v>
      </c>
      <c r="I57" s="6" t="str">
        <f t="array" ref="I57">IFERROR(INDEX(Bookings!$G:$G,MATCH(B57,Bookings!$B:$B,0)),"")</f>
        <v>1</v>
      </c>
      <c r="J57" s="5">
        <f>VLOOKUP(B57,Bookings!B:H,7,FALSE())</f>
        <v>16.33</v>
      </c>
      <c r="K57" s="5" t="str">
        <f t="shared" si="1"/>
        <v>Long</v>
      </c>
      <c r="L57" s="11">
        <f t="array" ref="L57">IFERROR(INDEX(Bookings!$K:$K,MATCH(A57,Bookings!$A:$A,0)),"")</f>
        <v>54777</v>
      </c>
      <c r="M57" s="5" t="str">
        <f t="shared" si="2"/>
        <v>High</v>
      </c>
      <c r="N57" s="5" t="str">
        <f t="array" ref="N57">IFERROR(INDEX(Bookings!$I:$I,MATCH(A57,Bookings!$A:$A,0)),"")</f>
        <v/>
      </c>
      <c r="O57" s="5" t="str">
        <f t="shared" si="3"/>
        <v>Last Minute</v>
      </c>
      <c r="P57" s="5" t="str">
        <f t="shared" si="4"/>
        <v>Delhi -&gt; Bengaluru</v>
      </c>
    </row>
    <row r="58" ht="15.75" customHeight="1">
      <c r="A58" s="5" t="s">
        <v>299</v>
      </c>
      <c r="B58" s="5" t="s">
        <v>300</v>
      </c>
      <c r="C58" s="5" t="s">
        <v>108</v>
      </c>
      <c r="D58" s="5" t="s">
        <v>20</v>
      </c>
      <c r="E58" s="6" t="str">
        <f t="array" ref="E58">IFERROR(INDEX(Airlines!$B:$B,MATCH(D58,Airlines!$A:$A,0)),"")</f>
        <v>Vistara</v>
      </c>
      <c r="F58" s="6" t="str">
        <f>VLOOKUP(A58,Bookings!$A:$F,6,FALSE())</f>
        <v>Economy</v>
      </c>
      <c r="G58" s="6" t="str">
        <f t="array" ref="G58">IFERROR(INDEX(Flights!$E:$E,MATCH(B58,Flights!$A:$A,0)),"")</f>
        <v>Delhi</v>
      </c>
      <c r="H58" s="6" t="str">
        <f>VLOOKUP(B58,Flights!A:H,6,FALSE())</f>
        <v>Bengaluru</v>
      </c>
      <c r="I58" s="6" t="str">
        <f t="array" ref="I58">IFERROR(INDEX(Bookings!$G:$G,MATCH(B58,Bookings!$B:$B,0)),"")</f>
        <v>1</v>
      </c>
      <c r="J58" s="5">
        <f>VLOOKUP(B58,Bookings!B:H,7,FALSE())</f>
        <v>24.58</v>
      </c>
      <c r="K58" s="5" t="str">
        <f t="shared" si="1"/>
        <v>Long</v>
      </c>
      <c r="L58" s="11">
        <f t="array" ref="L58">IFERROR(INDEX(Bookings!$K:$K,MATCH(A58,Bookings!$A:$A,0)),"")</f>
        <v>12222</v>
      </c>
      <c r="M58" s="5" t="str">
        <f t="shared" si="2"/>
        <v>Medium</v>
      </c>
      <c r="N58" s="5">
        <f t="array" ref="N58">IFERROR(INDEX(Bookings!$I:$I,MATCH(A58,Bookings!$A:$A,0)),"")</f>
        <v>4</v>
      </c>
      <c r="O58" s="5" t="str">
        <f t="shared" si="3"/>
        <v>Last Minute</v>
      </c>
      <c r="P58" s="5" t="str">
        <f t="shared" si="4"/>
        <v>Delhi -&gt; Bengaluru</v>
      </c>
    </row>
    <row r="59" ht="15.75" customHeight="1">
      <c r="A59" s="5" t="s">
        <v>301</v>
      </c>
      <c r="B59" s="5" t="s">
        <v>302</v>
      </c>
      <c r="C59" s="5" t="s">
        <v>108</v>
      </c>
      <c r="D59" s="5" t="s">
        <v>45</v>
      </c>
      <c r="E59" s="6" t="str">
        <f t="array" ref="E59">IFERROR(INDEX(Airlines!$B:$B,MATCH(D59,Airlines!$A:$A,0)),"")</f>
        <v>Air_India</v>
      </c>
      <c r="F59" s="6" t="str">
        <f>VLOOKUP(A59,Bookings!$A:$F,6,FALSE())</f>
        <v>Economy</v>
      </c>
      <c r="G59" s="6" t="str">
        <f t="array" ref="G59">IFERROR(INDEX(Flights!$E:$E,MATCH(B59,Flights!$A:$A,0)),"")</f>
        <v>Delhi</v>
      </c>
      <c r="H59" s="6" t="str">
        <f>VLOOKUP(B59,Flights!A:H,6,FALSE())</f>
        <v>Bengaluru</v>
      </c>
      <c r="I59" s="6" t="str">
        <f t="array" ref="I59">IFERROR(INDEX(Bookings!$G:$G,MATCH(B59,Bookings!$B:$B,0)),"")</f>
        <v>1</v>
      </c>
      <c r="J59" s="5">
        <f>VLOOKUP(B59,Bookings!B:H,7,FALSE())</f>
        <v>25.83</v>
      </c>
      <c r="K59" s="5" t="str">
        <f t="shared" si="1"/>
        <v>Long</v>
      </c>
      <c r="L59" s="11">
        <f t="array" ref="L59">IFERROR(INDEX(Bookings!$K:$K,MATCH(A59,Bookings!$A:$A,0)),"")</f>
        <v>12150</v>
      </c>
      <c r="M59" s="5" t="str">
        <f t="shared" si="2"/>
        <v>Medium</v>
      </c>
      <c r="N59" s="5">
        <f t="array" ref="N59">IFERROR(INDEX(Bookings!$I:$I,MATCH(A59,Bookings!$A:$A,0)),"")</f>
        <v>4</v>
      </c>
      <c r="O59" s="5" t="str">
        <f t="shared" si="3"/>
        <v>Last Minute</v>
      </c>
      <c r="P59" s="5" t="str">
        <f t="shared" si="4"/>
        <v>Delhi -&gt; Bengaluru</v>
      </c>
    </row>
    <row r="60" ht="15.75" customHeight="1">
      <c r="A60" s="5" t="s">
        <v>307</v>
      </c>
      <c r="B60" s="5" t="s">
        <v>308</v>
      </c>
      <c r="C60" s="5" t="s">
        <v>108</v>
      </c>
      <c r="D60" s="5" t="s">
        <v>29</v>
      </c>
      <c r="E60" s="6" t="str">
        <f t="array" ref="E60">IFERROR(INDEX(Airlines!$B:$B,MATCH(D60,Airlines!$A:$A,0)),"")</f>
        <v>AirAsia</v>
      </c>
      <c r="F60" s="6" t="str">
        <f>VLOOKUP(A60,Bookings!$A:$F,6,FALSE())</f>
        <v>Economy</v>
      </c>
      <c r="G60" s="6" t="str">
        <f t="array" ref="G60">IFERROR(INDEX(Flights!$E:$E,MATCH(B60,Flights!$A:$A,0)),"")</f>
        <v>Delhi</v>
      </c>
      <c r="H60" s="6" t="str">
        <f>VLOOKUP(B60,Flights!A:H,6,FALSE())</f>
        <v>Bengaluru</v>
      </c>
      <c r="I60" s="6" t="str">
        <f t="array" ref="I60">IFERROR(INDEX(Bookings!$G:$G,MATCH(B60,Bookings!$B:$B,0)),"")</f>
        <v>0</v>
      </c>
      <c r="J60" s="5">
        <f>VLOOKUP(B60,Bookings!B:H,7,FALSE())</f>
        <v>2.83</v>
      </c>
      <c r="K60" s="5" t="str">
        <f t="shared" si="1"/>
        <v>Short</v>
      </c>
      <c r="L60" s="11">
        <f t="array" ref="L60">IFERROR(INDEX(Bookings!$K:$K,MATCH(A60,Bookings!$A:$A,0)),"")</f>
        <v>4499</v>
      </c>
      <c r="M60" s="5" t="str">
        <f t="shared" si="2"/>
        <v>Low</v>
      </c>
      <c r="N60" s="5" t="str">
        <f t="array" ref="N60">IFERROR(INDEX(Bookings!$I:$I,MATCH(A60,Bookings!$A:$A,0)),"")</f>
        <v/>
      </c>
      <c r="O60" s="5" t="str">
        <f t="shared" si="3"/>
        <v>Last Minute</v>
      </c>
      <c r="P60" s="5" t="str">
        <f t="shared" si="4"/>
        <v>Delhi -&gt; Bengaluru</v>
      </c>
    </row>
    <row r="61" ht="15.75" customHeight="1">
      <c r="A61" s="5" t="s">
        <v>312</v>
      </c>
      <c r="B61" s="5" t="s">
        <v>313</v>
      </c>
      <c r="C61" s="5" t="s">
        <v>108</v>
      </c>
      <c r="D61" s="5" t="s">
        <v>20</v>
      </c>
      <c r="E61" s="6" t="str">
        <f t="array" ref="E61">IFERROR(INDEX(Airlines!$B:$B,MATCH(D61,Airlines!$A:$A,0)),"")</f>
        <v>Vistara</v>
      </c>
      <c r="F61" s="6" t="str">
        <f>VLOOKUP(A61,Bookings!$A:$F,6,FALSE())</f>
        <v>Economy</v>
      </c>
      <c r="G61" s="6" t="str">
        <f t="array" ref="G61">IFERROR(INDEX(Flights!$E:$E,MATCH(B61,Flights!$A:$A,0)),"")</f>
        <v>Delhi</v>
      </c>
      <c r="H61" s="6" t="str">
        <f>VLOOKUP(B61,Flights!A:H,6,FALSE())</f>
        <v>Bengaluru</v>
      </c>
      <c r="I61" s="6" t="str">
        <f t="array" ref="I61">IFERROR(INDEX(Bookings!$G:$G,MATCH(B61,Bookings!$B:$B,0)),"")</f>
        <v>1</v>
      </c>
      <c r="J61" s="5">
        <f>VLOOKUP(B61,Bookings!B:H,7,FALSE())</f>
        <v>12</v>
      </c>
      <c r="K61" s="5" t="str">
        <f t="shared" si="1"/>
        <v>Long</v>
      </c>
      <c r="L61" s="11">
        <f t="array" ref="L61">IFERROR(INDEX(Bookings!$K:$K,MATCH(A61,Bookings!$A:$A,0)),"")</f>
        <v>3662</v>
      </c>
      <c r="M61" s="5" t="str">
        <f t="shared" si="2"/>
        <v>Low</v>
      </c>
      <c r="N61" s="5">
        <f t="array" ref="N61">IFERROR(INDEX(Bookings!$I:$I,MATCH(A61,Bookings!$A:$A,0)),"")</f>
        <v>24</v>
      </c>
      <c r="O61" s="5" t="str">
        <f t="shared" si="3"/>
        <v>Moderate</v>
      </c>
      <c r="P61" s="5" t="str">
        <f t="shared" si="4"/>
        <v>Delhi -&gt; Bengaluru</v>
      </c>
    </row>
    <row r="62" ht="15.75" customHeight="1">
      <c r="A62" s="5" t="s">
        <v>315</v>
      </c>
      <c r="B62" s="5" t="s">
        <v>316</v>
      </c>
      <c r="C62" s="5" t="s">
        <v>108</v>
      </c>
      <c r="D62" s="5" t="s">
        <v>20</v>
      </c>
      <c r="E62" s="6" t="str">
        <f t="array" ref="E62">IFERROR(INDEX(Airlines!$B:$B,MATCH(D62,Airlines!$A:$A,0)),"")</f>
        <v>Vistara</v>
      </c>
      <c r="F62" s="6" t="str">
        <f>VLOOKUP(A62,Bookings!$A:$F,6,FALSE())</f>
        <v>Business</v>
      </c>
      <c r="G62" s="6" t="str">
        <f t="array" ref="G62">IFERROR(INDEX(Flights!$E:$E,MATCH(B62,Flights!$A:$A,0)),"")</f>
        <v>Delhi</v>
      </c>
      <c r="H62" s="6" t="str">
        <f>VLOOKUP(B62,Flights!A:H,6,FALSE())</f>
        <v>Bengaluru</v>
      </c>
      <c r="I62" s="6" t="str">
        <f t="array" ref="I62">IFERROR(INDEX(Bookings!$G:$G,MATCH(B62,Bookings!$B:$B,0)),"")</f>
        <v>1</v>
      </c>
      <c r="J62" s="5">
        <f>VLOOKUP(B62,Bookings!B:H,7,FALSE())</f>
        <v>6.08</v>
      </c>
      <c r="K62" s="5" t="str">
        <f t="shared" si="1"/>
        <v>Medium</v>
      </c>
      <c r="L62" s="11">
        <f t="array" ref="L62">IFERROR(INDEX(Bookings!$K:$K,MATCH(A62,Bookings!$A:$A,0)),"")</f>
        <v>50297</v>
      </c>
      <c r="M62" s="5" t="str">
        <f t="shared" si="2"/>
        <v>High</v>
      </c>
      <c r="N62" s="5">
        <f t="array" ref="N62">IFERROR(INDEX(Bookings!$I:$I,MATCH(A62,Bookings!$A:$A,0)),"")</f>
        <v>37</v>
      </c>
      <c r="O62" s="5" t="str">
        <f t="shared" si="3"/>
        <v>Advance</v>
      </c>
      <c r="P62" s="5" t="str">
        <f t="shared" si="4"/>
        <v>Delhi -&gt; Bengaluru</v>
      </c>
    </row>
    <row r="63" ht="15.75" customHeight="1">
      <c r="A63" s="5" t="s">
        <v>319</v>
      </c>
      <c r="B63" s="5" t="s">
        <v>320</v>
      </c>
      <c r="C63" s="5" t="s">
        <v>108</v>
      </c>
      <c r="D63" s="5" t="s">
        <v>20</v>
      </c>
      <c r="E63" s="6" t="str">
        <f t="array" ref="E63">IFERROR(INDEX(Airlines!$B:$B,MATCH(D63,Airlines!$A:$A,0)),"")</f>
        <v>Vistara</v>
      </c>
      <c r="F63" s="6" t="str">
        <f>VLOOKUP(A63,Bookings!$A:$F,6,FALSE())</f>
        <v>Economy</v>
      </c>
      <c r="G63" s="6" t="str">
        <f t="array" ref="G63">IFERROR(INDEX(Flights!$E:$E,MATCH(B63,Flights!$A:$A,0)),"")</f>
        <v>Delhi</v>
      </c>
      <c r="H63" s="6" t="str">
        <f>VLOOKUP(B63,Flights!A:H,6,FALSE())</f>
        <v>Bengaluru</v>
      </c>
      <c r="I63" s="6" t="str">
        <f t="array" ref="I63">IFERROR(INDEX(Bookings!$G:$G,MATCH(B63,Bookings!$B:$B,0)),"")</f>
        <v>1</v>
      </c>
      <c r="J63" s="5">
        <f>VLOOKUP(B63,Bookings!B:H,7,FALSE())</f>
        <v>8.92</v>
      </c>
      <c r="K63" s="5" t="str">
        <f t="shared" si="1"/>
        <v>Medium</v>
      </c>
      <c r="L63" s="11">
        <f t="array" ref="L63">IFERROR(INDEX(Bookings!$K:$K,MATCH(A63,Bookings!$A:$A,0)),"")</f>
        <v>4496</v>
      </c>
      <c r="M63" s="5" t="str">
        <f t="shared" si="2"/>
        <v>Low</v>
      </c>
      <c r="N63" s="5">
        <f t="array" ref="N63">IFERROR(INDEX(Bookings!$I:$I,MATCH(A63,Bookings!$A:$A,0)),"")</f>
        <v>49</v>
      </c>
      <c r="O63" s="5" t="str">
        <f t="shared" si="3"/>
        <v>Advance</v>
      </c>
      <c r="P63" s="5" t="str">
        <f t="shared" si="4"/>
        <v>Delhi -&gt; Bengaluru</v>
      </c>
    </row>
    <row r="64" ht="15.75" customHeight="1">
      <c r="A64" s="5" t="s">
        <v>324</v>
      </c>
      <c r="B64" s="5" t="s">
        <v>326</v>
      </c>
      <c r="C64" s="5" t="s">
        <v>108</v>
      </c>
      <c r="D64" s="5" t="s">
        <v>20</v>
      </c>
      <c r="E64" s="6" t="str">
        <f t="array" ref="E64">IFERROR(INDEX(Airlines!$B:$B,MATCH(D64,Airlines!$A:$A,0)),"")</f>
        <v>Vistara</v>
      </c>
      <c r="F64" s="6" t="str">
        <f>VLOOKUP(A64,Bookings!$A:$F,6,FALSE())</f>
        <v>Economy</v>
      </c>
      <c r="G64" s="6" t="str">
        <f t="array" ref="G64">IFERROR(INDEX(Flights!$E:$E,MATCH(B64,Flights!$A:$A,0)),"")</f>
        <v>Delhi</v>
      </c>
      <c r="H64" s="6" t="str">
        <f>VLOOKUP(B64,Flights!A:H,6,FALSE())</f>
        <v>Bengaluru</v>
      </c>
      <c r="I64" s="6" t="str">
        <f t="array" ref="I64">IFERROR(INDEX(Bookings!$G:$G,MATCH(B64,Bookings!$B:$B,0)),"")</f>
        <v>1</v>
      </c>
      <c r="J64" s="5">
        <f>VLOOKUP(B64,Bookings!B:H,7,FALSE())</f>
        <v>12.5</v>
      </c>
      <c r="K64" s="5" t="str">
        <f t="shared" si="1"/>
        <v>Long</v>
      </c>
      <c r="L64" s="11">
        <f t="array" ref="L64">IFERROR(INDEX(Bookings!$K:$K,MATCH(A64,Bookings!$A:$A,0)),"")</f>
        <v>4496</v>
      </c>
      <c r="M64" s="5" t="str">
        <f t="shared" si="2"/>
        <v>Low</v>
      </c>
      <c r="N64" s="5">
        <f t="array" ref="N64">IFERROR(INDEX(Bookings!$I:$I,MATCH(A64,Bookings!$A:$A,0)),"")</f>
        <v>42</v>
      </c>
      <c r="O64" s="5" t="str">
        <f t="shared" si="3"/>
        <v>Advance</v>
      </c>
      <c r="P64" s="5" t="str">
        <f t="shared" si="4"/>
        <v>Delhi -&gt; Bengaluru</v>
      </c>
    </row>
    <row r="65" ht="15.75" customHeight="1">
      <c r="A65" s="5" t="s">
        <v>329</v>
      </c>
      <c r="B65" s="5" t="s">
        <v>331</v>
      </c>
      <c r="C65" s="5" t="s">
        <v>108</v>
      </c>
      <c r="D65" s="5" t="s">
        <v>29</v>
      </c>
      <c r="E65" s="6" t="str">
        <f t="array" ref="E65">IFERROR(INDEX(Airlines!$B:$B,MATCH(D65,Airlines!$A:$A,0)),"")</f>
        <v>AirAsia</v>
      </c>
      <c r="F65" s="6" t="str">
        <f>VLOOKUP(A65,Bookings!$A:$F,6,FALSE())</f>
        <v>Economy</v>
      </c>
      <c r="G65" s="6" t="str">
        <f t="array" ref="G65">IFERROR(INDEX(Flights!$E:$E,MATCH(B65,Flights!$A:$A,0)),"")</f>
        <v>Delhi</v>
      </c>
      <c r="H65" s="6" t="str">
        <f>VLOOKUP(B65,Flights!A:H,6,FALSE())</f>
        <v>Bengaluru</v>
      </c>
      <c r="I65" s="6" t="str">
        <f t="array" ref="I65">IFERROR(INDEX(Bookings!$G:$G,MATCH(B65,Bookings!$B:$B,0)),"")</f>
        <v>1</v>
      </c>
      <c r="J65" s="5">
        <f>VLOOKUP(B65,Bookings!B:H,7,FALSE())</f>
        <v>11.67</v>
      </c>
      <c r="K65" s="5" t="str">
        <f t="shared" si="1"/>
        <v>Long</v>
      </c>
      <c r="L65" s="11">
        <f t="array" ref="L65">IFERROR(INDEX(Bookings!$K:$K,MATCH(A65,Bookings!$A:$A,0)),"")</f>
        <v>3090</v>
      </c>
      <c r="M65" s="5" t="str">
        <f t="shared" si="2"/>
        <v>Low</v>
      </c>
      <c r="N65" s="5">
        <f t="array" ref="N65">IFERROR(INDEX(Bookings!$I:$I,MATCH(A65,Bookings!$A:$A,0)),"")</f>
        <v>48</v>
      </c>
      <c r="O65" s="5" t="str">
        <f t="shared" si="3"/>
        <v>Advance</v>
      </c>
      <c r="P65" s="5" t="str">
        <f t="shared" si="4"/>
        <v>Delhi -&gt; Bengaluru</v>
      </c>
    </row>
    <row r="66" ht="15.75" customHeight="1">
      <c r="A66" s="5" t="s">
        <v>335</v>
      </c>
      <c r="B66" s="5" t="s">
        <v>337</v>
      </c>
      <c r="C66" s="5" t="s">
        <v>108</v>
      </c>
      <c r="D66" s="5" t="s">
        <v>43</v>
      </c>
      <c r="E66" s="6" t="str">
        <f t="array" ref="E66">IFERROR(INDEX(Airlines!$B:$B,MATCH(D66,Airlines!$A:$A,0)),"")</f>
        <v>Indigo</v>
      </c>
      <c r="F66" s="6" t="str">
        <f>VLOOKUP(A66,Bookings!$A:$F,6,FALSE())</f>
        <v>Economy</v>
      </c>
      <c r="G66" s="6" t="str">
        <f t="array" ref="G66">IFERROR(INDEX(Flights!$E:$E,MATCH(B66,Flights!$A:$A,0)),"")</f>
        <v>Delhi</v>
      </c>
      <c r="H66" s="6" t="str">
        <f>VLOOKUP(B66,Flights!A:H,6,FALSE())</f>
        <v>Bengaluru</v>
      </c>
      <c r="I66" s="6" t="str">
        <f t="array" ref="I66">IFERROR(INDEX(Bookings!$G:$G,MATCH(B66,Bookings!$B:$B,0)),"")</f>
        <v>1</v>
      </c>
      <c r="J66" s="5">
        <f>VLOOKUP(B66,Bookings!B:H,7,FALSE())</f>
        <v>5.58</v>
      </c>
      <c r="K66" s="5" t="str">
        <f t="shared" si="1"/>
        <v>Medium</v>
      </c>
      <c r="L66" s="11">
        <f t="array" ref="L66">IFERROR(INDEX(Bookings!$K:$K,MATCH(A66,Bookings!$A:$A,0)),"")</f>
        <v>3671</v>
      </c>
      <c r="M66" s="5" t="str">
        <f t="shared" si="2"/>
        <v>Low</v>
      </c>
      <c r="N66" s="5">
        <f t="array" ref="N66">IFERROR(INDEX(Bookings!$I:$I,MATCH(A66,Bookings!$A:$A,0)),"")</f>
        <v>27</v>
      </c>
      <c r="O66" s="5" t="str">
        <f t="shared" si="3"/>
        <v>Moderate</v>
      </c>
      <c r="P66" s="5" t="str">
        <f t="shared" si="4"/>
        <v>Delhi -&gt; Bengaluru</v>
      </c>
    </row>
    <row r="67" ht="15.75" customHeight="1">
      <c r="A67" s="5" t="s">
        <v>342</v>
      </c>
      <c r="B67" s="5" t="s">
        <v>343</v>
      </c>
      <c r="C67" s="5" t="s">
        <v>108</v>
      </c>
      <c r="D67" s="5" t="s">
        <v>45</v>
      </c>
      <c r="E67" s="6" t="str">
        <f t="array" ref="E67">IFERROR(INDEX(Airlines!$B:$B,MATCH(D67,Airlines!$A:$A,0)),"")</f>
        <v>Air_India</v>
      </c>
      <c r="F67" s="6" t="str">
        <f>VLOOKUP(A67,Bookings!$A:$F,6,FALSE())</f>
        <v>Economy</v>
      </c>
      <c r="G67" s="6" t="str">
        <f t="array" ref="G67">IFERROR(INDEX(Flights!$E:$E,MATCH(B67,Flights!$A:$A,0)),"")</f>
        <v>Delhi</v>
      </c>
      <c r="H67" s="6" t="str">
        <f>VLOOKUP(B67,Flights!A:H,6,FALSE())</f>
        <v>Bengaluru</v>
      </c>
      <c r="I67" s="6" t="str">
        <f t="array" ref="I67">IFERROR(INDEX(Bookings!$G:$G,MATCH(B67,Bookings!$B:$B,0)),"")</f>
        <v>1</v>
      </c>
      <c r="J67" s="5">
        <f>VLOOKUP(B67,Bookings!B:H,7,FALSE())</f>
        <v>24.92</v>
      </c>
      <c r="K67" s="5" t="str">
        <f t="shared" si="1"/>
        <v>Long</v>
      </c>
      <c r="L67" s="11">
        <f t="array" ref="L67">IFERROR(INDEX(Bookings!$K:$K,MATCH(A67,Bookings!$A:$A,0)),"")</f>
        <v>4742</v>
      </c>
      <c r="M67" s="5" t="str">
        <f t="shared" si="2"/>
        <v>Medium</v>
      </c>
      <c r="N67" s="5">
        <f t="array" ref="N67">IFERROR(INDEX(Bookings!$I:$I,MATCH(A67,Bookings!$A:$A,0)),"")</f>
        <v>21</v>
      </c>
      <c r="O67" s="5" t="str">
        <f t="shared" si="3"/>
        <v>Moderate</v>
      </c>
      <c r="P67" s="5" t="str">
        <f t="shared" si="4"/>
        <v>Delhi -&gt; Bengaluru</v>
      </c>
    </row>
    <row r="68" ht="15.75" customHeight="1">
      <c r="A68" s="5" t="s">
        <v>348</v>
      </c>
      <c r="B68" s="5" t="s">
        <v>349</v>
      </c>
      <c r="C68" s="5" t="s">
        <v>108</v>
      </c>
      <c r="D68" s="5" t="s">
        <v>29</v>
      </c>
      <c r="E68" s="6" t="str">
        <f t="array" ref="E68">IFERROR(INDEX(Airlines!$B:$B,MATCH(D68,Airlines!$A:$A,0)),"")</f>
        <v>AirAsia</v>
      </c>
      <c r="F68" s="6" t="str">
        <f>VLOOKUP(A68,Bookings!$A:$F,6,FALSE())</f>
        <v>Economy</v>
      </c>
      <c r="G68" s="6" t="str">
        <f t="array" ref="G68">IFERROR(INDEX(Flights!$E:$E,MATCH(B68,Flights!$A:$A,0)),"")</f>
        <v>Delhi</v>
      </c>
      <c r="H68" s="6" t="str">
        <f>VLOOKUP(B68,Flights!A:H,6,FALSE())</f>
        <v>Bengaluru</v>
      </c>
      <c r="I68" s="6" t="str">
        <f t="array" ref="I68">IFERROR(INDEX(Bookings!$G:$G,MATCH(B68,Bookings!$B:$B,0)),"")</f>
        <v>2+</v>
      </c>
      <c r="J68" s="5">
        <f>VLOOKUP(B68,Bookings!B:H,7,FALSE())</f>
        <v>6.92</v>
      </c>
      <c r="K68" s="5" t="str">
        <f t="shared" si="1"/>
        <v>Medium</v>
      </c>
      <c r="L68" s="11">
        <f t="array" ref="L68">IFERROR(INDEX(Bookings!$K:$K,MATCH(A68,Bookings!$A:$A,0)),"")</f>
        <v>3090</v>
      </c>
      <c r="M68" s="5" t="str">
        <f t="shared" si="2"/>
        <v>Low</v>
      </c>
      <c r="N68" s="5">
        <f t="array" ref="N68">IFERROR(INDEX(Bookings!$I:$I,MATCH(A68,Bookings!$A:$A,0)),"")</f>
        <v>43</v>
      </c>
      <c r="O68" s="5" t="str">
        <f t="shared" si="3"/>
        <v>Advance</v>
      </c>
      <c r="P68" s="5" t="str">
        <f t="shared" si="4"/>
        <v>Delhi -&gt; Bengaluru</v>
      </c>
    </row>
    <row r="69" ht="15.75" customHeight="1">
      <c r="A69" s="5" t="s">
        <v>352</v>
      </c>
      <c r="B69" s="5" t="s">
        <v>353</v>
      </c>
      <c r="C69" s="5" t="s">
        <v>108</v>
      </c>
      <c r="D69" s="5" t="s">
        <v>29</v>
      </c>
      <c r="E69" s="6" t="str">
        <f t="array" ref="E69">IFERROR(INDEX(Airlines!$B:$B,MATCH(D69,Airlines!$A:$A,0)),"")</f>
        <v>AirAsia</v>
      </c>
      <c r="F69" s="6" t="str">
        <f>VLOOKUP(A69,Bookings!$A:$F,6,FALSE())</f>
        <v>Economy</v>
      </c>
      <c r="G69" s="6" t="str">
        <f t="array" ref="G69">IFERROR(INDEX(Flights!$E:$E,MATCH(B69,Flights!$A:$A,0)),"")</f>
        <v>Delhi</v>
      </c>
      <c r="H69" s="6" t="str">
        <f>VLOOKUP(B69,Flights!A:H,6,FALSE())</f>
        <v>Bengaluru</v>
      </c>
      <c r="I69" s="6" t="str">
        <f t="array" ref="I69">IFERROR(INDEX(Bookings!$G:$G,MATCH(B69,Bookings!$B:$B,0)),"")</f>
        <v>2+</v>
      </c>
      <c r="J69" s="5">
        <f>VLOOKUP(B69,Bookings!B:H,7,FALSE())</f>
        <v>10.5</v>
      </c>
      <c r="K69" s="5" t="str">
        <f t="shared" si="1"/>
        <v>Long</v>
      </c>
      <c r="L69" s="11">
        <f t="array" ref="L69">IFERROR(INDEX(Bookings!$K:$K,MATCH(A69,Bookings!$A:$A,0)),"")</f>
        <v>3090</v>
      </c>
      <c r="M69" s="5" t="str">
        <f t="shared" si="2"/>
        <v>Low</v>
      </c>
      <c r="N69" s="5">
        <f t="array" ref="N69">IFERROR(INDEX(Bookings!$I:$I,MATCH(A69,Bookings!$A:$A,0)),"")</f>
        <v>46</v>
      </c>
      <c r="O69" s="5" t="str">
        <f t="shared" si="3"/>
        <v>Advance</v>
      </c>
      <c r="P69" s="5" t="str">
        <f t="shared" si="4"/>
        <v>Delhi -&gt; Bengaluru</v>
      </c>
    </row>
    <row r="70" ht="15.75" customHeight="1">
      <c r="A70" s="5" t="s">
        <v>356</v>
      </c>
      <c r="B70" s="5" t="s">
        <v>357</v>
      </c>
      <c r="C70" s="5" t="s">
        <v>108</v>
      </c>
      <c r="D70" s="5" t="s">
        <v>58</v>
      </c>
      <c r="E70" s="6" t="str">
        <f t="array" ref="E70">IFERROR(INDEX(Airlines!$B:$B,MATCH(D70,Airlines!$A:$A,0)),"")</f>
        <v>Go_First</v>
      </c>
      <c r="F70" s="6" t="str">
        <f>VLOOKUP(A70,Bookings!$A:$F,6,FALSE())</f>
        <v>Economy</v>
      </c>
      <c r="G70" s="6" t="str">
        <f t="array" ref="G70">IFERROR(INDEX(Flights!$E:$E,MATCH(B70,Flights!$A:$A,0)),"")</f>
        <v>Delhi</v>
      </c>
      <c r="H70" s="6" t="str">
        <f>VLOOKUP(B70,Flights!A:H,6,FALSE())</f>
        <v>Bengaluru</v>
      </c>
      <c r="I70" s="6" t="str">
        <f t="array" ref="I70">IFERROR(INDEX(Bookings!$G:$G,MATCH(B70,Bookings!$B:$B,0)),"")</f>
        <v>1</v>
      </c>
      <c r="J70" s="5">
        <f>VLOOKUP(B70,Bookings!B:H,7,FALSE())</f>
        <v>8.75</v>
      </c>
      <c r="K70" s="5" t="str">
        <f t="shared" si="1"/>
        <v>Medium</v>
      </c>
      <c r="L70" s="11">
        <f t="array" ref="L70">IFERROR(INDEX(Bookings!$K:$K,MATCH(A70,Bookings!$A:$A,0)),"")</f>
        <v>4020</v>
      </c>
      <c r="M70" s="5" t="str">
        <f t="shared" si="2"/>
        <v>Low</v>
      </c>
      <c r="N70" s="5">
        <f t="array" ref="N70">IFERROR(INDEX(Bookings!$I:$I,MATCH(A70,Bookings!$A:$A,0)),"")</f>
        <v>46</v>
      </c>
      <c r="O70" s="5" t="str">
        <f t="shared" si="3"/>
        <v>Advance</v>
      </c>
      <c r="P70" s="5" t="str">
        <f t="shared" si="4"/>
        <v>Delhi -&gt; Bengaluru</v>
      </c>
    </row>
    <row r="71" ht="15.75" customHeight="1">
      <c r="A71" s="5" t="s">
        <v>359</v>
      </c>
      <c r="B71" s="5" t="s">
        <v>360</v>
      </c>
      <c r="C71" s="5" t="s">
        <v>108</v>
      </c>
      <c r="D71" s="5" t="s">
        <v>72</v>
      </c>
      <c r="E71" s="6" t="str">
        <f t="array" ref="E71">IFERROR(INDEX(Airlines!$B:$B,MATCH(D71,Airlines!$A:$A,0)),"")</f>
        <v>Spicejet</v>
      </c>
      <c r="F71" s="6" t="str">
        <f>VLOOKUP(A71,Bookings!$A:$F,6,FALSE())</f>
        <v>Economy</v>
      </c>
      <c r="G71" s="6" t="str">
        <f t="array" ref="G71">IFERROR(INDEX(Flights!$E:$E,MATCH(B71,Flights!$A:$A,0)),"")</f>
        <v>Delhi</v>
      </c>
      <c r="H71" s="6" t="str">
        <f>VLOOKUP(B71,Flights!A:H,6,FALSE())</f>
        <v>Bengaluru</v>
      </c>
      <c r="I71" s="6" t="str">
        <f t="array" ref="I71">IFERROR(INDEX(Bookings!$G:$G,MATCH(B71,Bookings!$B:$B,0)),"")</f>
        <v>1</v>
      </c>
      <c r="J71" s="5">
        <f>VLOOKUP(B71,Bookings!B:H,7,FALSE())</f>
        <v>8.42</v>
      </c>
      <c r="K71" s="5" t="str">
        <f t="shared" si="1"/>
        <v>Medium</v>
      </c>
      <c r="L71" s="11">
        <f t="array" ref="L71">IFERROR(INDEX(Bookings!$K:$K,MATCH(A71,Bookings!$A:$A,0)),"")</f>
        <v>4152</v>
      </c>
      <c r="M71" s="5" t="str">
        <f t="shared" si="2"/>
        <v>Low</v>
      </c>
      <c r="N71" s="5">
        <f t="array" ref="N71">IFERROR(INDEX(Bookings!$I:$I,MATCH(A71,Bookings!$A:$A,0)),"")</f>
        <v>46</v>
      </c>
      <c r="O71" s="5" t="str">
        <f t="shared" si="3"/>
        <v>Advance</v>
      </c>
      <c r="P71" s="5" t="str">
        <f t="shared" si="4"/>
        <v>Delhi -&gt; Bengaluru</v>
      </c>
    </row>
    <row r="72" ht="15.75" customHeight="1">
      <c r="A72" s="5" t="s">
        <v>364</v>
      </c>
      <c r="B72" s="5" t="s">
        <v>365</v>
      </c>
      <c r="C72" s="5" t="s">
        <v>108</v>
      </c>
      <c r="D72" s="5" t="s">
        <v>45</v>
      </c>
      <c r="E72" s="6" t="str">
        <f t="array" ref="E72">IFERROR(INDEX(Airlines!$B:$B,MATCH(D72,Airlines!$A:$A,0)),"")</f>
        <v>Air_India</v>
      </c>
      <c r="F72" s="6" t="str">
        <f>VLOOKUP(A72,Bookings!$A:$F,6,FALSE())</f>
        <v>Economy</v>
      </c>
      <c r="G72" s="6" t="str">
        <f t="array" ref="G72">IFERROR(INDEX(Flights!$E:$E,MATCH(B72,Flights!$A:$A,0)),"")</f>
        <v>Delhi</v>
      </c>
      <c r="H72" s="6" t="str">
        <f>VLOOKUP(B72,Flights!A:H,6,FALSE())</f>
        <v>Bengaluru</v>
      </c>
      <c r="I72" s="6" t="str">
        <f t="array" ref="I72">IFERROR(INDEX(Bookings!$G:$G,MATCH(B72,Bookings!$B:$B,0)),"")</f>
        <v>1</v>
      </c>
      <c r="J72" s="5">
        <f>VLOOKUP(B72,Bookings!B:H,7,FALSE())</f>
        <v>11.92</v>
      </c>
      <c r="K72" s="5" t="str">
        <f t="shared" si="1"/>
        <v>Long</v>
      </c>
      <c r="L72" s="11">
        <f t="array" ref="L72">IFERROR(INDEX(Bookings!$K:$K,MATCH(A72,Bookings!$A:$A,0)),"")</f>
        <v>4230</v>
      </c>
      <c r="M72" s="5" t="str">
        <f t="shared" si="2"/>
        <v>Low</v>
      </c>
      <c r="N72" s="5">
        <f t="array" ref="N72">IFERROR(INDEX(Bookings!$I:$I,MATCH(A72,Bookings!$A:$A,0)),"")</f>
        <v>47</v>
      </c>
      <c r="O72" s="5" t="str">
        <f t="shared" si="3"/>
        <v>Advance</v>
      </c>
      <c r="P72" s="5" t="str">
        <f t="shared" si="4"/>
        <v>Delhi -&gt; Bengaluru</v>
      </c>
    </row>
    <row r="73" ht="15.75" customHeight="1">
      <c r="A73" s="5" t="s">
        <v>368</v>
      </c>
      <c r="B73" s="5" t="s">
        <v>369</v>
      </c>
      <c r="C73" s="5" t="s">
        <v>108</v>
      </c>
      <c r="D73" s="5" t="s">
        <v>45</v>
      </c>
      <c r="E73" s="6" t="str">
        <f t="array" ref="E73">IFERROR(INDEX(Airlines!$B:$B,MATCH(D73,Airlines!$A:$A,0)),"")</f>
        <v>Air_India</v>
      </c>
      <c r="F73" s="6" t="str">
        <f>VLOOKUP(A73,Bookings!$A:$F,6,FALSE())</f>
        <v>Business</v>
      </c>
      <c r="G73" s="6" t="str">
        <f t="array" ref="G73">IFERROR(INDEX(Flights!$E:$E,MATCH(B73,Flights!$A:$A,0)),"")</f>
        <v>Delhi</v>
      </c>
      <c r="H73" s="6" t="str">
        <f>VLOOKUP(B73,Flights!A:H,6,FALSE())</f>
        <v>Bengaluru</v>
      </c>
      <c r="I73" s="6" t="str">
        <f t="array" ref="I73">IFERROR(INDEX(Bookings!$G:$G,MATCH(B73,Bookings!$B:$B,0)),"")</f>
        <v>1</v>
      </c>
      <c r="J73" s="5">
        <f>VLOOKUP(B73,Bookings!B:H,7,FALSE())</f>
        <v>13.92</v>
      </c>
      <c r="K73" s="5" t="str">
        <f t="shared" si="1"/>
        <v>Long</v>
      </c>
      <c r="L73" s="11">
        <f t="array" ref="L73">IFERROR(INDEX(Bookings!$K:$K,MATCH(A73,Bookings!$A:$A,0)),"")</f>
        <v>42457</v>
      </c>
      <c r="M73" s="5" t="str">
        <f t="shared" si="2"/>
        <v>High</v>
      </c>
      <c r="N73" s="5">
        <f t="array" ref="N73">IFERROR(INDEX(Bookings!$I:$I,MATCH(A73,Bookings!$A:$A,0)),"")</f>
        <v>45</v>
      </c>
      <c r="O73" s="5" t="str">
        <f t="shared" si="3"/>
        <v>Advance</v>
      </c>
      <c r="P73" s="5" t="str">
        <f t="shared" si="4"/>
        <v>Delhi -&gt; Bengaluru</v>
      </c>
    </row>
    <row r="74" ht="15.75" customHeight="1">
      <c r="A74" s="5" t="s">
        <v>371</v>
      </c>
      <c r="B74" s="5" t="s">
        <v>373</v>
      </c>
      <c r="C74" s="5" t="s">
        <v>108</v>
      </c>
      <c r="D74" s="5" t="s">
        <v>72</v>
      </c>
      <c r="E74" s="6" t="str">
        <f t="array" ref="E74">IFERROR(INDEX(Airlines!$B:$B,MATCH(D74,Airlines!$A:$A,0)),"")</f>
        <v>Spicejet</v>
      </c>
      <c r="F74" s="6" t="str">
        <f>VLOOKUP(A74,Bookings!$A:$F,6,FALSE())</f>
        <v>Economy</v>
      </c>
      <c r="G74" s="6" t="str">
        <f t="array" ref="G74">IFERROR(INDEX(Flights!$E:$E,MATCH(B74,Flights!$A:$A,0)),"")</f>
        <v>Delhi</v>
      </c>
      <c r="H74" s="6" t="str">
        <f>VLOOKUP(B74,Flights!A:H,6,FALSE())</f>
        <v>Bengaluru</v>
      </c>
      <c r="I74" s="6" t="str">
        <f t="array" ref="I74">IFERROR(INDEX(Bookings!$G:$G,MATCH(B74,Bookings!$B:$B,0)),"")</f>
        <v>0</v>
      </c>
      <c r="J74" s="5">
        <f>VLOOKUP(B74,Bookings!B:H,7,FALSE())</f>
        <v>2.75</v>
      </c>
      <c r="K74" s="5" t="str">
        <f t="shared" si="1"/>
        <v>Short</v>
      </c>
      <c r="L74" s="11">
        <f t="array" ref="L74">IFERROR(INDEX(Bookings!$K:$K,MATCH(A74,Bookings!$A:$A,0)),"")</f>
        <v>4500</v>
      </c>
      <c r="M74" s="5" t="str">
        <f t="shared" si="2"/>
        <v>Low</v>
      </c>
      <c r="N74" s="5">
        <f t="array" ref="N74">IFERROR(INDEX(Bookings!$I:$I,MATCH(A74,Bookings!$A:$A,0)),"")</f>
        <v>46</v>
      </c>
      <c r="O74" s="5" t="str">
        <f t="shared" si="3"/>
        <v>Advance</v>
      </c>
      <c r="P74" s="5" t="str">
        <f t="shared" si="4"/>
        <v>Delhi -&gt; Bengaluru</v>
      </c>
    </row>
    <row r="75" ht="15.75" customHeight="1">
      <c r="A75" s="5" t="s">
        <v>377</v>
      </c>
      <c r="B75" s="5" t="s">
        <v>378</v>
      </c>
      <c r="C75" s="5" t="s">
        <v>108</v>
      </c>
      <c r="D75" s="5" t="s">
        <v>20</v>
      </c>
      <c r="E75" s="6" t="str">
        <f t="array" ref="E75">IFERROR(INDEX(Airlines!$B:$B,MATCH(D75,Airlines!$A:$A,0)),"")</f>
        <v>Vistara</v>
      </c>
      <c r="F75" s="6" t="str">
        <f>VLOOKUP(A75,Bookings!$A:$F,6,FALSE())</f>
        <v>Business</v>
      </c>
      <c r="G75" s="6" t="str">
        <f t="array" ref="G75">IFERROR(INDEX(Flights!$E:$E,MATCH(B75,Flights!$A:$A,0)),"")</f>
        <v>Delhi</v>
      </c>
      <c r="H75" s="6" t="str">
        <f>VLOOKUP(B75,Flights!A:H,6,FALSE())</f>
        <v>Bengaluru</v>
      </c>
      <c r="I75" s="6" t="str">
        <f t="array" ref="I75">IFERROR(INDEX(Bookings!$G:$G,MATCH(B75,Bookings!$B:$B,0)),"")</f>
        <v>1</v>
      </c>
      <c r="J75" s="5">
        <f>VLOOKUP(B75,Bookings!B:H,7,FALSE())</f>
        <v>8.83</v>
      </c>
      <c r="K75" s="5" t="str">
        <f t="shared" si="1"/>
        <v>Medium</v>
      </c>
      <c r="L75" s="11">
        <f t="array" ref="L75">IFERROR(INDEX(Bookings!$K:$K,MATCH(A75,Bookings!$A:$A,0)),"")</f>
        <v>48234</v>
      </c>
      <c r="M75" s="5" t="str">
        <f t="shared" si="2"/>
        <v>High</v>
      </c>
      <c r="N75" s="5">
        <f t="array" ref="N75">IFERROR(INDEX(Bookings!$I:$I,MATCH(A75,Bookings!$A:$A,0)),"")</f>
        <v>45</v>
      </c>
      <c r="O75" s="5" t="str">
        <f t="shared" si="3"/>
        <v>Advance</v>
      </c>
      <c r="P75" s="5" t="str">
        <f t="shared" si="4"/>
        <v>Delhi -&gt; Bengaluru</v>
      </c>
    </row>
    <row r="76" ht="15.75" customHeight="1">
      <c r="A76" s="5" t="s">
        <v>381</v>
      </c>
      <c r="B76" s="5" t="s">
        <v>382</v>
      </c>
      <c r="C76" s="5" t="s">
        <v>108</v>
      </c>
      <c r="D76" s="5" t="s">
        <v>45</v>
      </c>
      <c r="E76" s="6" t="str">
        <f t="array" ref="E76">IFERROR(INDEX(Airlines!$B:$B,MATCH(D76,Airlines!$A:$A,0)),"")</f>
        <v>Air_India</v>
      </c>
      <c r="F76" s="6" t="str">
        <f>VLOOKUP(A76,Bookings!$A:$F,6,FALSE())</f>
        <v>Economy</v>
      </c>
      <c r="G76" s="6" t="str">
        <f t="array" ref="G76">IFERROR(INDEX(Flights!$E:$E,MATCH(B76,Flights!$A:$A,0)),"")</f>
        <v>Delhi</v>
      </c>
      <c r="H76" s="6" t="str">
        <f>VLOOKUP(B76,Flights!A:H,6,FALSE())</f>
        <v>Bengaluru</v>
      </c>
      <c r="I76" s="6" t="str">
        <f t="array" ref="I76">IFERROR(INDEX(Bookings!$G:$G,MATCH(B76,Bookings!$B:$B,0)),"")</f>
        <v>1</v>
      </c>
      <c r="J76" s="5">
        <f>VLOOKUP(B76,Bookings!B:H,7,FALSE())</f>
        <v>6.75</v>
      </c>
      <c r="K76" s="5" t="str">
        <f t="shared" si="1"/>
        <v>Medium</v>
      </c>
      <c r="L76" s="11">
        <f t="array" ref="L76">IFERROR(INDEX(Bookings!$K:$K,MATCH(A76,Bookings!$A:$A,0)),"")</f>
        <v>6177</v>
      </c>
      <c r="M76" s="5" t="str">
        <f t="shared" si="2"/>
        <v>Medium</v>
      </c>
      <c r="N76" s="5" t="str">
        <f t="array" ref="N76">IFERROR(INDEX(Bookings!$I:$I,MATCH(A76,Bookings!$A:$A,0)),"")</f>
        <v/>
      </c>
      <c r="O76" s="5" t="str">
        <f t="shared" si="3"/>
        <v>Last Minute</v>
      </c>
      <c r="P76" s="5" t="str">
        <f t="shared" si="4"/>
        <v>Delhi -&gt; Bengaluru</v>
      </c>
    </row>
    <row r="77" ht="15.75" customHeight="1">
      <c r="A77" s="5" t="s">
        <v>386</v>
      </c>
      <c r="B77" s="5" t="s">
        <v>388</v>
      </c>
      <c r="C77" s="5" t="s">
        <v>108</v>
      </c>
      <c r="D77" s="5" t="s">
        <v>58</v>
      </c>
      <c r="E77" s="6" t="str">
        <f t="array" ref="E77">IFERROR(INDEX(Airlines!$B:$B,MATCH(D77,Airlines!$A:$A,0)),"")</f>
        <v>Go_First</v>
      </c>
      <c r="F77" s="6" t="str">
        <f>VLOOKUP(A77,Bookings!$A:$F,6,FALSE())</f>
        <v>Economy</v>
      </c>
      <c r="G77" s="6" t="str">
        <f t="array" ref="G77">IFERROR(INDEX(Flights!$E:$E,MATCH(B77,Flights!$A:$A,0)),"")</f>
        <v>Delhi</v>
      </c>
      <c r="H77" s="6" t="str">
        <f>VLOOKUP(B77,Flights!A:H,6,FALSE())</f>
        <v>Bengaluru</v>
      </c>
      <c r="I77" s="6" t="str">
        <f t="array" ref="I77">IFERROR(INDEX(Bookings!$G:$G,MATCH(B77,Bookings!$B:$B,0)),"")</f>
        <v>1</v>
      </c>
      <c r="J77" s="5">
        <f>VLOOKUP(B77,Bookings!B:H,7,FALSE())</f>
        <v>9.08</v>
      </c>
      <c r="K77" s="5" t="str">
        <f t="shared" si="1"/>
        <v>Medium</v>
      </c>
      <c r="L77" s="11">
        <f t="array" ref="L77">IFERROR(INDEX(Bookings!$K:$K,MATCH(A77,Bookings!$A:$A,0)),"")</f>
        <v>5610</v>
      </c>
      <c r="M77" s="5" t="str">
        <f t="shared" si="2"/>
        <v>Medium</v>
      </c>
      <c r="N77" s="5">
        <f t="array" ref="N77">IFERROR(INDEX(Bookings!$I:$I,MATCH(A77,Bookings!$A:$A,0)),"")</f>
        <v>46</v>
      </c>
      <c r="O77" s="5" t="str">
        <f t="shared" si="3"/>
        <v>Advance</v>
      </c>
      <c r="P77" s="5" t="str">
        <f t="shared" si="4"/>
        <v>Delhi -&gt; Bengaluru</v>
      </c>
    </row>
    <row r="78" ht="15.75" customHeight="1">
      <c r="A78" s="5" t="s">
        <v>390</v>
      </c>
      <c r="B78" s="5" t="s">
        <v>391</v>
      </c>
      <c r="C78" s="5" t="s">
        <v>108</v>
      </c>
      <c r="D78" s="5" t="s">
        <v>20</v>
      </c>
      <c r="E78" s="6" t="str">
        <f t="array" ref="E78">IFERROR(INDEX(Airlines!$B:$B,MATCH(D78,Airlines!$A:$A,0)),"")</f>
        <v>Vistara</v>
      </c>
      <c r="F78" s="6" t="str">
        <f>VLOOKUP(A78,Bookings!$A:$F,6,FALSE())</f>
        <v>Economy</v>
      </c>
      <c r="G78" s="6" t="str">
        <f t="array" ref="G78">IFERROR(INDEX(Flights!$E:$E,MATCH(B78,Flights!$A:$A,0)),"")</f>
        <v>Delhi</v>
      </c>
      <c r="H78" s="6" t="str">
        <f>VLOOKUP(B78,Flights!A:H,6,FALSE())</f>
        <v>Bengaluru</v>
      </c>
      <c r="I78" s="6" t="str">
        <f t="array" ref="I78">IFERROR(INDEX(Bookings!$G:$G,MATCH(B78,Bookings!$B:$B,0)),"")</f>
        <v>1</v>
      </c>
      <c r="J78" s="5">
        <f>VLOOKUP(B78,Bookings!B:H,7,FALSE())</f>
        <v>14.17</v>
      </c>
      <c r="K78" s="5" t="str">
        <f t="shared" si="1"/>
        <v>Long</v>
      </c>
      <c r="L78" s="11">
        <f t="array" ref="L78">IFERROR(INDEX(Bookings!$K:$K,MATCH(A78,Bookings!$A:$A,0)),"")</f>
        <v>7023</v>
      </c>
      <c r="M78" s="5" t="str">
        <f t="shared" si="2"/>
        <v>Medium</v>
      </c>
      <c r="N78" s="5">
        <f t="array" ref="N78">IFERROR(INDEX(Bookings!$I:$I,MATCH(A78,Bookings!$A:$A,0)),"")</f>
        <v>48</v>
      </c>
      <c r="O78" s="5" t="str">
        <f t="shared" si="3"/>
        <v>Advance</v>
      </c>
      <c r="P78" s="5" t="str">
        <f t="shared" si="4"/>
        <v>Delhi -&gt; Bengaluru</v>
      </c>
    </row>
    <row r="79" ht="15.75" customHeight="1">
      <c r="A79" s="5" t="s">
        <v>395</v>
      </c>
      <c r="B79" s="5" t="s">
        <v>396</v>
      </c>
      <c r="C79" s="5" t="s">
        <v>108</v>
      </c>
      <c r="D79" s="5" t="s">
        <v>20</v>
      </c>
      <c r="E79" s="6" t="str">
        <f t="array" ref="E79">IFERROR(INDEX(Airlines!$B:$B,MATCH(D79,Airlines!$A:$A,0)),"")</f>
        <v>Vistara</v>
      </c>
      <c r="F79" s="6" t="str">
        <f>VLOOKUP(A79,Bookings!$A:$F,6,FALSE())</f>
        <v>Economy</v>
      </c>
      <c r="G79" s="6" t="str">
        <f t="array" ref="G79">IFERROR(INDEX(Flights!$E:$E,MATCH(B79,Flights!$A:$A,0)),"")</f>
        <v>Delhi</v>
      </c>
      <c r="H79" s="6" t="str">
        <f>VLOOKUP(B79,Flights!A:H,6,FALSE())</f>
        <v>Bengaluru</v>
      </c>
      <c r="I79" s="6" t="str">
        <f t="array" ref="I79">IFERROR(INDEX(Bookings!$G:$G,MATCH(B79,Bookings!$B:$B,0)),"")</f>
        <v>1</v>
      </c>
      <c r="J79" s="5">
        <f>VLOOKUP(B79,Bookings!B:H,7,FALSE())</f>
        <v>17.08</v>
      </c>
      <c r="K79" s="5" t="str">
        <f t="shared" si="1"/>
        <v>Long</v>
      </c>
      <c r="L79" s="11">
        <f t="array" ref="L79">IFERROR(INDEX(Bookings!$K:$K,MATCH(A79,Bookings!$A:$A,0)),"")</f>
        <v>7023</v>
      </c>
      <c r="M79" s="5" t="str">
        <f t="shared" si="2"/>
        <v>Medium</v>
      </c>
      <c r="N79" s="5">
        <f t="array" ref="N79">IFERROR(INDEX(Bookings!$I:$I,MATCH(A79,Bookings!$A:$A,0)),"")</f>
        <v>46</v>
      </c>
      <c r="O79" s="5" t="str">
        <f t="shared" si="3"/>
        <v>Advance</v>
      </c>
      <c r="P79" s="5" t="str">
        <f t="shared" si="4"/>
        <v>Delhi -&gt; Bengaluru</v>
      </c>
    </row>
    <row r="80" ht="15.75" customHeight="1">
      <c r="A80" s="5" t="s">
        <v>399</v>
      </c>
      <c r="B80" s="5" t="s">
        <v>401</v>
      </c>
      <c r="C80" s="5" t="s">
        <v>131</v>
      </c>
      <c r="D80" s="5" t="s">
        <v>43</v>
      </c>
      <c r="E80" s="6" t="str">
        <f t="array" ref="E80">IFERROR(INDEX(Airlines!$B:$B,MATCH(D80,Airlines!$A:$A,0)),"")</f>
        <v>Indigo</v>
      </c>
      <c r="F80" s="6" t="str">
        <f>VLOOKUP(A80,Bookings!$A:$F,6,FALSE())</f>
        <v>Economy</v>
      </c>
      <c r="G80" s="6" t="str">
        <f t="array" ref="G80">IFERROR(INDEX(Flights!$E:$E,MATCH(B80,Flights!$A:$A,0)),"")</f>
        <v>Delhi</v>
      </c>
      <c r="H80" s="6" t="str">
        <f>VLOOKUP(B80,Flights!A:H,6,FALSE())</f>
        <v>Kolkata</v>
      </c>
      <c r="I80" s="6" t="str">
        <f t="array" ref="I80">IFERROR(INDEX(Bookings!$G:$G,MATCH(B80,Bookings!$B:$B,0)),"")</f>
        <v>0</v>
      </c>
      <c r="J80" s="5">
        <f>VLOOKUP(B80,Bookings!B:H,7,FALSE())</f>
        <v>2.25</v>
      </c>
      <c r="K80" s="5" t="str">
        <f t="shared" si="1"/>
        <v>Short</v>
      </c>
      <c r="L80" s="11">
        <f t="array" ref="L80">IFERROR(INDEX(Bookings!$K:$K,MATCH(A80,Bookings!$A:$A,0)),"")</f>
        <v>5955</v>
      </c>
      <c r="M80" s="5" t="str">
        <f t="shared" si="2"/>
        <v>Medium</v>
      </c>
      <c r="N80" s="5">
        <f t="array" ref="N80">IFERROR(INDEX(Bookings!$I:$I,MATCH(A80,Bookings!$A:$A,0)),"")</f>
        <v>1</v>
      </c>
      <c r="O80" s="5" t="str">
        <f t="shared" si="3"/>
        <v>Last Minute</v>
      </c>
      <c r="P80" s="5" t="str">
        <f t="shared" si="4"/>
        <v>Delhi -&gt; Kolkata</v>
      </c>
    </row>
    <row r="81" ht="15.75" customHeight="1">
      <c r="A81" s="5" t="s">
        <v>403</v>
      </c>
      <c r="B81" s="5" t="s">
        <v>404</v>
      </c>
      <c r="C81" s="5" t="s">
        <v>131</v>
      </c>
      <c r="D81" s="5" t="s">
        <v>43</v>
      </c>
      <c r="E81" s="6" t="str">
        <f t="array" ref="E81">IFERROR(INDEX(Airlines!$B:$B,MATCH(D81,Airlines!$A:$A,0)),"")</f>
        <v>Indigo</v>
      </c>
      <c r="F81" s="6" t="str">
        <f>VLOOKUP(A81,Bookings!$A:$F,6,FALSE())</f>
        <v>Economy</v>
      </c>
      <c r="G81" s="6" t="str">
        <f t="array" ref="G81">IFERROR(INDEX(Flights!$E:$E,MATCH(B81,Flights!$A:$A,0)),"")</f>
        <v>Delhi</v>
      </c>
      <c r="H81" s="6" t="str">
        <f>VLOOKUP(B81,Flights!A:H,6,FALSE())</f>
        <v>Kolkata</v>
      </c>
      <c r="I81" s="6" t="str">
        <f t="array" ref="I81">IFERROR(INDEX(Bookings!$G:$G,MATCH(B81,Bookings!$B:$B,0)),"")</f>
        <v>1</v>
      </c>
      <c r="J81" s="5">
        <f>VLOOKUP(B81,Bookings!B:H,7,FALSE())</f>
        <v>5.67</v>
      </c>
      <c r="K81" s="5" t="str">
        <f t="shared" si="1"/>
        <v>Medium</v>
      </c>
      <c r="L81" s="11">
        <f t="array" ref="L81">IFERROR(INDEX(Bookings!$K:$K,MATCH(A81,Bookings!$A:$A,0)),"")</f>
        <v>5955</v>
      </c>
      <c r="M81" s="5" t="str">
        <f t="shared" si="2"/>
        <v>Medium</v>
      </c>
      <c r="N81" s="5">
        <f t="array" ref="N81">IFERROR(INDEX(Bookings!$I:$I,MATCH(A81,Bookings!$A:$A,0)),"")</f>
        <v>16</v>
      </c>
      <c r="O81" s="5" t="str">
        <f t="shared" si="3"/>
        <v>Moderate</v>
      </c>
      <c r="P81" s="5" t="str">
        <f t="shared" si="4"/>
        <v>Delhi -&gt; Kolkata</v>
      </c>
    </row>
    <row r="82" ht="15.75" customHeight="1">
      <c r="A82" s="5" t="s">
        <v>406</v>
      </c>
      <c r="B82" s="5" t="s">
        <v>407</v>
      </c>
      <c r="C82" s="5" t="s">
        <v>131</v>
      </c>
      <c r="D82" s="5" t="s">
        <v>43</v>
      </c>
      <c r="E82" s="6" t="str">
        <f t="array" ref="E82">IFERROR(INDEX(Airlines!$B:$B,MATCH(D82,Airlines!$A:$A,0)),"")</f>
        <v>Indigo</v>
      </c>
      <c r="F82" s="6" t="str">
        <f>VLOOKUP(A82,Bookings!$A:$F,6,FALSE())</f>
        <v>Economy</v>
      </c>
      <c r="G82" s="6" t="str">
        <f t="array" ref="G82">IFERROR(INDEX(Flights!$E:$E,MATCH(B82,Flights!$A:$A,0)),"")</f>
        <v>Delhi</v>
      </c>
      <c r="H82" s="6" t="str">
        <f>VLOOKUP(B82,Flights!A:H,6,FALSE())</f>
        <v>Kolkata</v>
      </c>
      <c r="I82" s="6" t="str">
        <f t="array" ref="I82">IFERROR(INDEX(Bookings!$G:$G,MATCH(B82,Bookings!$B:$B,0)),"")</f>
        <v>0</v>
      </c>
      <c r="J82" s="5">
        <f>VLOOKUP(B82,Bookings!B:H,7,FALSE())</f>
        <v>2.17</v>
      </c>
      <c r="K82" s="5" t="str">
        <f t="shared" si="1"/>
        <v>Short</v>
      </c>
      <c r="L82" s="11">
        <f t="array" ref="L82">IFERROR(INDEX(Bookings!$K:$K,MATCH(A82,Bookings!$A:$A,0)),"")</f>
        <v>6270</v>
      </c>
      <c r="M82" s="5" t="str">
        <f t="shared" si="2"/>
        <v>Medium</v>
      </c>
      <c r="N82" s="5">
        <f t="array" ref="N82">IFERROR(INDEX(Bookings!$I:$I,MATCH(A82,Bookings!$A:$A,0)),"")</f>
        <v>1</v>
      </c>
      <c r="O82" s="5" t="str">
        <f t="shared" si="3"/>
        <v>Last Minute</v>
      </c>
      <c r="P82" s="5" t="str">
        <f t="shared" si="4"/>
        <v>Delhi -&gt; Kolkata</v>
      </c>
    </row>
    <row r="83" ht="15.75" customHeight="1">
      <c r="A83" s="5" t="s">
        <v>411</v>
      </c>
      <c r="B83" s="5" t="s">
        <v>412</v>
      </c>
      <c r="C83" s="5" t="s">
        <v>131</v>
      </c>
      <c r="D83" s="5" t="s">
        <v>72</v>
      </c>
      <c r="E83" s="6" t="str">
        <f t="array" ref="E83">IFERROR(INDEX(Airlines!$B:$B,MATCH(D83,Airlines!$A:$A,0)),"")</f>
        <v>Spicejet</v>
      </c>
      <c r="F83" s="6" t="str">
        <f>VLOOKUP(A83,Bookings!$A:$F,6,FALSE())</f>
        <v>Economy</v>
      </c>
      <c r="G83" s="6" t="str">
        <f t="array" ref="G83">IFERROR(INDEX(Flights!$E:$E,MATCH(B83,Flights!$A:$A,0)),"")</f>
        <v>Delhi</v>
      </c>
      <c r="H83" s="6" t="str">
        <f>VLOOKUP(B83,Flights!A:H,6,FALSE())</f>
        <v>Kolkata</v>
      </c>
      <c r="I83" s="6" t="str">
        <f t="array" ref="I83">IFERROR(INDEX(Bookings!$G:$G,MATCH(B83,Bookings!$B:$B,0)),"")</f>
        <v>0</v>
      </c>
      <c r="J83" s="5">
        <f>VLOOKUP(B83,Bookings!B:H,7,FALSE())</f>
        <v>2.17</v>
      </c>
      <c r="K83" s="5" t="str">
        <f t="shared" si="1"/>
        <v>Short</v>
      </c>
      <c r="L83" s="11">
        <f t="array" ref="L83">IFERROR(INDEX(Bookings!$K:$K,MATCH(A83,Bookings!$A:$A,0)),"")</f>
        <v>4000</v>
      </c>
      <c r="M83" s="5" t="str">
        <f t="shared" si="2"/>
        <v>Low</v>
      </c>
      <c r="N83" s="5">
        <f t="array" ref="N83">IFERROR(INDEX(Bookings!$I:$I,MATCH(A83,Bookings!$A:$A,0)),"")</f>
        <v>38</v>
      </c>
      <c r="O83" s="5" t="str">
        <f t="shared" si="3"/>
        <v>Advance</v>
      </c>
      <c r="P83" s="5" t="str">
        <f t="shared" si="4"/>
        <v>Delhi -&gt; Kolkata</v>
      </c>
    </row>
    <row r="84" ht="15.75" customHeight="1">
      <c r="A84" s="5" t="s">
        <v>415</v>
      </c>
      <c r="B84" s="5" t="s">
        <v>416</v>
      </c>
      <c r="C84" s="5" t="s">
        <v>131</v>
      </c>
      <c r="D84" s="5" t="s">
        <v>45</v>
      </c>
      <c r="E84" s="6" t="str">
        <f t="array" ref="E84">IFERROR(INDEX(Airlines!$B:$B,MATCH(D84,Airlines!$A:$A,0)),"")</f>
        <v>Air_India</v>
      </c>
      <c r="F84" s="6" t="str">
        <f>VLOOKUP(A84,Bookings!$A:$F,6,FALSE())</f>
        <v>Business</v>
      </c>
      <c r="G84" s="6" t="str">
        <f t="array" ref="G84">IFERROR(INDEX(Flights!$E:$E,MATCH(B84,Flights!$A:$A,0)),"")</f>
        <v>Delhi</v>
      </c>
      <c r="H84" s="6" t="str">
        <f>VLOOKUP(B84,Flights!A:H,6,FALSE())</f>
        <v>Kolkata</v>
      </c>
      <c r="I84" s="6" t="str">
        <f t="array" ref="I84">IFERROR(INDEX(Bookings!$G:$G,MATCH(B84,Bookings!$B:$B,0)),"")</f>
        <v>0</v>
      </c>
      <c r="J84" s="5">
        <f>VLOOKUP(B84,Bookings!B:H,7,FALSE())</f>
        <v>2.17</v>
      </c>
      <c r="K84" s="5" t="str">
        <f t="shared" si="1"/>
        <v>Short</v>
      </c>
      <c r="L84" s="11">
        <f t="array" ref="L84">IFERROR(INDEX(Bookings!$K:$K,MATCH(A84,Bookings!$A:$A,0)),"")</f>
        <v>27976</v>
      </c>
      <c r="M84" s="5" t="str">
        <f t="shared" si="2"/>
        <v>High</v>
      </c>
      <c r="N84" s="5">
        <f t="array" ref="N84">IFERROR(INDEX(Bookings!$I:$I,MATCH(A84,Bookings!$A:$A,0)),"")</f>
        <v>34</v>
      </c>
      <c r="O84" s="5" t="str">
        <f t="shared" si="3"/>
        <v>Advance</v>
      </c>
      <c r="P84" s="5" t="str">
        <f t="shared" si="4"/>
        <v>Delhi -&gt; Kolkata</v>
      </c>
    </row>
    <row r="85" ht="15.75" customHeight="1">
      <c r="A85" s="5" t="s">
        <v>421</v>
      </c>
      <c r="B85" s="5" t="s">
        <v>422</v>
      </c>
      <c r="C85" s="5" t="s">
        <v>131</v>
      </c>
      <c r="D85" s="5" t="s">
        <v>45</v>
      </c>
      <c r="E85" s="6" t="str">
        <f t="array" ref="E85">IFERROR(INDEX(Airlines!$B:$B,MATCH(D85,Airlines!$A:$A,0)),"")</f>
        <v>Air_India</v>
      </c>
      <c r="F85" s="6" t="str">
        <f>VLOOKUP(A85,Bookings!$A:$F,6,FALSE())</f>
        <v>Economy</v>
      </c>
      <c r="G85" s="6" t="str">
        <f t="array" ref="G85">IFERROR(INDEX(Flights!$E:$E,MATCH(B85,Flights!$A:$A,0)),"")</f>
        <v>Delhi</v>
      </c>
      <c r="H85" s="6" t="str">
        <f>VLOOKUP(B85,Flights!A:H,6,FALSE())</f>
        <v>Kolkata</v>
      </c>
      <c r="I85" s="6" t="str">
        <f t="array" ref="I85">IFERROR(INDEX(Bookings!$G:$G,MATCH(B85,Bookings!$B:$B,0)),"")</f>
        <v>1</v>
      </c>
      <c r="J85" s="5">
        <f>VLOOKUP(B85,Bookings!B:H,7,FALSE())</f>
        <v>29.83</v>
      </c>
      <c r="K85" s="5" t="str">
        <f t="shared" si="1"/>
        <v>Long</v>
      </c>
      <c r="L85" s="11">
        <f t="array" ref="L85">IFERROR(INDEX(Bookings!$K:$K,MATCH(A85,Bookings!$A:$A,0)),"")</f>
        <v>5805</v>
      </c>
      <c r="M85" s="5" t="str">
        <f t="shared" si="2"/>
        <v>Medium</v>
      </c>
      <c r="N85" s="5">
        <f t="array" ref="N85">IFERROR(INDEX(Bookings!$I:$I,MATCH(A85,Bookings!$A:$A,0)),"")</f>
        <v>24</v>
      </c>
      <c r="O85" s="5" t="str">
        <f t="shared" si="3"/>
        <v>Moderate</v>
      </c>
      <c r="P85" s="5" t="str">
        <f t="shared" si="4"/>
        <v>Delhi -&gt; Kolkata</v>
      </c>
    </row>
    <row r="86" ht="15.75" customHeight="1">
      <c r="A86" s="5" t="s">
        <v>426</v>
      </c>
      <c r="B86" s="5" t="s">
        <v>427</v>
      </c>
      <c r="C86" s="5" t="s">
        <v>131</v>
      </c>
      <c r="D86" s="5" t="s">
        <v>43</v>
      </c>
      <c r="E86" s="6" t="str">
        <f t="array" ref="E86">IFERROR(INDEX(Airlines!$B:$B,MATCH(D86,Airlines!$A:$A,0)),"")</f>
        <v>Indigo</v>
      </c>
      <c r="F86" s="6" t="str">
        <f>VLOOKUP(A86,Bookings!$A:$F,6,FALSE())</f>
        <v>Economy</v>
      </c>
      <c r="G86" s="6" t="str">
        <f t="array" ref="G86">IFERROR(INDEX(Flights!$E:$E,MATCH(B86,Flights!$A:$A,0)),"")</f>
        <v>Delhi</v>
      </c>
      <c r="H86" s="6" t="str">
        <f>VLOOKUP(B86,Flights!A:H,6,FALSE())</f>
        <v>Kolkata</v>
      </c>
      <c r="I86" s="6" t="str">
        <f t="array" ref="I86">IFERROR(INDEX(Bookings!$G:$G,MATCH(B86,Bookings!$B:$B,0)),"")</f>
        <v>1</v>
      </c>
      <c r="J86" s="5">
        <f>VLOOKUP(B86,Bookings!B:H,7,FALSE())</f>
        <v>8</v>
      </c>
      <c r="K86" s="5" t="str">
        <f t="shared" si="1"/>
        <v>Medium</v>
      </c>
      <c r="L86" s="11">
        <f t="array" ref="L86">IFERROR(INDEX(Bookings!$K:$K,MATCH(A86,Bookings!$A:$A,0)),"")</f>
        <v>14985</v>
      </c>
      <c r="M86" s="5" t="str">
        <f t="shared" si="2"/>
        <v>Medium</v>
      </c>
      <c r="N86" s="5" t="str">
        <f t="array" ref="N86">IFERROR(INDEX(Bookings!$I:$I,MATCH(A86,Bookings!$A:$A,0)),"")</f>
        <v/>
      </c>
      <c r="O86" s="5" t="str">
        <f t="shared" si="3"/>
        <v>Last Minute</v>
      </c>
      <c r="P86" s="5" t="str">
        <f t="shared" si="4"/>
        <v>Delhi -&gt; Kolkata</v>
      </c>
    </row>
    <row r="87" ht="15.75" customHeight="1">
      <c r="A87" s="5" t="s">
        <v>431</v>
      </c>
      <c r="B87" s="5" t="s">
        <v>432</v>
      </c>
      <c r="C87" s="5" t="s">
        <v>131</v>
      </c>
      <c r="D87" s="5" t="s">
        <v>58</v>
      </c>
      <c r="E87" s="6" t="str">
        <f t="array" ref="E87">IFERROR(INDEX(Airlines!$B:$B,MATCH(D87,Airlines!$A:$A,0)),"")</f>
        <v>Go_First</v>
      </c>
      <c r="F87" s="6" t="str">
        <f>VLOOKUP(A87,Bookings!$A:$F,6,FALSE())</f>
        <v>Economy</v>
      </c>
      <c r="G87" s="6" t="str">
        <f t="array" ref="G87">IFERROR(INDEX(Flights!$E:$E,MATCH(B87,Flights!$A:$A,0)),"")</f>
        <v>Delhi</v>
      </c>
      <c r="H87" s="6" t="str">
        <f>VLOOKUP(B87,Flights!A:H,6,FALSE())</f>
        <v>Kolkata</v>
      </c>
      <c r="I87" s="6" t="str">
        <f t="array" ref="I87">IFERROR(INDEX(Bookings!$G:$G,MATCH(B87,Bookings!$B:$B,0)),"")</f>
        <v>1</v>
      </c>
      <c r="J87" s="5">
        <f>VLOOKUP(B87,Bookings!B:H,7,FALSE())</f>
        <v>9.25</v>
      </c>
      <c r="K87" s="5" t="str">
        <f t="shared" si="1"/>
        <v>Medium</v>
      </c>
      <c r="L87" s="11">
        <f t="array" ref="L87">IFERROR(INDEX(Bookings!$K:$K,MATCH(A87,Bookings!$A:$A,0)),"")</f>
        <v>7336</v>
      </c>
      <c r="M87" s="5" t="str">
        <f t="shared" si="2"/>
        <v>Medium</v>
      </c>
      <c r="N87" s="5">
        <f t="array" ref="N87">IFERROR(INDEX(Bookings!$I:$I,MATCH(A87,Bookings!$A:$A,0)),"")</f>
        <v>38</v>
      </c>
      <c r="O87" s="5" t="str">
        <f t="shared" si="3"/>
        <v>Advance</v>
      </c>
      <c r="P87" s="5" t="str">
        <f t="shared" si="4"/>
        <v>Delhi -&gt; Kolkata</v>
      </c>
    </row>
    <row r="88" ht="15.75" customHeight="1">
      <c r="A88" s="5" t="s">
        <v>436</v>
      </c>
      <c r="B88" s="5" t="s">
        <v>437</v>
      </c>
      <c r="C88" s="5" t="s">
        <v>131</v>
      </c>
      <c r="D88" s="5" t="s">
        <v>58</v>
      </c>
      <c r="E88" s="6" t="str">
        <f t="array" ref="E88">IFERROR(INDEX(Airlines!$B:$B,MATCH(D88,Airlines!$A:$A,0)),"")</f>
        <v>Go_First</v>
      </c>
      <c r="F88" s="6" t="str">
        <f>VLOOKUP(A88,Bookings!$A:$F,6,FALSE())</f>
        <v>Economy</v>
      </c>
      <c r="G88" s="6" t="str">
        <f t="array" ref="G88">IFERROR(INDEX(Flights!$E:$E,MATCH(B88,Flights!$A:$A,0)),"")</f>
        <v>Delhi</v>
      </c>
      <c r="H88" s="6" t="str">
        <f>VLOOKUP(B88,Flights!A:H,6,FALSE())</f>
        <v>Kolkata</v>
      </c>
      <c r="I88" s="6" t="str">
        <f t="array" ref="I88">IFERROR(INDEX(Bookings!$G:$G,MATCH(B88,Bookings!$B:$B,0)),"")</f>
        <v>1</v>
      </c>
      <c r="J88" s="5">
        <f>VLOOKUP(B88,Bookings!B:H,7,FALSE())</f>
        <v>15.58</v>
      </c>
      <c r="K88" s="5" t="str">
        <f t="shared" si="1"/>
        <v>Long</v>
      </c>
      <c r="L88" s="11">
        <f t="array" ref="L88">IFERROR(INDEX(Bookings!$K:$K,MATCH(A88,Bookings!$A:$A,0)),"")</f>
        <v>6395</v>
      </c>
      <c r="M88" s="5" t="str">
        <f t="shared" si="2"/>
        <v>Medium</v>
      </c>
      <c r="N88" s="5">
        <f t="array" ref="N88">IFERROR(INDEX(Bookings!$I:$I,MATCH(A88,Bookings!$A:$A,0)),"")</f>
        <v>38</v>
      </c>
      <c r="O88" s="5" t="str">
        <f t="shared" si="3"/>
        <v>Advance</v>
      </c>
      <c r="P88" s="5" t="str">
        <f t="shared" si="4"/>
        <v>Delhi -&gt; Kolkata</v>
      </c>
    </row>
    <row r="89" ht="15.75" customHeight="1">
      <c r="A89" s="5" t="s">
        <v>442</v>
      </c>
      <c r="B89" s="5" t="s">
        <v>443</v>
      </c>
      <c r="C89" s="5" t="s">
        <v>131</v>
      </c>
      <c r="D89" s="5" t="s">
        <v>20</v>
      </c>
      <c r="E89" s="6" t="str">
        <f t="array" ref="E89">IFERROR(INDEX(Airlines!$B:$B,MATCH(D89,Airlines!$A:$A,0)),"")</f>
        <v>Vistara</v>
      </c>
      <c r="F89" s="6" t="str">
        <f>VLOOKUP(A89,Bookings!$A:$F,6,FALSE())</f>
        <v>Economy</v>
      </c>
      <c r="G89" s="6" t="str">
        <f t="array" ref="G89">IFERROR(INDEX(Flights!$E:$E,MATCH(B89,Flights!$A:$A,0)),"")</f>
        <v>Delhi</v>
      </c>
      <c r="H89" s="6" t="str">
        <f>VLOOKUP(B89,Flights!A:H,6,FALSE())</f>
        <v>Kolkata</v>
      </c>
      <c r="I89" s="6" t="str">
        <f t="array" ref="I89">IFERROR(INDEX(Bookings!$G:$G,MATCH(B89,Bookings!$B:$B,0)),"")</f>
        <v>1</v>
      </c>
      <c r="J89" s="5">
        <f>VLOOKUP(B89,Bookings!B:H,7,FALSE())</f>
        <v>5.58</v>
      </c>
      <c r="K89" s="5" t="str">
        <f t="shared" si="1"/>
        <v>Medium</v>
      </c>
      <c r="L89" s="11">
        <f t="array" ref="L89">IFERROR(INDEX(Bookings!$K:$K,MATCH(A89,Bookings!$A:$A,0)),"")</f>
        <v>6578</v>
      </c>
      <c r="M89" s="5" t="str">
        <f t="shared" si="2"/>
        <v>Medium</v>
      </c>
      <c r="N89" s="5">
        <f t="array" ref="N89">IFERROR(INDEX(Bookings!$I:$I,MATCH(A89,Bookings!$A:$A,0)),"")</f>
        <v>39</v>
      </c>
      <c r="O89" s="5" t="str">
        <f t="shared" si="3"/>
        <v>Advance</v>
      </c>
      <c r="P89" s="5" t="str">
        <f t="shared" si="4"/>
        <v>Delhi -&gt; Kolkata</v>
      </c>
    </row>
    <row r="90" ht="15.75" customHeight="1">
      <c r="A90" s="5" t="s">
        <v>446</v>
      </c>
      <c r="B90" s="5" t="s">
        <v>448</v>
      </c>
      <c r="C90" s="5" t="s">
        <v>131</v>
      </c>
      <c r="D90" s="5" t="s">
        <v>45</v>
      </c>
      <c r="E90" s="6" t="str">
        <f t="array" ref="E90">IFERROR(INDEX(Airlines!$B:$B,MATCH(D90,Airlines!$A:$A,0)),"")</f>
        <v>Air_India</v>
      </c>
      <c r="F90" s="6" t="str">
        <f>VLOOKUP(A90,Bookings!$A:$F,6,FALSE())</f>
        <v>Business</v>
      </c>
      <c r="G90" s="6" t="str">
        <f t="array" ref="G90">IFERROR(INDEX(Flights!$E:$E,MATCH(B90,Flights!$A:$A,0)),"")</f>
        <v>Delhi</v>
      </c>
      <c r="H90" s="6" t="str">
        <f>VLOOKUP(B90,Flights!A:H,6,FALSE())</f>
        <v>Kolkata</v>
      </c>
      <c r="I90" s="6" t="str">
        <f t="array" ref="I90">IFERROR(INDEX(Bookings!$G:$G,MATCH(B90,Bookings!$B:$B,0)),"")</f>
        <v>1</v>
      </c>
      <c r="J90" s="5">
        <f>VLOOKUP(B90,Bookings!B:H,7,FALSE())</f>
        <v>29.17</v>
      </c>
      <c r="K90" s="5" t="str">
        <f t="shared" si="1"/>
        <v>Long</v>
      </c>
      <c r="L90" s="11">
        <f t="array" ref="L90">IFERROR(INDEX(Bookings!$K:$K,MATCH(A90,Bookings!$A:$A,0)),"")</f>
        <v>48882</v>
      </c>
      <c r="M90" s="5" t="str">
        <f t="shared" si="2"/>
        <v>High</v>
      </c>
      <c r="N90" s="5">
        <f t="array" ref="N90">IFERROR(INDEX(Bookings!$I:$I,MATCH(A90,Bookings!$A:$A,0)),"")</f>
        <v>13</v>
      </c>
      <c r="O90" s="5" t="str">
        <f t="shared" si="3"/>
        <v>Short Notice</v>
      </c>
      <c r="P90" s="5" t="str">
        <f t="shared" si="4"/>
        <v>Delhi -&gt; Kolkata</v>
      </c>
    </row>
    <row r="91" ht="15.75" customHeight="1">
      <c r="A91" s="5" t="s">
        <v>451</v>
      </c>
      <c r="B91" s="5" t="s">
        <v>453</v>
      </c>
      <c r="C91" s="5" t="s">
        <v>131</v>
      </c>
      <c r="D91" s="5" t="s">
        <v>72</v>
      </c>
      <c r="E91" s="6" t="str">
        <f t="array" ref="E91">IFERROR(INDEX(Airlines!$B:$B,MATCH(D91,Airlines!$A:$A,0)),"")</f>
        <v>Spicejet</v>
      </c>
      <c r="F91" s="6" t="str">
        <f>VLOOKUP(A91,Bookings!$A:$F,6,FALSE())</f>
        <v>Economy</v>
      </c>
      <c r="G91" s="6" t="str">
        <f t="array" ref="G91">IFERROR(INDEX(Flights!$E:$E,MATCH(B91,Flights!$A:$A,0)),"")</f>
        <v>Delhi</v>
      </c>
      <c r="H91" s="6" t="str">
        <f>VLOOKUP(B91,Flights!A:H,6,FALSE())</f>
        <v>Kolkata</v>
      </c>
      <c r="I91" s="6" t="str">
        <f t="array" ref="I91">IFERROR(INDEX(Bookings!$G:$G,MATCH(B91,Bookings!$B:$B,0)),"")</f>
        <v>1</v>
      </c>
      <c r="J91" s="5">
        <f>VLOOKUP(B91,Bookings!B:H,7,FALSE())</f>
        <v>24.58</v>
      </c>
      <c r="K91" s="5" t="str">
        <f t="shared" si="1"/>
        <v>Long</v>
      </c>
      <c r="L91" s="11">
        <f t="array" ref="L91">IFERROR(INDEX(Bookings!$K:$K,MATCH(A91,Bookings!$A:$A,0)),"")</f>
        <v>27769</v>
      </c>
      <c r="M91" s="5" t="str">
        <f t="shared" si="2"/>
        <v>High</v>
      </c>
      <c r="N91" s="5">
        <f t="array" ref="N91">IFERROR(INDEX(Bookings!$I:$I,MATCH(A91,Bookings!$A:$A,0)),"")</f>
        <v>2</v>
      </c>
      <c r="O91" s="5" t="str">
        <f t="shared" si="3"/>
        <v>Last Minute</v>
      </c>
      <c r="P91" s="5" t="str">
        <f t="shared" si="4"/>
        <v>Delhi -&gt; Kolkata</v>
      </c>
    </row>
    <row r="92" ht="15.75" customHeight="1">
      <c r="A92" s="5" t="s">
        <v>455</v>
      </c>
      <c r="B92" s="5" t="s">
        <v>456</v>
      </c>
      <c r="C92" s="5" t="s">
        <v>131</v>
      </c>
      <c r="D92" s="5" t="s">
        <v>20</v>
      </c>
      <c r="E92" s="6" t="str">
        <f t="array" ref="E92">IFERROR(INDEX(Airlines!$B:$B,MATCH(D92,Airlines!$A:$A,0)),"")</f>
        <v>Vistara</v>
      </c>
      <c r="F92" s="6" t="str">
        <f>VLOOKUP(A92,Bookings!$A:$F,6,FALSE())</f>
        <v>Economy</v>
      </c>
      <c r="G92" s="6" t="str">
        <f t="array" ref="G92">IFERROR(INDEX(Flights!$E:$E,MATCH(B92,Flights!$A:$A,0)),"")</f>
        <v>Delhi</v>
      </c>
      <c r="H92" s="6" t="str">
        <f>VLOOKUP(B92,Flights!A:H,6,FALSE())</f>
        <v>Kolkata</v>
      </c>
      <c r="I92" s="6" t="str">
        <f t="array" ref="I92">IFERROR(INDEX(Bookings!$G:$G,MATCH(B92,Bookings!$B:$B,0)),"")</f>
        <v>2+</v>
      </c>
      <c r="J92" s="5">
        <f>VLOOKUP(B92,Bookings!B:H,7,FALSE())</f>
        <v>19.42</v>
      </c>
      <c r="K92" s="5" t="str">
        <f t="shared" si="1"/>
        <v>Long</v>
      </c>
      <c r="L92" s="11">
        <f t="array" ref="L92">IFERROR(INDEX(Bookings!$K:$K,MATCH(A92,Bookings!$A:$A,0)),"")</f>
        <v>25958</v>
      </c>
      <c r="M92" s="5" t="str">
        <f t="shared" si="2"/>
        <v>High</v>
      </c>
      <c r="N92" s="5">
        <f t="array" ref="N92">IFERROR(INDEX(Bookings!$I:$I,MATCH(A92,Bookings!$A:$A,0)),"")</f>
        <v>1</v>
      </c>
      <c r="O92" s="5" t="str">
        <f t="shared" si="3"/>
        <v>Last Minute</v>
      </c>
      <c r="P92" s="5" t="str">
        <f t="shared" si="4"/>
        <v>Delhi -&gt; Kolkata</v>
      </c>
    </row>
    <row r="93" ht="15.75" customHeight="1">
      <c r="A93" s="5" t="s">
        <v>458</v>
      </c>
      <c r="B93" s="5" t="s">
        <v>459</v>
      </c>
      <c r="C93" s="5" t="s">
        <v>131</v>
      </c>
      <c r="D93" s="5" t="s">
        <v>72</v>
      </c>
      <c r="E93" s="6" t="str">
        <f t="array" ref="E93">IFERROR(INDEX(Airlines!$B:$B,MATCH(D93,Airlines!$A:$A,0)),"")</f>
        <v>Spicejet</v>
      </c>
      <c r="F93" s="6" t="str">
        <f>VLOOKUP(A93,Bookings!$A:$F,6,FALSE())</f>
        <v>Economy</v>
      </c>
      <c r="G93" s="6" t="str">
        <f t="array" ref="G93">IFERROR(INDEX(Flights!$E:$E,MATCH(B93,Flights!$A:$A,0)),"")</f>
        <v>Delhi</v>
      </c>
      <c r="H93" s="6" t="str">
        <f>VLOOKUP(B93,Flights!A:H,6,FALSE())</f>
        <v>Kolkata</v>
      </c>
      <c r="I93" s="6" t="str">
        <f t="array" ref="I93">IFERROR(INDEX(Bookings!$G:$G,MATCH(B93,Bookings!$B:$B,0)),"")</f>
        <v>1</v>
      </c>
      <c r="J93" s="5">
        <f>VLOOKUP(B93,Bookings!B:H,7,FALSE())</f>
        <v>11.25</v>
      </c>
      <c r="K93" s="5" t="str">
        <f t="shared" si="1"/>
        <v>Long</v>
      </c>
      <c r="L93" s="11">
        <f t="array" ref="L93">IFERROR(INDEX(Bookings!$K:$K,MATCH(A93,Bookings!$A:$A,0)),"")</f>
        <v>6129</v>
      </c>
      <c r="M93" s="5" t="str">
        <f t="shared" si="2"/>
        <v>Medium</v>
      </c>
      <c r="N93" s="5">
        <f t="array" ref="N93">IFERROR(INDEX(Bookings!$I:$I,MATCH(A93,Bookings!$A:$A,0)),"")</f>
        <v>38</v>
      </c>
      <c r="O93" s="5" t="str">
        <f t="shared" si="3"/>
        <v>Advance</v>
      </c>
      <c r="P93" s="5" t="str">
        <f t="shared" si="4"/>
        <v>Delhi -&gt; Kolkata</v>
      </c>
    </row>
    <row r="94" ht="15.75" customHeight="1">
      <c r="A94" s="5" t="s">
        <v>463</v>
      </c>
      <c r="B94" s="5" t="s">
        <v>464</v>
      </c>
      <c r="C94" s="5" t="s">
        <v>131</v>
      </c>
      <c r="D94" s="5" t="s">
        <v>20</v>
      </c>
      <c r="E94" s="6" t="str">
        <f t="array" ref="E94">IFERROR(INDEX(Airlines!$B:$B,MATCH(D94,Airlines!$A:$A,0)),"")</f>
        <v>Vistara</v>
      </c>
      <c r="F94" s="6" t="str">
        <f>VLOOKUP(A94,Bookings!$A:$F,6,FALSE())</f>
        <v>Business</v>
      </c>
      <c r="G94" s="6" t="str">
        <f t="array" ref="G94">IFERROR(INDEX(Flights!$E:$E,MATCH(B94,Flights!$A:$A,0)),"")</f>
        <v>Delhi</v>
      </c>
      <c r="H94" s="6" t="str">
        <f>VLOOKUP(B94,Flights!A:H,6,FALSE())</f>
        <v>Kolkata</v>
      </c>
      <c r="I94" s="6" t="str">
        <f t="array" ref="I94">IFERROR(INDEX(Bookings!$G:$G,MATCH(B94,Bookings!$B:$B,0)),"")</f>
        <v>1</v>
      </c>
      <c r="J94" s="5">
        <f>VLOOKUP(B94,Bookings!B:H,7,FALSE())</f>
        <v>3.08</v>
      </c>
      <c r="K94" s="5" t="str">
        <f t="shared" si="1"/>
        <v>Short</v>
      </c>
      <c r="L94" s="11">
        <f t="array" ref="L94">IFERROR(INDEX(Bookings!$K:$K,MATCH(A94,Bookings!$A:$A,0)),"")</f>
        <v>38056</v>
      </c>
      <c r="M94" s="5" t="str">
        <f t="shared" si="2"/>
        <v>High</v>
      </c>
      <c r="N94" s="5">
        <f t="array" ref="N94">IFERROR(INDEX(Bookings!$I:$I,MATCH(A94,Bookings!$A:$A,0)),"")</f>
        <v>3</v>
      </c>
      <c r="O94" s="5" t="str">
        <f t="shared" si="3"/>
        <v>Last Minute</v>
      </c>
      <c r="P94" s="5" t="str">
        <f t="shared" si="4"/>
        <v>Delhi -&gt; Kolkata</v>
      </c>
    </row>
    <row r="95" ht="15.75" customHeight="1">
      <c r="A95" s="5" t="s">
        <v>468</v>
      </c>
      <c r="B95" s="5" t="s">
        <v>469</v>
      </c>
      <c r="C95" s="5" t="s">
        <v>131</v>
      </c>
      <c r="D95" s="5" t="s">
        <v>45</v>
      </c>
      <c r="E95" s="6" t="str">
        <f t="array" ref="E95">IFERROR(INDEX(Airlines!$B:$B,MATCH(D95,Airlines!$A:$A,0)),"")</f>
        <v>Air_India</v>
      </c>
      <c r="F95" s="6" t="str">
        <f>VLOOKUP(A95,Bookings!$A:$F,6,FALSE())</f>
        <v>Economy</v>
      </c>
      <c r="G95" s="6" t="str">
        <f t="array" ref="G95">IFERROR(INDEX(Flights!$E:$E,MATCH(B95,Flights!$A:$A,0)),"")</f>
        <v>Delhi</v>
      </c>
      <c r="H95" s="6" t="str">
        <f>VLOOKUP(B95,Flights!A:H,6,FALSE())</f>
        <v>Kolkata</v>
      </c>
      <c r="I95" s="6" t="str">
        <f t="array" ref="I95">IFERROR(INDEX(Bookings!$G:$G,MATCH(B95,Bookings!$B:$B,0)),"")</f>
        <v>1</v>
      </c>
      <c r="J95" s="5">
        <f>VLOOKUP(B95,Bookings!B:H,7,FALSE())</f>
        <v>12.83</v>
      </c>
      <c r="K95" s="5" t="str">
        <f t="shared" si="1"/>
        <v>Long</v>
      </c>
      <c r="L95" s="11">
        <f t="array" ref="L95">IFERROR(INDEX(Bookings!$K:$K,MATCH(A95,Bookings!$A:$A,0)),"")</f>
        <v>5276</v>
      </c>
      <c r="M95" s="5" t="str">
        <f t="shared" si="2"/>
        <v>Medium</v>
      </c>
      <c r="N95" s="5">
        <f t="array" ref="N95">IFERROR(INDEX(Bookings!$I:$I,MATCH(A95,Bookings!$A:$A,0)),"")</f>
        <v>43</v>
      </c>
      <c r="O95" s="5" t="str">
        <f t="shared" si="3"/>
        <v>Advance</v>
      </c>
      <c r="P95" s="5" t="str">
        <f t="shared" si="4"/>
        <v>Delhi -&gt; Kolkata</v>
      </c>
    </row>
    <row r="96" ht="15.75" customHeight="1">
      <c r="A96" s="5" t="s">
        <v>471</v>
      </c>
      <c r="B96" s="5" t="s">
        <v>473</v>
      </c>
      <c r="C96" s="5" t="s">
        <v>131</v>
      </c>
      <c r="D96" s="5" t="s">
        <v>45</v>
      </c>
      <c r="E96" s="6" t="str">
        <f t="array" ref="E96">IFERROR(INDEX(Airlines!$B:$B,MATCH(D96,Airlines!$A:$A,0)),"")</f>
        <v>Air_India</v>
      </c>
      <c r="F96" s="6" t="str">
        <f>VLOOKUP(A96,Bookings!$A:$F,6,FALSE())</f>
        <v>Economy</v>
      </c>
      <c r="G96" s="6" t="str">
        <f t="array" ref="G96">IFERROR(INDEX(Flights!$E:$E,MATCH(B96,Flights!$A:$A,0)),"")</f>
        <v>Delhi</v>
      </c>
      <c r="H96" s="6" t="str">
        <f>VLOOKUP(B96,Flights!A:H,6,FALSE())</f>
        <v>Kolkata</v>
      </c>
      <c r="I96" s="6" t="str">
        <f t="array" ref="I96">IFERROR(INDEX(Bookings!$G:$G,MATCH(B96,Bookings!$B:$B,0)),"")</f>
        <v>1</v>
      </c>
      <c r="J96" s="5">
        <f>VLOOKUP(B96,Bookings!B:H,7,FALSE())</f>
        <v>18.17</v>
      </c>
      <c r="K96" s="5" t="str">
        <f t="shared" si="1"/>
        <v>Long</v>
      </c>
      <c r="L96" s="11">
        <f t="array" ref="L96">IFERROR(INDEX(Bookings!$K:$K,MATCH(A96,Bookings!$A:$A,0)),"")</f>
        <v>13410</v>
      </c>
      <c r="M96" s="5" t="str">
        <f t="shared" si="2"/>
        <v>Medium</v>
      </c>
      <c r="N96" s="5">
        <f t="array" ref="N96">IFERROR(INDEX(Bookings!$I:$I,MATCH(A96,Bookings!$A:$A,0)),"")</f>
        <v>2</v>
      </c>
      <c r="O96" s="5" t="str">
        <f t="shared" si="3"/>
        <v>Last Minute</v>
      </c>
      <c r="P96" s="5" t="str">
        <f t="shared" si="4"/>
        <v>Delhi -&gt; Kolkata</v>
      </c>
    </row>
    <row r="97" ht="15.75" customHeight="1">
      <c r="A97" s="5" t="s">
        <v>477</v>
      </c>
      <c r="B97" s="5" t="s">
        <v>478</v>
      </c>
      <c r="C97" s="5" t="s">
        <v>131</v>
      </c>
      <c r="D97" s="5" t="s">
        <v>20</v>
      </c>
      <c r="E97" s="6" t="str">
        <f t="array" ref="E97">IFERROR(INDEX(Airlines!$B:$B,MATCH(D97,Airlines!$A:$A,0)),"")</f>
        <v>Vistara</v>
      </c>
      <c r="F97" s="6" t="str">
        <f>VLOOKUP(A97,Bookings!$A:$F,6,FALSE())</f>
        <v>Economy</v>
      </c>
      <c r="G97" s="6" t="str">
        <f t="array" ref="G97">IFERROR(INDEX(Flights!$E:$E,MATCH(B97,Flights!$A:$A,0)),"")</f>
        <v>Delhi</v>
      </c>
      <c r="H97" s="6" t="str">
        <f>VLOOKUP(B97,Flights!A:H,6,FALSE())</f>
        <v>Kolkata</v>
      </c>
      <c r="I97" s="6" t="str">
        <f t="array" ref="I97">IFERROR(INDEX(Bookings!$G:$G,MATCH(B97,Bookings!$B:$B,0)),"")</f>
        <v>1</v>
      </c>
      <c r="J97" s="5">
        <f>VLOOKUP(B97,Bookings!B:H,7,FALSE())</f>
        <v>25.33</v>
      </c>
      <c r="K97" s="5" t="str">
        <f t="shared" si="1"/>
        <v>Long</v>
      </c>
      <c r="L97" s="11">
        <f t="array" ref="L97">IFERROR(INDEX(Bookings!$K:$K,MATCH(A97,Bookings!$A:$A,0)),"")</f>
        <v>6578</v>
      </c>
      <c r="M97" s="5" t="str">
        <f t="shared" si="2"/>
        <v>Medium</v>
      </c>
      <c r="N97" s="5">
        <f t="array" ref="N97">IFERROR(INDEX(Bookings!$I:$I,MATCH(A97,Bookings!$A:$A,0)),"")</f>
        <v>33</v>
      </c>
      <c r="O97" s="5" t="str">
        <f t="shared" si="3"/>
        <v>Advance</v>
      </c>
      <c r="P97" s="5" t="str">
        <f t="shared" si="4"/>
        <v>Delhi -&gt; Kolkata</v>
      </c>
    </row>
    <row r="98" ht="15.75" customHeight="1">
      <c r="A98" s="5" t="s">
        <v>481</v>
      </c>
      <c r="B98" s="5" t="s">
        <v>482</v>
      </c>
      <c r="C98" s="5" t="s">
        <v>131</v>
      </c>
      <c r="D98" s="5" t="s">
        <v>45</v>
      </c>
      <c r="E98" s="6" t="str">
        <f t="array" ref="E98">IFERROR(INDEX(Airlines!$B:$B,MATCH(D98,Airlines!$A:$A,0)),"")</f>
        <v>Air_India</v>
      </c>
      <c r="F98" s="6" t="str">
        <f>VLOOKUP(A98,Bookings!$A:$F,6,FALSE())</f>
        <v>Economy</v>
      </c>
      <c r="G98" s="6" t="str">
        <f t="array" ref="G98">IFERROR(INDEX(Flights!$E:$E,MATCH(B98,Flights!$A:$A,0)),"")</f>
        <v>Delhi</v>
      </c>
      <c r="H98" s="6" t="str">
        <f>VLOOKUP(B98,Flights!A:H,6,FALSE())</f>
        <v>Kolkata</v>
      </c>
      <c r="I98" s="6" t="str">
        <f t="array" ref="I98">IFERROR(INDEX(Bookings!$G:$G,MATCH(B98,Bookings!$B:$B,0)),"")</f>
        <v>1</v>
      </c>
      <c r="J98" s="5">
        <f>VLOOKUP(B98,Bookings!B:H,7,FALSE())</f>
        <v>25.83</v>
      </c>
      <c r="K98" s="5" t="str">
        <f t="shared" si="1"/>
        <v>Long</v>
      </c>
      <c r="L98" s="11">
        <f t="array" ref="L98">IFERROR(INDEX(Bookings!$K:$K,MATCH(A98,Bookings!$A:$A,0)),"")</f>
        <v>12255</v>
      </c>
      <c r="M98" s="5" t="str">
        <f t="shared" si="2"/>
        <v>Medium</v>
      </c>
      <c r="N98" s="5">
        <f t="array" ref="N98">IFERROR(INDEX(Bookings!$I:$I,MATCH(A98,Bookings!$A:$A,0)),"")</f>
        <v>3</v>
      </c>
      <c r="O98" s="5" t="str">
        <f t="shared" si="3"/>
        <v>Last Minute</v>
      </c>
      <c r="P98" s="5" t="str">
        <f t="shared" si="4"/>
        <v>Delhi -&gt; Kolkata</v>
      </c>
    </row>
    <row r="99" ht="15.75" customHeight="1">
      <c r="A99" s="5" t="s">
        <v>485</v>
      </c>
      <c r="B99" s="5" t="s">
        <v>487</v>
      </c>
      <c r="C99" s="5" t="s">
        <v>131</v>
      </c>
      <c r="D99" s="5" t="s">
        <v>20</v>
      </c>
      <c r="E99" s="6" t="str">
        <f t="array" ref="E99">IFERROR(INDEX(Airlines!$B:$B,MATCH(D99,Airlines!$A:$A,0)),"")</f>
        <v>Vistara</v>
      </c>
      <c r="F99" s="6" t="str">
        <f>VLOOKUP(A99,Bookings!$A:$F,6,FALSE())</f>
        <v>Economy</v>
      </c>
      <c r="G99" s="6" t="str">
        <f t="array" ref="G99">IFERROR(INDEX(Flights!$E:$E,MATCH(B99,Flights!$A:$A,0)),"")</f>
        <v>Delhi</v>
      </c>
      <c r="H99" s="6" t="str">
        <f>VLOOKUP(B99,Flights!A:H,6,FALSE())</f>
        <v>Kolkata</v>
      </c>
      <c r="I99" s="6" t="str">
        <f t="array" ref="I99">IFERROR(INDEX(Bookings!$G:$G,MATCH(B99,Bookings!$B:$B,0)),"")</f>
        <v>1</v>
      </c>
      <c r="J99" s="5">
        <f>VLOOKUP(B99,Bookings!B:H,7,FALSE())</f>
        <v>26.17</v>
      </c>
      <c r="K99" s="5" t="str">
        <f t="shared" si="1"/>
        <v>Long</v>
      </c>
      <c r="L99" s="11">
        <f t="array" ref="L99">IFERROR(INDEX(Bookings!$K:$K,MATCH(A99,Bookings!$A:$A,0)),"")</f>
        <v>7221</v>
      </c>
      <c r="M99" s="5" t="str">
        <f t="shared" si="2"/>
        <v>Medium</v>
      </c>
      <c r="N99" s="5">
        <f t="array" ref="N99">IFERROR(INDEX(Bookings!$I:$I,MATCH(A99,Bookings!$A:$A,0)),"")</f>
        <v>39</v>
      </c>
      <c r="O99" s="5" t="str">
        <f t="shared" si="3"/>
        <v>Advance</v>
      </c>
      <c r="P99" s="5" t="str">
        <f t="shared" si="4"/>
        <v>Delhi -&gt; Kolkata</v>
      </c>
    </row>
    <row r="100" ht="15.75" customHeight="1">
      <c r="A100" s="5" t="s">
        <v>490</v>
      </c>
      <c r="B100" s="5" t="s">
        <v>492</v>
      </c>
      <c r="C100" s="5" t="s">
        <v>131</v>
      </c>
      <c r="D100" s="5" t="s">
        <v>20</v>
      </c>
      <c r="E100" s="6" t="str">
        <f t="array" ref="E100">IFERROR(INDEX(Airlines!$B:$B,MATCH(D100,Airlines!$A:$A,0)),"")</f>
        <v>Vistara</v>
      </c>
      <c r="F100" s="6" t="str">
        <f>VLOOKUP(A100,Bookings!$A:$F,6,FALSE())</f>
        <v>Economy</v>
      </c>
      <c r="G100" s="6" t="str">
        <f t="array" ref="G100">IFERROR(INDEX(Flights!$E:$E,MATCH(B100,Flights!$A:$A,0)),"")</f>
        <v>Delhi</v>
      </c>
      <c r="H100" s="6" t="str">
        <f>VLOOKUP(B100,Flights!A:H,6,FALSE())</f>
        <v>Kolkata</v>
      </c>
      <c r="I100" s="6" t="str">
        <f t="array" ref="I100">IFERROR(INDEX(Bookings!$G:$G,MATCH(B100,Bookings!$B:$B,0)),"")</f>
        <v>1</v>
      </c>
      <c r="J100" s="5">
        <f>VLOOKUP(B100,Bookings!B:H,7,FALSE())</f>
        <v>8</v>
      </c>
      <c r="K100" s="5" t="str">
        <f t="shared" si="1"/>
        <v>Medium</v>
      </c>
      <c r="L100" s="11">
        <f t="array" ref="L100">IFERROR(INDEX(Bookings!$K:$K,MATCH(A100,Bookings!$A:$A,0)),"")</f>
        <v>6578</v>
      </c>
      <c r="M100" s="5" t="str">
        <f t="shared" si="2"/>
        <v>Medium</v>
      </c>
      <c r="N100" s="5">
        <f t="array" ref="N100">IFERROR(INDEX(Bookings!$I:$I,MATCH(A100,Bookings!$A:$A,0)),"")</f>
        <v>34</v>
      </c>
      <c r="O100" s="5" t="str">
        <f t="shared" si="3"/>
        <v>Advance</v>
      </c>
      <c r="P100" s="5" t="str">
        <f t="shared" si="4"/>
        <v>Delhi -&gt; Kolkata</v>
      </c>
    </row>
    <row r="101" ht="15.75" customHeight="1">
      <c r="A101" s="5" t="s">
        <v>494</v>
      </c>
      <c r="B101" s="5" t="s">
        <v>495</v>
      </c>
      <c r="C101" s="5" t="s">
        <v>131</v>
      </c>
      <c r="D101" s="5" t="s">
        <v>45</v>
      </c>
      <c r="E101" s="6" t="str">
        <f t="array" ref="E101">IFERROR(INDEX(Airlines!$B:$B,MATCH(D101,Airlines!$A:$A,0)),"")</f>
        <v>Air_India</v>
      </c>
      <c r="F101" s="6" t="str">
        <f>VLOOKUP(A101,Bookings!$A:$F,6,FALSE())</f>
        <v>Economy</v>
      </c>
      <c r="G101" s="6" t="str">
        <f t="array" ref="G101">IFERROR(INDEX(Flights!$E:$E,MATCH(B101,Flights!$A:$A,0)),"")</f>
        <v>Delhi</v>
      </c>
      <c r="H101" s="6" t="str">
        <f>VLOOKUP(B101,Flights!A:H,6,FALSE())</f>
        <v>Kolkata</v>
      </c>
      <c r="I101" s="6" t="str">
        <f t="array" ref="I101">IFERROR(INDEX(Bookings!$G:$G,MATCH(B101,Bookings!$B:$B,0)),"")</f>
        <v>1</v>
      </c>
      <c r="J101" s="5">
        <f>VLOOKUP(B101,Bookings!B:H,7,FALSE())</f>
        <v>25.5</v>
      </c>
      <c r="K101" s="5" t="str">
        <f t="shared" si="1"/>
        <v>Long</v>
      </c>
      <c r="L101" s="11">
        <f t="array" ref="L101">IFERROR(INDEX(Bookings!$K:$K,MATCH(A101,Bookings!$A:$A,0)),"")</f>
        <v>4391</v>
      </c>
      <c r="M101" s="5" t="str">
        <f t="shared" si="2"/>
        <v>Low</v>
      </c>
      <c r="N101" s="5">
        <f t="array" ref="N101">IFERROR(INDEX(Bookings!$I:$I,MATCH(A101,Bookings!$A:$A,0)),"")</f>
        <v>31</v>
      </c>
      <c r="O101" s="5" t="str">
        <f t="shared" si="3"/>
        <v>Advance</v>
      </c>
      <c r="P101" s="5" t="str">
        <f t="shared" si="4"/>
        <v>Delhi -&gt; Kolkata</v>
      </c>
    </row>
    <row r="102" ht="15.75" customHeight="1">
      <c r="A102" s="5" t="s">
        <v>497</v>
      </c>
      <c r="B102" s="5" t="s">
        <v>499</v>
      </c>
      <c r="C102" s="5" t="s">
        <v>131</v>
      </c>
      <c r="D102" s="5" t="s">
        <v>45</v>
      </c>
      <c r="E102" s="6" t="str">
        <f t="array" ref="E102">IFERROR(INDEX(Airlines!$B:$B,MATCH(D102,Airlines!$A:$A,0)),"")</f>
        <v>Air_India</v>
      </c>
      <c r="F102" s="6" t="str">
        <f>VLOOKUP(A102,Bookings!$A:$F,6,FALSE())</f>
        <v>Economy</v>
      </c>
      <c r="G102" s="6" t="str">
        <f t="array" ref="G102">IFERROR(INDEX(Flights!$E:$E,MATCH(B102,Flights!$A:$A,0)),"")</f>
        <v>Delhi</v>
      </c>
      <c r="H102" s="6" t="str">
        <f>VLOOKUP(B102,Flights!A:H,6,FALSE())</f>
        <v>Kolkata</v>
      </c>
      <c r="I102" s="6" t="str">
        <f t="array" ref="I102">IFERROR(INDEX(Bookings!$G:$G,MATCH(B102,Bookings!$B:$B,0)),"")</f>
        <v>1</v>
      </c>
      <c r="J102" s="5">
        <f>VLOOKUP(B102,Bookings!B:H,7,FALSE())</f>
        <v>10.25</v>
      </c>
      <c r="K102" s="5" t="str">
        <f t="shared" si="1"/>
        <v>Long</v>
      </c>
      <c r="L102" s="11">
        <f t="array" ref="L102">IFERROR(INDEX(Bookings!$K:$K,MATCH(A102,Bookings!$A:$A,0)),"")</f>
        <v>12150</v>
      </c>
      <c r="M102" s="5" t="str">
        <f t="shared" si="2"/>
        <v>Medium</v>
      </c>
      <c r="N102" s="5">
        <f t="array" ref="N102">IFERROR(INDEX(Bookings!$I:$I,MATCH(A102,Bookings!$A:$A,0)),"")</f>
        <v>5</v>
      </c>
      <c r="O102" s="5" t="str">
        <f t="shared" si="3"/>
        <v>Last Minute</v>
      </c>
      <c r="P102" s="5" t="str">
        <f t="shared" si="4"/>
        <v>Delhi -&gt; Kolkata</v>
      </c>
    </row>
    <row r="103" ht="15.75" customHeight="1">
      <c r="A103" s="5" t="s">
        <v>502</v>
      </c>
      <c r="B103" s="5" t="s">
        <v>503</v>
      </c>
      <c r="C103" s="5" t="s">
        <v>131</v>
      </c>
      <c r="D103" s="5" t="s">
        <v>43</v>
      </c>
      <c r="E103" s="6" t="str">
        <f t="array" ref="E103">IFERROR(INDEX(Airlines!$B:$B,MATCH(D103,Airlines!$A:$A,0)),"")</f>
        <v>Indigo</v>
      </c>
      <c r="F103" s="6" t="str">
        <f>VLOOKUP(A103,Bookings!$A:$F,6,FALSE())</f>
        <v>Economy</v>
      </c>
      <c r="G103" s="6" t="str">
        <f t="array" ref="G103">IFERROR(INDEX(Flights!$E:$E,MATCH(B103,Flights!$A:$A,0)),"")</f>
        <v>Delhi</v>
      </c>
      <c r="H103" s="6" t="str">
        <f>VLOOKUP(B103,Flights!A:H,6,FALSE())</f>
        <v>Kolkata</v>
      </c>
      <c r="I103" s="6" t="str">
        <f t="array" ref="I103">IFERROR(INDEX(Bookings!$G:$G,MATCH(B103,Bookings!$B:$B,0)),"")</f>
        <v>1</v>
      </c>
      <c r="J103" s="5">
        <f>VLOOKUP(B103,Bookings!B:H,7,FALSE())</f>
        <v>5.33</v>
      </c>
      <c r="K103" s="5" t="str">
        <f t="shared" si="1"/>
        <v>Medium</v>
      </c>
      <c r="L103" s="11">
        <f t="array" ref="L103">IFERROR(INDEX(Bookings!$K:$K,MATCH(A103,Bookings!$A:$A,0)),"")</f>
        <v>7336</v>
      </c>
      <c r="M103" s="5" t="str">
        <f t="shared" si="2"/>
        <v>Medium</v>
      </c>
      <c r="N103" s="5">
        <f t="array" ref="N103">IFERROR(INDEX(Bookings!$I:$I,MATCH(A103,Bookings!$A:$A,0)),"")</f>
        <v>10</v>
      </c>
      <c r="O103" s="5" t="str">
        <f t="shared" si="3"/>
        <v>Short Notice</v>
      </c>
      <c r="P103" s="5" t="str">
        <f t="shared" si="4"/>
        <v>Delhi -&gt; Kolkata</v>
      </c>
    </row>
    <row r="104" ht="15.75" customHeight="1">
      <c r="A104" s="5" t="s">
        <v>507</v>
      </c>
      <c r="B104" s="5" t="s">
        <v>509</v>
      </c>
      <c r="C104" s="5" t="s">
        <v>131</v>
      </c>
      <c r="D104" s="5" t="s">
        <v>29</v>
      </c>
      <c r="E104" s="6" t="str">
        <f t="array" ref="E104">IFERROR(INDEX(Airlines!$B:$B,MATCH(D104,Airlines!$A:$A,0)),"")</f>
        <v>AirAsia</v>
      </c>
      <c r="F104" s="6" t="str">
        <f>VLOOKUP(A104,Bookings!$A:$F,6,FALSE())</f>
        <v>Economy</v>
      </c>
      <c r="G104" s="6" t="str">
        <f t="array" ref="G104">IFERROR(INDEX(Flights!$E:$E,MATCH(B104,Flights!$A:$A,0)),"")</f>
        <v>Delhi</v>
      </c>
      <c r="H104" s="6" t="str">
        <f>VLOOKUP(B104,Flights!A:H,6,FALSE())</f>
        <v>Kolkata</v>
      </c>
      <c r="I104" s="6" t="str">
        <f t="array" ref="I104">IFERROR(INDEX(Bookings!$G:$G,MATCH(B104,Bookings!$B:$B,0)),"")</f>
        <v>2+</v>
      </c>
      <c r="J104" s="5">
        <f>VLOOKUP(B104,Bookings!B:H,7,FALSE())</f>
        <v>10.17</v>
      </c>
      <c r="K104" s="5" t="str">
        <f t="shared" si="1"/>
        <v>Long</v>
      </c>
      <c r="L104" s="11">
        <f t="array" ref="L104">IFERROR(INDEX(Bookings!$K:$K,MATCH(A104,Bookings!$A:$A,0)),"")</f>
        <v>3175</v>
      </c>
      <c r="M104" s="5" t="str">
        <f t="shared" si="2"/>
        <v>Low</v>
      </c>
      <c r="N104" s="5">
        <f t="array" ref="N104">IFERROR(INDEX(Bookings!$I:$I,MATCH(A104,Bookings!$A:$A,0)),"")</f>
        <v>29</v>
      </c>
      <c r="O104" s="5" t="str">
        <f t="shared" si="3"/>
        <v>Moderate</v>
      </c>
      <c r="P104" s="5" t="str">
        <f t="shared" si="4"/>
        <v>Delhi -&gt; Kolkata</v>
      </c>
    </row>
    <row r="105" ht="15.75" customHeight="1">
      <c r="A105" s="5" t="s">
        <v>511</v>
      </c>
      <c r="B105" s="5" t="s">
        <v>512</v>
      </c>
      <c r="C105" s="5" t="s">
        <v>131</v>
      </c>
      <c r="D105" s="5" t="s">
        <v>58</v>
      </c>
      <c r="E105" s="6" t="str">
        <f t="array" ref="E105">IFERROR(INDEX(Airlines!$B:$B,MATCH(D105,Airlines!$A:$A,0)),"")</f>
        <v>Go_First</v>
      </c>
      <c r="F105" s="6" t="str">
        <f>VLOOKUP(A105,Bookings!$A:$F,6,FALSE())</f>
        <v>Economy</v>
      </c>
      <c r="G105" s="6" t="str">
        <f t="array" ref="G105">IFERROR(INDEX(Flights!$E:$E,MATCH(B105,Flights!$A:$A,0)),"")</f>
        <v>Delhi</v>
      </c>
      <c r="H105" s="6" t="str">
        <f>VLOOKUP(B105,Flights!A:H,6,FALSE())</f>
        <v>Kolkata</v>
      </c>
      <c r="I105" s="6" t="str">
        <f t="array" ref="I105">IFERROR(INDEX(Bookings!$G:$G,MATCH(B105,Bookings!$B:$B,0)),"")</f>
        <v>1</v>
      </c>
      <c r="J105" s="5">
        <f>VLOOKUP(B105,Bookings!B:H,7,FALSE())</f>
        <v>6.58</v>
      </c>
      <c r="K105" s="5" t="str">
        <f t="shared" si="1"/>
        <v>Medium</v>
      </c>
      <c r="L105" s="11">
        <f t="array" ref="L105">IFERROR(INDEX(Bookings!$K:$K,MATCH(A105,Bookings!$A:$A,0)),"")</f>
        <v>5954</v>
      </c>
      <c r="M105" s="5" t="str">
        <f t="shared" si="2"/>
        <v>Medium</v>
      </c>
      <c r="N105" s="5">
        <f t="array" ref="N105">IFERROR(INDEX(Bookings!$I:$I,MATCH(A105,Bookings!$A:$A,0)),"")</f>
        <v>26</v>
      </c>
      <c r="O105" s="5" t="str">
        <f t="shared" si="3"/>
        <v>Moderate</v>
      </c>
      <c r="P105" s="5" t="str">
        <f t="shared" si="4"/>
        <v>Delhi -&gt; Kolkata</v>
      </c>
    </row>
    <row r="106" ht="15.75" customHeight="1">
      <c r="A106" s="5" t="s">
        <v>513</v>
      </c>
      <c r="B106" s="5" t="s">
        <v>515</v>
      </c>
      <c r="C106" s="5" t="s">
        <v>131</v>
      </c>
      <c r="D106" s="5" t="s">
        <v>58</v>
      </c>
      <c r="E106" s="6" t="str">
        <f t="array" ref="E106">IFERROR(INDEX(Airlines!$B:$B,MATCH(D106,Airlines!$A:$A,0)),"")</f>
        <v>Go_First</v>
      </c>
      <c r="F106" s="6" t="str">
        <f>VLOOKUP(A106,Bookings!$A:$F,6,FALSE())</f>
        <v>Economy</v>
      </c>
      <c r="G106" s="6" t="str">
        <f t="array" ref="G106">IFERROR(INDEX(Flights!$E:$E,MATCH(B106,Flights!$A:$A,0)),"")</f>
        <v>Delhi</v>
      </c>
      <c r="H106" s="6" t="str">
        <f>VLOOKUP(B106,Flights!A:H,6,FALSE())</f>
        <v>Kolkata</v>
      </c>
      <c r="I106" s="6" t="str">
        <f t="array" ref="I106">IFERROR(INDEX(Bookings!$G:$G,MATCH(B106,Bookings!$B:$B,0)),"")</f>
        <v>1</v>
      </c>
      <c r="J106" s="5">
        <f>VLOOKUP(B106,Bookings!B:H,7,FALSE())</f>
        <v>7</v>
      </c>
      <c r="K106" s="5" t="str">
        <f t="shared" si="1"/>
        <v>Medium</v>
      </c>
      <c r="L106" s="11">
        <f t="array" ref="L106">IFERROR(INDEX(Bookings!$K:$K,MATCH(A106,Bookings!$A:$A,0)),"")</f>
        <v>6395</v>
      </c>
      <c r="M106" s="5" t="str">
        <f t="shared" si="2"/>
        <v>Medium</v>
      </c>
      <c r="N106" s="5">
        <f t="array" ref="N106">IFERROR(INDEX(Bookings!$I:$I,MATCH(A106,Bookings!$A:$A,0)),"")</f>
        <v>26</v>
      </c>
      <c r="O106" s="5" t="str">
        <f t="shared" si="3"/>
        <v>Moderate</v>
      </c>
      <c r="P106" s="5" t="str">
        <f t="shared" si="4"/>
        <v>Delhi -&gt; Kolkata</v>
      </c>
    </row>
    <row r="107" ht="15.75" customHeight="1">
      <c r="A107" s="5" t="s">
        <v>518</v>
      </c>
      <c r="B107" s="5" t="s">
        <v>520</v>
      </c>
      <c r="C107" s="5" t="s">
        <v>131</v>
      </c>
      <c r="D107" s="5" t="s">
        <v>58</v>
      </c>
      <c r="E107" s="6" t="str">
        <f t="array" ref="E107">IFERROR(INDEX(Airlines!$B:$B,MATCH(D107,Airlines!$A:$A,0)),"")</f>
        <v>Go_First</v>
      </c>
      <c r="F107" s="6" t="str">
        <f>VLOOKUP(A107,Bookings!$A:$F,6,FALSE())</f>
        <v>Economy</v>
      </c>
      <c r="G107" s="6" t="str">
        <f t="array" ref="G107">IFERROR(INDEX(Flights!$E:$E,MATCH(B107,Flights!$A:$A,0)),"")</f>
        <v>Delhi</v>
      </c>
      <c r="H107" s="6" t="str">
        <f>VLOOKUP(B107,Flights!A:H,6,FALSE())</f>
        <v>Kolkata</v>
      </c>
      <c r="I107" s="6" t="str">
        <f t="array" ref="I107">IFERROR(INDEX(Bookings!$G:$G,MATCH(B107,Bookings!$B:$B,0)),"")</f>
        <v>1</v>
      </c>
      <c r="J107" s="5">
        <f>VLOOKUP(B107,Bookings!B:H,7,FALSE())</f>
        <v>9.5</v>
      </c>
      <c r="K107" s="5" t="str">
        <f t="shared" si="1"/>
        <v>Medium</v>
      </c>
      <c r="L107" s="11">
        <f t="array" ref="L107">IFERROR(INDEX(Bookings!$K:$K,MATCH(A107,Bookings!$A:$A,0)),"")</f>
        <v>6395</v>
      </c>
      <c r="M107" s="5" t="str">
        <f t="shared" si="2"/>
        <v>Medium</v>
      </c>
      <c r="N107" s="5">
        <f t="array" ref="N107">IFERROR(INDEX(Bookings!$I:$I,MATCH(A107,Bookings!$A:$A,0)),"")</f>
        <v>26</v>
      </c>
      <c r="O107" s="5" t="str">
        <f t="shared" si="3"/>
        <v>Moderate</v>
      </c>
      <c r="P107" s="5" t="str">
        <f t="shared" si="4"/>
        <v>Delhi -&gt; Kolkata</v>
      </c>
    </row>
    <row r="108" ht="15.75" customHeight="1">
      <c r="A108" s="5" t="s">
        <v>523</v>
      </c>
      <c r="B108" s="5" t="s">
        <v>524</v>
      </c>
      <c r="C108" s="5" t="s">
        <v>131</v>
      </c>
      <c r="D108" s="5" t="s">
        <v>45</v>
      </c>
      <c r="E108" s="6" t="str">
        <f t="array" ref="E108">IFERROR(INDEX(Airlines!$B:$B,MATCH(D108,Airlines!$A:$A,0)),"")</f>
        <v>Air_India</v>
      </c>
      <c r="F108" s="6" t="str">
        <f>VLOOKUP(A108,Bookings!$A:$F,6,FALSE())</f>
        <v>Economy</v>
      </c>
      <c r="G108" s="6" t="str">
        <f t="array" ref="G108">IFERROR(INDEX(Flights!$E:$E,MATCH(B108,Flights!$A:$A,0)),"")</f>
        <v>Delhi</v>
      </c>
      <c r="H108" s="6" t="str">
        <f>VLOOKUP(B108,Flights!A:H,6,FALSE())</f>
        <v>Kolkata</v>
      </c>
      <c r="I108" s="6" t="str">
        <f t="array" ref="I108">IFERROR(INDEX(Bookings!$G:$G,MATCH(B108,Bookings!$B:$B,0)),"")</f>
        <v>2+</v>
      </c>
      <c r="J108" s="5">
        <f>VLOOKUP(B108,Bookings!B:H,7,FALSE())</f>
        <v>27.25</v>
      </c>
      <c r="K108" s="5" t="str">
        <f t="shared" si="1"/>
        <v>Long</v>
      </c>
      <c r="L108" s="11">
        <f t="array" ref="L108">IFERROR(INDEX(Bookings!$K:$K,MATCH(A108,Bookings!$A:$A,0)),"")</f>
        <v>7336</v>
      </c>
      <c r="M108" s="5" t="str">
        <f t="shared" si="2"/>
        <v>Medium</v>
      </c>
      <c r="N108" s="5">
        <f t="array" ref="N108">IFERROR(INDEX(Bookings!$I:$I,MATCH(A108,Bookings!$A:$A,0)),"")</f>
        <v>32</v>
      </c>
      <c r="O108" s="5" t="str">
        <f t="shared" si="3"/>
        <v>Advance</v>
      </c>
      <c r="P108" s="5" t="str">
        <f t="shared" si="4"/>
        <v>Delhi -&gt; Kolkata</v>
      </c>
    </row>
    <row r="109" ht="15.75" customHeight="1">
      <c r="A109" s="5" t="s">
        <v>526</v>
      </c>
      <c r="B109" s="5" t="s">
        <v>527</v>
      </c>
      <c r="C109" s="5" t="s">
        <v>131</v>
      </c>
      <c r="D109" s="5" t="s">
        <v>43</v>
      </c>
      <c r="E109" s="6" t="str">
        <f t="array" ref="E109">IFERROR(INDEX(Airlines!$B:$B,MATCH(D109,Airlines!$A:$A,0)),"")</f>
        <v>Indigo</v>
      </c>
      <c r="F109" s="6" t="str">
        <f>VLOOKUP(A109,Bookings!$A:$F,6,FALSE())</f>
        <v>Economy</v>
      </c>
      <c r="G109" s="6" t="str">
        <f t="array" ref="G109">IFERROR(INDEX(Flights!$E:$E,MATCH(B109,Flights!$A:$A,0)),"")</f>
        <v>Delhi</v>
      </c>
      <c r="H109" s="6" t="str">
        <f>VLOOKUP(B109,Flights!A:H,6,FALSE())</f>
        <v>Kolkata</v>
      </c>
      <c r="I109" s="6" t="str">
        <f t="array" ref="I109">IFERROR(INDEX(Bookings!$G:$G,MATCH(B109,Bookings!$B:$B,0)),"")</f>
        <v>1</v>
      </c>
      <c r="J109" s="5">
        <f>VLOOKUP(B109,Bookings!B:H,7,FALSE())</f>
        <v>5.17</v>
      </c>
      <c r="K109" s="5" t="str">
        <f t="shared" si="1"/>
        <v>Medium</v>
      </c>
      <c r="L109" s="11">
        <f t="array" ref="L109">IFERROR(INDEX(Bookings!$K:$K,MATCH(A109,Bookings!$A:$A,0)),"")</f>
        <v>2482</v>
      </c>
      <c r="M109" s="5" t="str">
        <f t="shared" si="2"/>
        <v>Low</v>
      </c>
      <c r="N109" s="5">
        <f t="array" ref="N109">IFERROR(INDEX(Bookings!$I:$I,MATCH(A109,Bookings!$A:$A,0)),"")</f>
        <v>46</v>
      </c>
      <c r="O109" s="5" t="str">
        <f t="shared" si="3"/>
        <v>Advance</v>
      </c>
      <c r="P109" s="5" t="str">
        <f t="shared" si="4"/>
        <v>Delhi -&gt; Kolkata</v>
      </c>
    </row>
    <row r="110" ht="15.75" customHeight="1">
      <c r="A110" s="5" t="s">
        <v>528</v>
      </c>
      <c r="B110" s="5" t="s">
        <v>529</v>
      </c>
      <c r="C110" s="5" t="s">
        <v>131</v>
      </c>
      <c r="D110" s="5" t="s">
        <v>43</v>
      </c>
      <c r="E110" s="6" t="str">
        <f t="array" ref="E110">IFERROR(INDEX(Airlines!$B:$B,MATCH(D110,Airlines!$A:$A,0)),"")</f>
        <v>Indigo</v>
      </c>
      <c r="F110" s="6" t="str">
        <f>VLOOKUP(A110,Bookings!$A:$F,6,FALSE())</f>
        <v>Economy</v>
      </c>
      <c r="G110" s="6" t="str">
        <f t="array" ref="G110">IFERROR(INDEX(Flights!$E:$E,MATCH(B110,Flights!$A:$A,0)),"")</f>
        <v>Delhi</v>
      </c>
      <c r="H110" s="6" t="str">
        <f>VLOOKUP(B110,Flights!A:H,6,FALSE())</f>
        <v>Kolkata</v>
      </c>
      <c r="I110" s="6" t="str">
        <f t="array" ref="I110">IFERROR(INDEX(Bookings!$G:$G,MATCH(B110,Bookings!$B:$B,0)),"")</f>
        <v>0</v>
      </c>
      <c r="J110" s="5">
        <f>VLOOKUP(B110,Bookings!B:H,7,FALSE())</f>
        <v>2.17</v>
      </c>
      <c r="K110" s="5" t="str">
        <f t="shared" si="1"/>
        <v>Short</v>
      </c>
      <c r="L110" s="11">
        <f t="array" ref="L110">IFERROR(INDEX(Bookings!$K:$K,MATCH(A110,Bookings!$A:$A,0)),"")</f>
        <v>3999</v>
      </c>
      <c r="M110" s="5" t="str">
        <f t="shared" si="2"/>
        <v>Low</v>
      </c>
      <c r="N110" s="5">
        <f t="array" ref="N110">IFERROR(INDEX(Bookings!$I:$I,MATCH(A110,Bookings!$A:$A,0)),"")</f>
        <v>46</v>
      </c>
      <c r="O110" s="5" t="str">
        <f t="shared" si="3"/>
        <v>Advance</v>
      </c>
      <c r="P110" s="5" t="str">
        <f t="shared" si="4"/>
        <v>Delhi -&gt; Kolkata</v>
      </c>
    </row>
    <row r="111" ht="15.75" customHeight="1">
      <c r="A111" s="5" t="s">
        <v>531</v>
      </c>
      <c r="B111" s="5" t="s">
        <v>532</v>
      </c>
      <c r="C111" s="5" t="s">
        <v>131</v>
      </c>
      <c r="D111" s="5" t="s">
        <v>45</v>
      </c>
      <c r="E111" s="6" t="str">
        <f t="array" ref="E111">IFERROR(INDEX(Airlines!$B:$B,MATCH(D111,Airlines!$A:$A,0)),"")</f>
        <v>Air_India</v>
      </c>
      <c r="F111" s="6" t="str">
        <f>VLOOKUP(A111,Bookings!$A:$F,6,FALSE())</f>
        <v>Economy</v>
      </c>
      <c r="G111" s="6" t="str">
        <f t="array" ref="G111">IFERROR(INDEX(Flights!$E:$E,MATCH(B111,Flights!$A:$A,0)),"")</f>
        <v>Delhi</v>
      </c>
      <c r="H111" s="6" t="str">
        <f>VLOOKUP(B111,Flights!A:H,6,FALSE())</f>
        <v>Kolkata</v>
      </c>
      <c r="I111" s="6" t="str">
        <f t="array" ref="I111">IFERROR(INDEX(Bookings!$G:$G,MATCH(B111,Bookings!$B:$B,0)),"")</f>
        <v>1</v>
      </c>
      <c r="J111" s="5">
        <f>VLOOKUP(B111,Bookings!B:H,7,FALSE())</f>
        <v>13.67</v>
      </c>
      <c r="K111" s="5" t="str">
        <f t="shared" si="1"/>
        <v>Long</v>
      </c>
      <c r="L111" s="11">
        <f t="array" ref="L111">IFERROR(INDEX(Bookings!$K:$K,MATCH(A111,Bookings!$A:$A,0)),"")</f>
        <v>6020</v>
      </c>
      <c r="M111" s="5" t="str">
        <f t="shared" si="2"/>
        <v>Medium</v>
      </c>
      <c r="N111" s="5">
        <f t="array" ref="N111">IFERROR(INDEX(Bookings!$I:$I,MATCH(A111,Bookings!$A:$A,0)),"")</f>
        <v>45</v>
      </c>
      <c r="O111" s="5" t="str">
        <f t="shared" si="3"/>
        <v>Advance</v>
      </c>
      <c r="P111" s="5" t="str">
        <f t="shared" si="4"/>
        <v>Delhi -&gt; Kolkata</v>
      </c>
    </row>
    <row r="112" ht="15.75" customHeight="1">
      <c r="A112" s="5" t="s">
        <v>535</v>
      </c>
      <c r="B112" s="5" t="s">
        <v>536</v>
      </c>
      <c r="C112" s="5" t="s">
        <v>131</v>
      </c>
      <c r="D112" s="5" t="s">
        <v>20</v>
      </c>
      <c r="E112" s="6" t="str">
        <f t="array" ref="E112">IFERROR(INDEX(Airlines!$B:$B,MATCH(D112,Airlines!$A:$A,0)),"")</f>
        <v>Vistara</v>
      </c>
      <c r="F112" s="6" t="str">
        <f>VLOOKUP(A112,Bookings!$A:$F,6,FALSE())</f>
        <v>Business</v>
      </c>
      <c r="G112" s="6" t="str">
        <f t="array" ref="G112">IFERROR(INDEX(Flights!$E:$E,MATCH(B112,Flights!$A:$A,0)),"")</f>
        <v>Delhi</v>
      </c>
      <c r="H112" s="6" t="str">
        <f>VLOOKUP(B112,Flights!A:H,6,FALSE())</f>
        <v>Kolkata</v>
      </c>
      <c r="I112" s="6" t="str">
        <f t="array" ref="I112">IFERROR(INDEX(Bookings!$G:$G,MATCH(B112,Bookings!$B:$B,0)),"")</f>
        <v>1</v>
      </c>
      <c r="J112" s="5">
        <f>VLOOKUP(B112,Bookings!B:H,7,FALSE())</f>
        <v>26.58</v>
      </c>
      <c r="K112" s="5" t="str">
        <f t="shared" si="1"/>
        <v>Long</v>
      </c>
      <c r="L112" s="11">
        <f t="array" ref="L112">IFERROR(INDEX(Bookings!$K:$K,MATCH(A112,Bookings!$A:$A,0)),"")</f>
        <v>53209</v>
      </c>
      <c r="M112" s="5" t="str">
        <f t="shared" si="2"/>
        <v>High</v>
      </c>
      <c r="N112" s="5">
        <f t="array" ref="N112">IFERROR(INDEX(Bookings!$I:$I,MATCH(A112,Bookings!$A:$A,0)),"")</f>
        <v>45</v>
      </c>
      <c r="O112" s="5" t="str">
        <f t="shared" si="3"/>
        <v>Advance</v>
      </c>
      <c r="P112" s="5" t="str">
        <f t="shared" si="4"/>
        <v>Delhi -&gt; Kolkata</v>
      </c>
    </row>
    <row r="113" ht="15.75" customHeight="1">
      <c r="A113" s="5" t="s">
        <v>538</v>
      </c>
      <c r="B113" s="5" t="s">
        <v>539</v>
      </c>
      <c r="C113" s="5" t="s">
        <v>131</v>
      </c>
      <c r="D113" s="5" t="s">
        <v>58</v>
      </c>
      <c r="E113" s="6" t="str">
        <f t="array" ref="E113">IFERROR(INDEX(Airlines!$B:$B,MATCH(D113,Airlines!$A:$A,0)),"")</f>
        <v>Go_First</v>
      </c>
      <c r="F113" s="6" t="str">
        <f>VLOOKUP(A113,Bookings!$A:$F,6,FALSE())</f>
        <v>Economy</v>
      </c>
      <c r="G113" s="6" t="str">
        <f t="array" ref="G113">IFERROR(INDEX(Flights!$E:$E,MATCH(B113,Flights!$A:$A,0)),"")</f>
        <v>Delhi</v>
      </c>
      <c r="H113" s="6" t="str">
        <f>VLOOKUP(B113,Flights!A:H,6,FALSE())</f>
        <v>Kolkata</v>
      </c>
      <c r="I113" s="6" t="str">
        <f t="array" ref="I113">IFERROR(INDEX(Bookings!$G:$G,MATCH(B113,Bookings!$B:$B,0)),"")</f>
        <v>1</v>
      </c>
      <c r="J113" s="5">
        <f>VLOOKUP(B113,Bookings!B:H,7,FALSE())</f>
        <v>16.5</v>
      </c>
      <c r="K113" s="5" t="str">
        <f t="shared" si="1"/>
        <v>Long</v>
      </c>
      <c r="L113" s="11">
        <f t="array" ref="L113">IFERROR(INDEX(Bookings!$K:$K,MATCH(A113,Bookings!$A:$A,0)),"")</f>
        <v>7336</v>
      </c>
      <c r="M113" s="5" t="str">
        <f t="shared" si="2"/>
        <v>Medium</v>
      </c>
      <c r="N113" s="5">
        <f t="array" ref="N113">IFERROR(INDEX(Bookings!$I:$I,MATCH(A113,Bookings!$A:$A,0)),"")</f>
        <v>46</v>
      </c>
      <c r="O113" s="5" t="str">
        <f t="shared" si="3"/>
        <v>Advance</v>
      </c>
      <c r="P113" s="5" t="str">
        <f t="shared" si="4"/>
        <v>Delhi -&gt; Kolkata</v>
      </c>
    </row>
    <row r="114" ht="15.75" customHeight="1">
      <c r="A114" s="5" t="s">
        <v>540</v>
      </c>
      <c r="B114" s="5" t="s">
        <v>542</v>
      </c>
      <c r="C114" s="5" t="s">
        <v>131</v>
      </c>
      <c r="D114" s="5" t="s">
        <v>45</v>
      </c>
      <c r="E114" s="6" t="str">
        <f t="array" ref="E114">IFERROR(INDEX(Airlines!$B:$B,MATCH(D114,Airlines!$A:$A,0)),"")</f>
        <v>Air_India</v>
      </c>
      <c r="F114" s="6" t="str">
        <f>VLOOKUP(A114,Bookings!$A:$F,6,FALSE())</f>
        <v>Economy</v>
      </c>
      <c r="G114" s="6" t="str">
        <f t="array" ref="G114">IFERROR(INDEX(Flights!$E:$E,MATCH(B114,Flights!$A:$A,0)),"")</f>
        <v>Delhi</v>
      </c>
      <c r="H114" s="6" t="str">
        <f>VLOOKUP(B114,Flights!A:H,6,FALSE())</f>
        <v>Kolkata</v>
      </c>
      <c r="I114" s="6" t="str">
        <f t="array" ref="I114">IFERROR(INDEX(Bookings!$G:$G,MATCH(B114,Bookings!$B:$B,0)),"")</f>
        <v>2+</v>
      </c>
      <c r="J114" s="5">
        <f>VLOOKUP(B114,Bookings!B:H,7,FALSE())</f>
        <v>26</v>
      </c>
      <c r="K114" s="5" t="str">
        <f t="shared" si="1"/>
        <v>Long</v>
      </c>
      <c r="L114" s="11">
        <f t="array" ref="L114">IFERROR(INDEX(Bookings!$K:$K,MATCH(A114,Bookings!$A:$A,0)),"")</f>
        <v>9523</v>
      </c>
      <c r="M114" s="5" t="str">
        <f t="shared" si="2"/>
        <v>Medium</v>
      </c>
      <c r="N114" s="5">
        <f t="array" ref="N114">IFERROR(INDEX(Bookings!$I:$I,MATCH(A114,Bookings!$A:$A,0)),"")</f>
        <v>45</v>
      </c>
      <c r="O114" s="5" t="str">
        <f t="shared" si="3"/>
        <v>Advance</v>
      </c>
      <c r="P114" s="5" t="str">
        <f t="shared" si="4"/>
        <v>Delhi -&gt; Kolkata</v>
      </c>
    </row>
    <row r="115" ht="15.75" customHeight="1">
      <c r="A115" s="5" t="s">
        <v>543</v>
      </c>
      <c r="B115" s="5" t="s">
        <v>544</v>
      </c>
      <c r="C115" s="5" t="s">
        <v>131</v>
      </c>
      <c r="D115" s="5" t="s">
        <v>45</v>
      </c>
      <c r="E115" s="6" t="str">
        <f t="array" ref="E115">IFERROR(INDEX(Airlines!$B:$B,MATCH(D115,Airlines!$A:$A,0)),"")</f>
        <v>Air_India</v>
      </c>
      <c r="F115" s="6" t="str">
        <f>VLOOKUP(A115,Bookings!$A:$F,6,FALSE())</f>
        <v>Economy</v>
      </c>
      <c r="G115" s="6" t="str">
        <f t="array" ref="G115">IFERROR(INDEX(Flights!$E:$E,MATCH(B115,Flights!$A:$A,0)),"")</f>
        <v>Delhi</v>
      </c>
      <c r="H115" s="6" t="str">
        <f>VLOOKUP(B115,Flights!A:H,6,FALSE())</f>
        <v>Kolkata</v>
      </c>
      <c r="I115" s="6" t="str">
        <f t="array" ref="I115">IFERROR(INDEX(Bookings!$G:$G,MATCH(B115,Bookings!$B:$B,0)),"")</f>
        <v>1</v>
      </c>
      <c r="J115" s="5">
        <f>VLOOKUP(B115,Bookings!B:H,7,FALSE())</f>
        <v>7.33</v>
      </c>
      <c r="K115" s="5" t="str">
        <f t="shared" si="1"/>
        <v>Medium</v>
      </c>
      <c r="L115" s="11">
        <f t="array" ref="L115">IFERROR(INDEX(Bookings!$K:$K,MATCH(A115,Bookings!$A:$A,0)),"")</f>
        <v>7150</v>
      </c>
      <c r="M115" s="5" t="str">
        <f t="shared" si="2"/>
        <v>Medium</v>
      </c>
      <c r="N115" s="5">
        <f t="array" ref="N115">IFERROR(INDEX(Bookings!$I:$I,MATCH(A115,Bookings!$A:$A,0)),"")</f>
        <v>49</v>
      </c>
      <c r="O115" s="5" t="str">
        <f t="shared" si="3"/>
        <v>Advance</v>
      </c>
      <c r="P115" s="5" t="str">
        <f t="shared" si="4"/>
        <v>Delhi -&gt; Kolkata</v>
      </c>
    </row>
    <row r="116" ht="15.75" customHeight="1">
      <c r="A116" s="5" t="s">
        <v>546</v>
      </c>
      <c r="B116" s="5" t="s">
        <v>547</v>
      </c>
      <c r="C116" s="5" t="s">
        <v>131</v>
      </c>
      <c r="D116" s="5" t="s">
        <v>45</v>
      </c>
      <c r="E116" s="6" t="str">
        <f t="array" ref="E116">IFERROR(INDEX(Airlines!$B:$B,MATCH(D116,Airlines!$A:$A,0)),"")</f>
        <v>Air_India</v>
      </c>
      <c r="F116" s="6" t="str">
        <f>VLOOKUP(A116,Bookings!$A:$F,6,FALSE())</f>
        <v>Economy</v>
      </c>
      <c r="G116" s="6" t="str">
        <f t="array" ref="G116">IFERROR(INDEX(Flights!$E:$E,MATCH(B116,Flights!$A:$A,0)),"")</f>
        <v>Delhi</v>
      </c>
      <c r="H116" s="6" t="str">
        <f>VLOOKUP(B116,Flights!A:H,6,FALSE())</f>
        <v>Kolkata</v>
      </c>
      <c r="I116" s="6">
        <f t="array" ref="I116">IFERROR(INDEX(Bookings!$G:$G,MATCH(B116,Bookings!$B:$B,0)),"")</f>
        <v>1</v>
      </c>
      <c r="J116" s="5">
        <f>VLOOKUP(B116,Bookings!B:H,7,FALSE())</f>
        <v>18.33</v>
      </c>
      <c r="K116" s="5" t="str">
        <f t="shared" si="1"/>
        <v>Long</v>
      </c>
      <c r="L116" s="11">
        <f t="array" ref="L116">IFERROR(INDEX(Bookings!$K:$K,MATCH(A116,Bookings!$A:$A,0)),"")</f>
        <v>9523</v>
      </c>
      <c r="M116" s="5" t="str">
        <f t="shared" si="2"/>
        <v>Medium</v>
      </c>
      <c r="N116" s="5">
        <f t="array" ref="N116">IFERROR(INDEX(Bookings!$I:$I,MATCH(A116,Bookings!$A:$A,0)),"")</f>
        <v>49</v>
      </c>
      <c r="O116" s="5" t="str">
        <f t="shared" si="3"/>
        <v>Advance</v>
      </c>
      <c r="P116" s="5" t="str">
        <f t="shared" si="4"/>
        <v>Delhi -&gt; Kolkata</v>
      </c>
    </row>
    <row r="117" ht="15.75" customHeight="1">
      <c r="A117" s="5" t="s">
        <v>551</v>
      </c>
      <c r="B117" s="5" t="s">
        <v>552</v>
      </c>
      <c r="C117" s="5" t="s">
        <v>131</v>
      </c>
      <c r="D117" s="5" t="s">
        <v>45</v>
      </c>
      <c r="E117" s="6" t="str">
        <f t="array" ref="E117">IFERROR(INDEX(Airlines!$B:$B,MATCH(D117,Airlines!$A:$A,0)),"")</f>
        <v>Air_India</v>
      </c>
      <c r="F117" s="6" t="str">
        <f>VLOOKUP(A117,Bookings!$A:$F,6,FALSE())</f>
        <v>Economy</v>
      </c>
      <c r="G117" s="6" t="str">
        <f t="array" ref="G117">IFERROR(INDEX(Flights!$E:$E,MATCH(B117,Flights!$A:$A,0)),"")</f>
        <v>Delhi</v>
      </c>
      <c r="H117" s="6" t="str">
        <f>VLOOKUP(B117,Flights!A:H,6,FALSE())</f>
        <v>Kolkata</v>
      </c>
      <c r="I117" s="6" t="str">
        <f t="array" ref="I117">IFERROR(INDEX(Bookings!$G:$G,MATCH(B117,Bookings!$B:$B,0)),"")</f>
        <v>1</v>
      </c>
      <c r="J117" s="5">
        <f>VLOOKUP(B117,Bookings!B:H,7,FALSE())</f>
        <v>27.92</v>
      </c>
      <c r="K117" s="5" t="str">
        <f t="shared" si="1"/>
        <v>Long</v>
      </c>
      <c r="L117" s="11">
        <f t="array" ref="L117">IFERROR(INDEX(Bookings!$K:$K,MATCH(A117,Bookings!$A:$A,0)),"")</f>
        <v>9523</v>
      </c>
      <c r="M117" s="5" t="str">
        <f t="shared" si="2"/>
        <v>Medium</v>
      </c>
      <c r="N117" s="5">
        <f t="array" ref="N117">IFERROR(INDEX(Bookings!$I:$I,MATCH(A117,Bookings!$A:$A,0)),"")</f>
        <v>49</v>
      </c>
      <c r="O117" s="5" t="str">
        <f t="shared" si="3"/>
        <v>Advance</v>
      </c>
      <c r="P117" s="5" t="str">
        <f t="shared" si="4"/>
        <v>Delhi -&gt; Kolkata</v>
      </c>
    </row>
    <row r="118" ht="15.75" customHeight="1">
      <c r="A118" s="5" t="s">
        <v>554</v>
      </c>
      <c r="B118" s="5" t="s">
        <v>555</v>
      </c>
      <c r="C118" s="5" t="s">
        <v>152</v>
      </c>
      <c r="D118" s="5" t="s">
        <v>20</v>
      </c>
      <c r="E118" s="6" t="str">
        <f t="array" ref="E118">IFERROR(INDEX(Airlines!$B:$B,MATCH(D118,Airlines!$A:$A,0)),"")</f>
        <v>Vistara</v>
      </c>
      <c r="F118" s="6" t="str">
        <f>VLOOKUP(A118,Bookings!$A:$F,6,FALSE())</f>
        <v>Business</v>
      </c>
      <c r="G118" s="6" t="str">
        <f t="array" ref="G118">IFERROR(INDEX(Flights!$E:$E,MATCH(B118,Flights!$A:$A,0)),"")</f>
        <v>Delhi</v>
      </c>
      <c r="H118" s="6" t="str">
        <f>VLOOKUP(B118,Flights!A:H,6,FALSE())</f>
        <v>Hyderabad</v>
      </c>
      <c r="I118" s="6" t="str">
        <f t="array" ref="I118">IFERROR(INDEX(Bookings!$G:$G,MATCH(B118,Bookings!$B:$B,0)),"")</f>
        <v>0</v>
      </c>
      <c r="J118" s="5">
        <f>VLOOKUP(B118,Bookings!B:H,7,FALSE())</f>
        <v>2.17</v>
      </c>
      <c r="K118" s="5" t="str">
        <f t="shared" si="1"/>
        <v>Short</v>
      </c>
      <c r="L118" s="11">
        <f t="array" ref="L118">IFERROR(INDEX(Bookings!$K:$K,MATCH(A118,Bookings!$A:$A,0)),"")</f>
        <v>24056</v>
      </c>
      <c r="M118" s="5" t="str">
        <f t="shared" si="2"/>
        <v>High</v>
      </c>
      <c r="N118" s="5">
        <f t="array" ref="N118">IFERROR(INDEX(Bookings!$I:$I,MATCH(A118,Bookings!$A:$A,0)),"")</f>
        <v>34</v>
      </c>
      <c r="O118" s="5" t="str">
        <f t="shared" si="3"/>
        <v>Advance</v>
      </c>
      <c r="P118" s="5" t="str">
        <f t="shared" si="4"/>
        <v>Delhi -&gt; Hyderabad</v>
      </c>
    </row>
    <row r="119" ht="15.75" customHeight="1">
      <c r="A119" s="5" t="s">
        <v>556</v>
      </c>
      <c r="B119" s="5" t="s">
        <v>557</v>
      </c>
      <c r="C119" s="5" t="s">
        <v>152</v>
      </c>
      <c r="D119" s="5" t="s">
        <v>20</v>
      </c>
      <c r="E119" s="6" t="str">
        <f t="array" ref="E119">IFERROR(INDEX(Airlines!$B:$B,MATCH(D119,Airlines!$A:$A,0)),"")</f>
        <v>Vistara</v>
      </c>
      <c r="F119" s="6" t="str">
        <f>VLOOKUP(A119,Bookings!$A:$F,6,FALSE())</f>
        <v>Business</v>
      </c>
      <c r="G119" s="6" t="str">
        <f t="array" ref="G119">IFERROR(INDEX(Flights!$E:$E,MATCH(B119,Flights!$A:$A,0)),"")</f>
        <v>Delhi</v>
      </c>
      <c r="H119" s="6" t="str">
        <f>VLOOKUP(B119,Flights!A:H,6,FALSE())</f>
        <v>Hyderabad</v>
      </c>
      <c r="I119" s="6" t="str">
        <f t="array" ref="I119">IFERROR(INDEX(Bookings!$G:$G,MATCH(B119,Bookings!$B:$B,0)),"")</f>
        <v>0</v>
      </c>
      <c r="J119" s="5">
        <f>VLOOKUP(B119,Bookings!B:H,7,FALSE())</f>
        <v>2.33</v>
      </c>
      <c r="K119" s="5" t="str">
        <f t="shared" si="1"/>
        <v>Short</v>
      </c>
      <c r="L119" s="11">
        <f t="array" ref="L119">IFERROR(INDEX(Bookings!$K:$K,MATCH(A119,Bookings!$A:$A,0)),"")</f>
        <v>24056</v>
      </c>
      <c r="M119" s="5" t="str">
        <f t="shared" si="2"/>
        <v>High</v>
      </c>
      <c r="N119" s="5">
        <f t="array" ref="N119">IFERROR(INDEX(Bookings!$I:$I,MATCH(A119,Bookings!$A:$A,0)),"")</f>
        <v>15</v>
      </c>
      <c r="O119" s="5" t="str">
        <f t="shared" si="3"/>
        <v>Short Notice</v>
      </c>
      <c r="P119" s="5" t="str">
        <f t="shared" si="4"/>
        <v>Delhi -&gt; Hyderabad</v>
      </c>
    </row>
    <row r="120" ht="15.75" customHeight="1">
      <c r="A120" s="5" t="s">
        <v>559</v>
      </c>
      <c r="B120" s="5" t="s">
        <v>561</v>
      </c>
      <c r="C120" s="5" t="s">
        <v>152</v>
      </c>
      <c r="D120" s="5" t="s">
        <v>20</v>
      </c>
      <c r="E120" s="6" t="str">
        <f t="array" ref="E120">IFERROR(INDEX(Airlines!$B:$B,MATCH(D120,Airlines!$A:$A,0)),"")</f>
        <v>Vistara</v>
      </c>
      <c r="F120" s="6" t="str">
        <f>VLOOKUP(A120,Bookings!$A:$F,6,FALSE())</f>
        <v>Economy</v>
      </c>
      <c r="G120" s="6" t="str">
        <f t="array" ref="G120">IFERROR(INDEX(Flights!$E:$E,MATCH(B120,Flights!$A:$A,0)),"")</f>
        <v>Delhi</v>
      </c>
      <c r="H120" s="6" t="str">
        <f>VLOOKUP(B120,Flights!A:H,6,FALSE())</f>
        <v>Hyderabad</v>
      </c>
      <c r="I120" s="6" t="str">
        <f t="array" ref="I120">IFERROR(INDEX(Bookings!$G:$G,MATCH(B120,Bookings!$B:$B,0)),"")</f>
        <v>1</v>
      </c>
      <c r="J120" s="5">
        <f>VLOOKUP(B120,Bookings!B:H,7,FALSE())</f>
        <v>25.92</v>
      </c>
      <c r="K120" s="5" t="str">
        <f t="shared" si="1"/>
        <v>Long</v>
      </c>
      <c r="L120" s="11">
        <f t="array" ref="L120">IFERROR(INDEX(Bookings!$K:$K,MATCH(A120,Bookings!$A:$A,0)),"")</f>
        <v>10260</v>
      </c>
      <c r="M120" s="5" t="str">
        <f t="shared" si="2"/>
        <v>Medium</v>
      </c>
      <c r="N120" s="5">
        <f t="array" ref="N120">IFERROR(INDEX(Bookings!$I:$I,MATCH(A120,Bookings!$A:$A,0)),"")</f>
        <v>2</v>
      </c>
      <c r="O120" s="5" t="str">
        <f t="shared" si="3"/>
        <v>Last Minute</v>
      </c>
      <c r="P120" s="5" t="str">
        <f t="shared" si="4"/>
        <v>Delhi -&gt; Hyderabad</v>
      </c>
    </row>
    <row r="121" ht="15.75" customHeight="1">
      <c r="A121" s="5" t="s">
        <v>569</v>
      </c>
      <c r="B121" s="5" t="s">
        <v>570</v>
      </c>
      <c r="C121" s="5" t="s">
        <v>152</v>
      </c>
      <c r="D121" s="5" t="s">
        <v>72</v>
      </c>
      <c r="E121" s="6" t="str">
        <f t="array" ref="E121">IFERROR(INDEX(Airlines!$B:$B,MATCH(D121,Airlines!$A:$A,0)),"")</f>
        <v>Spicejet</v>
      </c>
      <c r="F121" s="6" t="str">
        <f>VLOOKUP(A121,Bookings!$A:$F,6,FALSE())</f>
        <v>Economy</v>
      </c>
      <c r="G121" s="6" t="str">
        <f t="array" ref="G121">IFERROR(INDEX(Flights!$E:$E,MATCH(B121,Flights!$A:$A,0)),"")</f>
        <v>Delhi</v>
      </c>
      <c r="H121" s="6" t="str">
        <f>VLOOKUP(B121,Flights!A:H,6,FALSE())</f>
        <v>Hyderabad</v>
      </c>
      <c r="I121" s="6" t="str">
        <f t="array" ref="I121">IFERROR(INDEX(Bookings!$G:$G,MATCH(B121,Bookings!$B:$B,0)),"")</f>
        <v>1</v>
      </c>
      <c r="J121" s="5">
        <f>VLOOKUP(B121,Bookings!B:H,7,FALSE())</f>
        <v>5.92</v>
      </c>
      <c r="K121" s="5" t="str">
        <f t="shared" si="1"/>
        <v>Medium</v>
      </c>
      <c r="L121" s="11">
        <f t="array" ref="L121">IFERROR(INDEX(Bookings!$K:$K,MATCH(A121,Bookings!$A:$A,0)),"")</f>
        <v>9971</v>
      </c>
      <c r="M121" s="5" t="str">
        <f t="shared" si="2"/>
        <v>Medium</v>
      </c>
      <c r="N121" s="5">
        <f t="array" ref="N121">IFERROR(INDEX(Bookings!$I:$I,MATCH(A121,Bookings!$A:$A,0)),"")</f>
        <v>43</v>
      </c>
      <c r="O121" s="5" t="str">
        <f t="shared" si="3"/>
        <v>Advance</v>
      </c>
      <c r="P121" s="5" t="str">
        <f t="shared" si="4"/>
        <v>Delhi -&gt; Hyderabad</v>
      </c>
    </row>
    <row r="122" ht="15.75" customHeight="1">
      <c r="A122" s="5" t="s">
        <v>572</v>
      </c>
      <c r="B122" s="5" t="s">
        <v>573</v>
      </c>
      <c r="C122" s="5" t="s">
        <v>152</v>
      </c>
      <c r="D122" s="5" t="s">
        <v>58</v>
      </c>
      <c r="E122" s="6" t="str">
        <f t="array" ref="E122">IFERROR(INDEX(Airlines!$B:$B,MATCH(D122,Airlines!$A:$A,0)),"")</f>
        <v>Go_First</v>
      </c>
      <c r="F122" s="6" t="str">
        <f>VLOOKUP(A122,Bookings!$A:$F,6,FALSE())</f>
        <v>Economy</v>
      </c>
      <c r="G122" s="6" t="str">
        <f t="array" ref="G122">IFERROR(INDEX(Flights!$E:$E,MATCH(B122,Flights!$A:$A,0)),"")</f>
        <v>Delhi</v>
      </c>
      <c r="H122" s="6" t="str">
        <f>VLOOKUP(B122,Flights!A:H,6,FALSE())</f>
        <v>Hyderabad</v>
      </c>
      <c r="I122" s="6" t="str">
        <f t="array" ref="I122">IFERROR(INDEX(Bookings!$G:$G,MATCH(B122,Bookings!$B:$B,0)),"")</f>
        <v>1</v>
      </c>
      <c r="J122" s="5">
        <f>VLOOKUP(B122,Bookings!B:H,7,FALSE())</f>
        <v>14.42</v>
      </c>
      <c r="K122" s="5" t="str">
        <f t="shared" si="1"/>
        <v>Long</v>
      </c>
      <c r="L122" s="11">
        <f t="array" ref="L122">IFERROR(INDEX(Bookings!$K:$K,MATCH(A122,Bookings!$A:$A,0)),"")</f>
        <v>11415</v>
      </c>
      <c r="M122" s="5" t="str">
        <f t="shared" si="2"/>
        <v>Medium</v>
      </c>
      <c r="N122" s="5">
        <f t="array" ref="N122">IFERROR(INDEX(Bookings!$I:$I,MATCH(A122,Bookings!$A:$A,0)),"")</f>
        <v>1</v>
      </c>
      <c r="O122" s="5" t="str">
        <f t="shared" si="3"/>
        <v>Last Minute</v>
      </c>
      <c r="P122" s="5" t="str">
        <f t="shared" si="4"/>
        <v>Delhi -&gt; Hyderabad</v>
      </c>
    </row>
    <row r="123" ht="15.75" customHeight="1">
      <c r="A123" s="5" t="s">
        <v>576</v>
      </c>
      <c r="B123" s="5" t="s">
        <v>577</v>
      </c>
      <c r="C123" s="5" t="s">
        <v>152</v>
      </c>
      <c r="D123" s="5" t="s">
        <v>29</v>
      </c>
      <c r="E123" s="6" t="str">
        <f t="array" ref="E123">IFERROR(INDEX(Airlines!$B:$B,MATCH(D123,Airlines!$A:$A,0)),"")</f>
        <v>AirAsia</v>
      </c>
      <c r="F123" s="6" t="str">
        <f>VLOOKUP(A123,Bookings!$A:$F,6,FALSE())</f>
        <v>Economy</v>
      </c>
      <c r="G123" s="6" t="str">
        <f t="array" ref="G123">IFERROR(INDEX(Flights!$E:$E,MATCH(B123,Flights!$A:$A,0)),"")</f>
        <v>Delhi</v>
      </c>
      <c r="H123" s="6" t="str">
        <f>VLOOKUP(B123,Flights!A:H,6,FALSE())</f>
        <v>Hyderabad</v>
      </c>
      <c r="I123" s="6" t="str">
        <f t="array" ref="I123">IFERROR(INDEX(Bookings!$G:$G,MATCH(B123,Bookings!$B:$B,0)),"")</f>
        <v>1</v>
      </c>
      <c r="J123" s="5">
        <f>VLOOKUP(B123,Bookings!B:H,7,FALSE())</f>
        <v>6.58</v>
      </c>
      <c r="K123" s="5" t="str">
        <f t="shared" si="1"/>
        <v>Medium</v>
      </c>
      <c r="L123" s="11">
        <f t="array" ref="L123">IFERROR(INDEX(Bookings!$K:$K,MATCH(A123,Bookings!$A:$A,0)),"")</f>
        <v>2050</v>
      </c>
      <c r="M123" s="5" t="str">
        <f t="shared" si="2"/>
        <v>Low</v>
      </c>
      <c r="N123" s="5">
        <f t="array" ref="N123">IFERROR(INDEX(Bookings!$I:$I,MATCH(A123,Bookings!$A:$A,0)),"")</f>
        <v>30</v>
      </c>
      <c r="O123" s="5" t="str">
        <f t="shared" si="3"/>
        <v>Moderate</v>
      </c>
      <c r="P123" s="5" t="str">
        <f t="shared" si="4"/>
        <v>Delhi -&gt; Hyderabad</v>
      </c>
    </row>
    <row r="124" ht="15.75" customHeight="1">
      <c r="A124" s="5" t="s">
        <v>579</v>
      </c>
      <c r="B124" s="5" t="s">
        <v>580</v>
      </c>
      <c r="C124" s="5" t="s">
        <v>152</v>
      </c>
      <c r="D124" s="5" t="s">
        <v>43</v>
      </c>
      <c r="E124" s="6" t="str">
        <f t="array" ref="E124">IFERROR(INDEX(Airlines!$B:$B,MATCH(D124,Airlines!$A:$A,0)),"")</f>
        <v>Indigo</v>
      </c>
      <c r="F124" s="6" t="str">
        <f>VLOOKUP(A124,Bookings!$A:$F,6,FALSE())</f>
        <v>Economy</v>
      </c>
      <c r="G124" s="6" t="str">
        <f t="array" ref="G124">IFERROR(INDEX(Flights!$E:$E,MATCH(B124,Flights!$A:$A,0)),"")</f>
        <v>Delhi</v>
      </c>
      <c r="H124" s="6" t="str">
        <f>VLOOKUP(B124,Flights!A:H,6,FALSE())</f>
        <v>Hyderabad</v>
      </c>
      <c r="I124" s="6" t="str">
        <f t="array" ref="I124">IFERROR(INDEX(Bookings!$G:$G,MATCH(B124,Bookings!$B:$B,0)),"")</f>
        <v>1</v>
      </c>
      <c r="J124" s="5">
        <f>VLOOKUP(B124,Bookings!B:H,7,FALSE())</f>
        <v>8.08</v>
      </c>
      <c r="K124" s="5" t="str">
        <f t="shared" si="1"/>
        <v>Medium</v>
      </c>
      <c r="L124" s="11">
        <f t="array" ref="L124">IFERROR(INDEX(Bookings!$K:$K,MATCH(A124,Bookings!$A:$A,0)),"")</f>
        <v>3457</v>
      </c>
      <c r="M124" s="5" t="str">
        <f t="shared" si="2"/>
        <v>Low</v>
      </c>
      <c r="N124" s="5">
        <f t="array" ref="N124">IFERROR(INDEX(Bookings!$I:$I,MATCH(A124,Bookings!$A:$A,0)),"")</f>
        <v>41</v>
      </c>
      <c r="O124" s="5" t="str">
        <f t="shared" si="3"/>
        <v>Advance</v>
      </c>
      <c r="P124" s="5" t="str">
        <f t="shared" si="4"/>
        <v>Delhi -&gt; Hyderabad</v>
      </c>
    </row>
    <row r="125" ht="15.75" customHeight="1">
      <c r="A125" s="5" t="s">
        <v>584</v>
      </c>
      <c r="B125" s="5" t="s">
        <v>585</v>
      </c>
      <c r="C125" s="5" t="s">
        <v>152</v>
      </c>
      <c r="D125" s="5" t="s">
        <v>45</v>
      </c>
      <c r="E125" s="6" t="str">
        <f t="array" ref="E125">IFERROR(INDEX(Airlines!$B:$B,MATCH(D125,Airlines!$A:$A,0)),"")</f>
        <v>Air_India</v>
      </c>
      <c r="F125" s="6" t="str">
        <f>VLOOKUP(A125,Bookings!$A:$F,6,FALSE())</f>
        <v>Economy</v>
      </c>
      <c r="G125" s="6" t="str">
        <f t="array" ref="G125">IFERROR(INDEX(Flights!$E:$E,MATCH(B125,Flights!$A:$A,0)),"")</f>
        <v>Delhi</v>
      </c>
      <c r="H125" s="6" t="str">
        <f>VLOOKUP(B125,Flights!A:H,6,FALSE())</f>
        <v>Hyderabad</v>
      </c>
      <c r="I125" s="6" t="str">
        <f t="array" ref="I125">IFERROR(INDEX(Bookings!$G:$G,MATCH(B125,Bookings!$B:$B,0)),"")</f>
        <v>1</v>
      </c>
      <c r="J125" s="5">
        <f>VLOOKUP(B125,Bookings!B:H,7,FALSE())</f>
        <v>9.08</v>
      </c>
      <c r="K125" s="5" t="str">
        <f t="shared" si="1"/>
        <v>Medium</v>
      </c>
      <c r="L125" s="11">
        <f t="array" ref="L125">IFERROR(INDEX(Bookings!$K:$K,MATCH(A125,Bookings!$A:$A,0)),"")</f>
        <v>4415</v>
      </c>
      <c r="M125" s="5" t="str">
        <f t="shared" si="2"/>
        <v>Low</v>
      </c>
      <c r="N125" s="5">
        <f t="array" ref="N125">IFERROR(INDEX(Bookings!$I:$I,MATCH(A125,Bookings!$A:$A,0)),"")</f>
        <v>39</v>
      </c>
      <c r="O125" s="5" t="str">
        <f t="shared" si="3"/>
        <v>Advance</v>
      </c>
      <c r="P125" s="5" t="str">
        <f t="shared" si="4"/>
        <v>Delhi -&gt; Hyderabad</v>
      </c>
    </row>
    <row r="126" ht="15.75" customHeight="1">
      <c r="A126" s="5" t="s">
        <v>588</v>
      </c>
      <c r="B126" s="5" t="s">
        <v>589</v>
      </c>
      <c r="C126" s="5" t="s">
        <v>152</v>
      </c>
      <c r="D126" s="5" t="s">
        <v>45</v>
      </c>
      <c r="E126" s="6" t="str">
        <f t="array" ref="E126">IFERROR(INDEX(Airlines!$B:$B,MATCH(D126,Airlines!$A:$A,0)),"")</f>
        <v>Air_India</v>
      </c>
      <c r="F126" s="6" t="str">
        <f>VLOOKUP(A126,Bookings!$A:$F,6,FALSE())</f>
        <v>Economy</v>
      </c>
      <c r="G126" s="6" t="str">
        <f t="array" ref="G126">IFERROR(INDEX(Flights!$E:$E,MATCH(B126,Flights!$A:$A,0)),"")</f>
        <v>Delhi</v>
      </c>
      <c r="H126" s="6" t="str">
        <f>VLOOKUP(B126,Flights!A:H,6,FALSE())</f>
        <v>Hyderabad</v>
      </c>
      <c r="I126" s="6" t="str">
        <f t="array" ref="I126">IFERROR(INDEX(Bookings!$G:$G,MATCH(B126,Bookings!$B:$B,0)),"")</f>
        <v>1</v>
      </c>
      <c r="J126" s="5">
        <f>VLOOKUP(B126,Bookings!B:H,7,FALSE())</f>
        <v>6.75</v>
      </c>
      <c r="K126" s="5" t="str">
        <f t="shared" si="1"/>
        <v>Medium</v>
      </c>
      <c r="L126" s="11">
        <f t="array" ref="L126">IFERROR(INDEX(Bookings!$K:$K,MATCH(A126,Bookings!$A:$A,0)),"")</f>
        <v>5530</v>
      </c>
      <c r="M126" s="5" t="str">
        <f t="shared" si="2"/>
        <v>Medium</v>
      </c>
      <c r="N126" s="5">
        <f t="array" ref="N126">IFERROR(INDEX(Bookings!$I:$I,MATCH(A126,Bookings!$A:$A,0)),"")</f>
        <v>27</v>
      </c>
      <c r="O126" s="5" t="str">
        <f t="shared" si="3"/>
        <v>Moderate</v>
      </c>
      <c r="P126" s="5" t="str">
        <f t="shared" si="4"/>
        <v>Delhi -&gt; Hyderabad</v>
      </c>
    </row>
    <row r="127" ht="15.75" customHeight="1">
      <c r="A127" s="5" t="s">
        <v>592</v>
      </c>
      <c r="B127" s="5" t="s">
        <v>593</v>
      </c>
      <c r="C127" s="5" t="s">
        <v>152</v>
      </c>
      <c r="D127" s="5" t="s">
        <v>20</v>
      </c>
      <c r="E127" s="6" t="str">
        <f t="array" ref="E127">IFERROR(INDEX(Airlines!$B:$B,MATCH(D127,Airlines!$A:$A,0)),"")</f>
        <v>Vistara</v>
      </c>
      <c r="F127" s="6" t="str">
        <f>VLOOKUP(A127,Bookings!$A:$F,6,FALSE())</f>
        <v>Business</v>
      </c>
      <c r="G127" s="6" t="str">
        <f t="array" ref="G127">IFERROR(INDEX(Flights!$E:$E,MATCH(B127,Flights!$A:$A,0)),"")</f>
        <v>Delhi</v>
      </c>
      <c r="H127" s="6" t="str">
        <f>VLOOKUP(B127,Flights!A:H,6,FALSE())</f>
        <v>Hyderabad</v>
      </c>
      <c r="I127" s="6" t="str">
        <f t="array" ref="I127">IFERROR(INDEX(Bookings!$G:$G,MATCH(B127,Bookings!$B:$B,0)),"")</f>
        <v>1</v>
      </c>
      <c r="J127" s="5">
        <f>VLOOKUP(B127,Bookings!B:H,7,FALSE())</f>
        <v>11.42</v>
      </c>
      <c r="K127" s="5" t="str">
        <f t="shared" si="1"/>
        <v>Long</v>
      </c>
      <c r="L127" s="11">
        <f t="array" ref="L127">IFERROR(INDEX(Bookings!$K:$K,MATCH(A127,Bookings!$A:$A,0)),"")</f>
        <v>46097</v>
      </c>
      <c r="M127" s="5" t="str">
        <f t="shared" si="2"/>
        <v>High</v>
      </c>
      <c r="N127" s="5">
        <f t="array" ref="N127">IFERROR(INDEX(Bookings!$I:$I,MATCH(A127,Bookings!$A:$A,0)),"")</f>
        <v>15</v>
      </c>
      <c r="O127" s="5" t="str">
        <f t="shared" si="3"/>
        <v>Short Notice</v>
      </c>
      <c r="P127" s="5" t="str">
        <f t="shared" si="4"/>
        <v>Delhi -&gt; Hyderabad</v>
      </c>
    </row>
    <row r="128" ht="15.75" customHeight="1">
      <c r="A128" s="5" t="s">
        <v>596</v>
      </c>
      <c r="B128" s="5" t="s">
        <v>597</v>
      </c>
      <c r="C128" s="5" t="s">
        <v>152</v>
      </c>
      <c r="D128" s="5" t="s">
        <v>29</v>
      </c>
      <c r="E128" s="6" t="str">
        <f t="array" ref="E128">IFERROR(INDEX(Airlines!$B:$B,MATCH(D128,Airlines!$A:$A,0)),"")</f>
        <v>AirAsia</v>
      </c>
      <c r="F128" s="6" t="str">
        <f>VLOOKUP(A128,Bookings!$A:$F,6,FALSE())</f>
        <v>Economy</v>
      </c>
      <c r="G128" s="6" t="str">
        <f t="array" ref="G128">IFERROR(INDEX(Flights!$E:$E,MATCH(B128,Flights!$A:$A,0)),"")</f>
        <v>Delhi</v>
      </c>
      <c r="H128" s="6" t="str">
        <f>VLOOKUP(B128,Flights!A:H,6,FALSE())</f>
        <v>Hyderabad</v>
      </c>
      <c r="I128" s="6" t="str">
        <f t="array" ref="I128">IFERROR(INDEX(Bookings!$G:$G,MATCH(B128,Bookings!$B:$B,0)),"")</f>
        <v>1</v>
      </c>
      <c r="J128" s="5">
        <f>VLOOKUP(B128,Bookings!B:H,7,FALSE())</f>
        <v>7.58</v>
      </c>
      <c r="K128" s="5" t="str">
        <f t="shared" si="1"/>
        <v>Medium</v>
      </c>
      <c r="L128" s="11">
        <f t="array" ref="L128">IFERROR(INDEX(Bookings!$K:$K,MATCH(A128,Bookings!$A:$A,0)),"")</f>
        <v>2050</v>
      </c>
      <c r="M128" s="5" t="str">
        <f t="shared" si="2"/>
        <v>Low</v>
      </c>
      <c r="N128" s="5" t="str">
        <f t="array" ref="N128">IFERROR(INDEX(Bookings!$I:$I,MATCH(A128,Bookings!$A:$A,0)),"")</f>
        <v/>
      </c>
      <c r="O128" s="5" t="str">
        <f t="shared" si="3"/>
        <v>Last Minute</v>
      </c>
      <c r="P128" s="5" t="str">
        <f t="shared" si="4"/>
        <v>Delhi -&gt; Hyderabad</v>
      </c>
    </row>
    <row r="129" ht="15.75" customHeight="1">
      <c r="A129" s="5" t="s">
        <v>599</v>
      </c>
      <c r="B129" s="5" t="s">
        <v>600</v>
      </c>
      <c r="C129" s="5" t="s">
        <v>152</v>
      </c>
      <c r="D129" s="5" t="s">
        <v>58</v>
      </c>
      <c r="E129" s="6" t="str">
        <f t="array" ref="E129">IFERROR(INDEX(Airlines!$B:$B,MATCH(D129,Airlines!$A:$A,0)),"")</f>
        <v>Go_First</v>
      </c>
      <c r="F129" s="6" t="str">
        <f>VLOOKUP(A129,Bookings!$A:$F,6,FALSE())</f>
        <v>Economy</v>
      </c>
      <c r="G129" s="6" t="str">
        <f t="array" ref="G129">IFERROR(INDEX(Flights!$E:$E,MATCH(B129,Flights!$A:$A,0)),"")</f>
        <v>Delhi</v>
      </c>
      <c r="H129" s="6" t="str">
        <f>VLOOKUP(B129,Flights!A:H,6,FALSE())</f>
        <v>Hyderabad</v>
      </c>
      <c r="I129" s="6" t="str">
        <f t="array" ref="I129">IFERROR(INDEX(Bookings!$G:$G,MATCH(B129,Bookings!$B:$B,0)),"")</f>
        <v>0</v>
      </c>
      <c r="J129" s="5">
        <f>VLOOKUP(B129,Bookings!B:H,7,FALSE())</f>
        <v>2.25</v>
      </c>
      <c r="K129" s="5" t="str">
        <f t="shared" si="1"/>
        <v>Short</v>
      </c>
      <c r="L129" s="11">
        <f t="array" ref="L129">IFERROR(INDEX(Bookings!$K:$K,MATCH(A129,Bookings!$A:$A,0)),"")</f>
        <v>6532</v>
      </c>
      <c r="M129" s="5" t="str">
        <f t="shared" si="2"/>
        <v>Medium</v>
      </c>
      <c r="N129" s="5">
        <f t="array" ref="N129">IFERROR(INDEX(Bookings!$I:$I,MATCH(A129,Bookings!$A:$A,0)),"")</f>
        <v>2</v>
      </c>
      <c r="O129" s="5" t="str">
        <f t="shared" si="3"/>
        <v>Last Minute</v>
      </c>
      <c r="P129" s="5" t="str">
        <f t="shared" si="4"/>
        <v>Delhi -&gt; Hyderabad</v>
      </c>
    </row>
    <row r="130" ht="15.75" customHeight="1">
      <c r="A130" s="5" t="s">
        <v>604</v>
      </c>
      <c r="B130" s="5" t="s">
        <v>605</v>
      </c>
      <c r="C130" s="5" t="s">
        <v>152</v>
      </c>
      <c r="D130" s="5" t="s">
        <v>45</v>
      </c>
      <c r="E130" s="6" t="str">
        <f t="array" ref="E130">IFERROR(INDEX(Airlines!$B:$B,MATCH(D130,Airlines!$A:$A,0)),"")</f>
        <v>Air_India</v>
      </c>
      <c r="F130" s="6" t="str">
        <f>VLOOKUP(A130,Bookings!$A:$F,6,FALSE())</f>
        <v>Economy</v>
      </c>
      <c r="G130" s="6" t="str">
        <f t="array" ref="G130">IFERROR(INDEX(Flights!$E:$E,MATCH(B130,Flights!$A:$A,0)),"")</f>
        <v>Delhi</v>
      </c>
      <c r="H130" s="6" t="str">
        <f>VLOOKUP(B130,Flights!A:H,6,FALSE())</f>
        <v>Hyderabad</v>
      </c>
      <c r="I130" s="6">
        <f t="array" ref="I130">IFERROR(INDEX(Bookings!$G:$G,MATCH(B130,Bookings!$B:$B,0)),"")</f>
        <v>1</v>
      </c>
      <c r="J130" s="5">
        <f>VLOOKUP(B130,Bookings!B:H,7,FALSE())</f>
        <v>15.08</v>
      </c>
      <c r="K130" s="5" t="str">
        <f t="shared" si="1"/>
        <v>Long</v>
      </c>
      <c r="L130" s="11">
        <f t="array" ref="L130">IFERROR(INDEX(Bookings!$K:$K,MATCH(A130,Bookings!$A:$A,0)),"")</f>
        <v>5232</v>
      </c>
      <c r="M130" s="5" t="str">
        <f t="shared" si="2"/>
        <v>Medium</v>
      </c>
      <c r="N130" s="5">
        <f t="array" ref="N130">IFERROR(INDEX(Bookings!$I:$I,MATCH(A130,Bookings!$A:$A,0)),"")</f>
        <v>38</v>
      </c>
      <c r="O130" s="5" t="str">
        <f t="shared" si="3"/>
        <v>Advance</v>
      </c>
      <c r="P130" s="5" t="str">
        <f t="shared" si="4"/>
        <v>Delhi -&gt; Hyderabad</v>
      </c>
    </row>
    <row r="131" ht="15.75" customHeight="1">
      <c r="A131" s="5" t="s">
        <v>609</v>
      </c>
      <c r="B131" s="5" t="s">
        <v>610</v>
      </c>
      <c r="C131" s="5" t="s">
        <v>152</v>
      </c>
      <c r="D131" s="5" t="s">
        <v>29</v>
      </c>
      <c r="E131" s="6" t="str">
        <f t="array" ref="E131">IFERROR(INDEX(Airlines!$B:$B,MATCH(D131,Airlines!$A:$A,0)),"")</f>
        <v>AirAsia</v>
      </c>
      <c r="F131" s="6" t="str">
        <f>VLOOKUP(A131,Bookings!$A:$F,6,FALSE())</f>
        <v>Economy</v>
      </c>
      <c r="G131" s="6" t="str">
        <f t="array" ref="G131">IFERROR(INDEX(Flights!$E:$E,MATCH(B131,Flights!$A:$A,0)),"")</f>
        <v>Delhi</v>
      </c>
      <c r="H131" s="6" t="str">
        <f>VLOOKUP(B131,Flights!A:H,6,FALSE())</f>
        <v>Hyderabad</v>
      </c>
      <c r="I131" s="6" t="str">
        <f t="array" ref="I131">IFERROR(INDEX(Bookings!$G:$G,MATCH(B131,Bookings!$B:$B,0)),"")</f>
        <v>1</v>
      </c>
      <c r="J131" s="5">
        <f>VLOOKUP(B131,Bookings!B:H,7,FALSE())</f>
        <v>13.92</v>
      </c>
      <c r="K131" s="5" t="str">
        <f t="shared" si="1"/>
        <v>Long</v>
      </c>
      <c r="L131" s="11">
        <f t="array" ref="L131">IFERROR(INDEX(Bookings!$K:$K,MATCH(A131,Bookings!$A:$A,0)),"")</f>
        <v>5149</v>
      </c>
      <c r="M131" s="5" t="str">
        <f t="shared" si="2"/>
        <v>Medium</v>
      </c>
      <c r="N131" s="5">
        <f t="array" ref="N131">IFERROR(INDEX(Bookings!$I:$I,MATCH(A131,Bookings!$A:$A,0)),"")</f>
        <v>24</v>
      </c>
      <c r="O131" s="5" t="str">
        <f t="shared" si="3"/>
        <v>Moderate</v>
      </c>
      <c r="P131" s="5" t="str">
        <f t="shared" si="4"/>
        <v>Delhi -&gt; Hyderabad</v>
      </c>
    </row>
    <row r="132" ht="15.75" customHeight="1">
      <c r="A132" s="5" t="s">
        <v>614</v>
      </c>
      <c r="B132" s="5" t="s">
        <v>615</v>
      </c>
      <c r="C132" s="5" t="s">
        <v>152</v>
      </c>
      <c r="D132" s="5" t="s">
        <v>45</v>
      </c>
      <c r="E132" s="6" t="str">
        <f t="array" ref="E132">IFERROR(INDEX(Airlines!$B:$B,MATCH(D132,Airlines!$A:$A,0)),"")</f>
        <v>Air_India</v>
      </c>
      <c r="F132" s="6" t="str">
        <f>VLOOKUP(A132,Bookings!$A:$F,6,FALSE())</f>
        <v>Economy</v>
      </c>
      <c r="G132" s="6" t="str">
        <f t="array" ref="G132">IFERROR(INDEX(Flights!$E:$E,MATCH(B132,Flights!$A:$A,0)),"")</f>
        <v>Delhi</v>
      </c>
      <c r="H132" s="6" t="str">
        <f>VLOOKUP(B132,Flights!A:H,6,FALSE())</f>
        <v>Hyderabad</v>
      </c>
      <c r="I132" s="6" t="str">
        <f t="array" ref="I132">IFERROR(INDEX(Bookings!$G:$G,MATCH(B132,Bookings!$B:$B,0)),"")</f>
        <v>1</v>
      </c>
      <c r="J132" s="5">
        <f>VLOOKUP(B132,Bookings!B:H,7,FALSE())</f>
        <v>26.92</v>
      </c>
      <c r="K132" s="5" t="str">
        <f t="shared" si="1"/>
        <v>Long</v>
      </c>
      <c r="L132" s="11">
        <f t="array" ref="L132">IFERROR(INDEX(Bookings!$K:$K,MATCH(A132,Bookings!$A:$A,0)),"")</f>
        <v>5950</v>
      </c>
      <c r="M132" s="5" t="str">
        <f t="shared" si="2"/>
        <v>Medium</v>
      </c>
      <c r="N132" s="5">
        <f t="array" ref="N132">IFERROR(INDEX(Bookings!$I:$I,MATCH(A132,Bookings!$A:$A,0)),"")</f>
        <v>25</v>
      </c>
      <c r="O132" s="5" t="str">
        <f t="shared" si="3"/>
        <v>Moderate</v>
      </c>
      <c r="P132" s="5" t="str">
        <f t="shared" si="4"/>
        <v>Delhi -&gt; Hyderabad</v>
      </c>
    </row>
    <row r="133" ht="15.75" customHeight="1">
      <c r="A133" s="5" t="s">
        <v>620</v>
      </c>
      <c r="B133" s="5" t="s">
        <v>621</v>
      </c>
      <c r="C133" s="5" t="s">
        <v>152</v>
      </c>
      <c r="D133" s="5" t="s">
        <v>29</v>
      </c>
      <c r="E133" s="6" t="str">
        <f t="array" ref="E133">IFERROR(INDEX(Airlines!$B:$B,MATCH(D133,Airlines!$A:$A,0)),"")</f>
        <v>AirAsia</v>
      </c>
      <c r="F133" s="6" t="str">
        <f>VLOOKUP(A133,Bookings!$A:$F,6,FALSE())</f>
        <v>Economy</v>
      </c>
      <c r="G133" s="6" t="str">
        <f t="array" ref="G133">IFERROR(INDEX(Flights!$E:$E,MATCH(B133,Flights!$A:$A,0)),"")</f>
        <v>Delhi</v>
      </c>
      <c r="H133" s="6" t="str">
        <f>VLOOKUP(B133,Flights!A:H,6,FALSE())</f>
        <v>Hyderabad</v>
      </c>
      <c r="I133" s="6" t="str">
        <f t="array" ref="I133">IFERROR(INDEX(Bookings!$G:$G,MATCH(B133,Bookings!$B:$B,0)),"")</f>
        <v>1</v>
      </c>
      <c r="J133" s="5">
        <f>VLOOKUP(B133,Bookings!B:H,7,FALSE())</f>
        <v>8.17</v>
      </c>
      <c r="K133" s="5" t="str">
        <f t="shared" si="1"/>
        <v>Medium</v>
      </c>
      <c r="L133" s="11">
        <f t="array" ref="L133">IFERROR(INDEX(Bookings!$K:$K,MATCH(A133,Bookings!$A:$A,0)),"")</f>
        <v>2977</v>
      </c>
      <c r="M133" s="5" t="str">
        <f t="shared" si="2"/>
        <v>Low</v>
      </c>
      <c r="N133" s="5">
        <f t="array" ref="N133">IFERROR(INDEX(Bookings!$I:$I,MATCH(A133,Bookings!$A:$A,0)),"")</f>
        <v>44</v>
      </c>
      <c r="O133" s="5" t="str">
        <f t="shared" si="3"/>
        <v>Advance</v>
      </c>
      <c r="P133" s="5" t="str">
        <f t="shared" si="4"/>
        <v>Delhi -&gt; Hyderabad</v>
      </c>
    </row>
    <row r="134" ht="15.75" customHeight="1">
      <c r="A134" s="5" t="s">
        <v>624</v>
      </c>
      <c r="B134" s="5" t="s">
        <v>625</v>
      </c>
      <c r="C134" s="5" t="s">
        <v>152</v>
      </c>
      <c r="D134" s="5" t="s">
        <v>45</v>
      </c>
      <c r="E134" s="6" t="str">
        <f t="array" ref="E134">IFERROR(INDEX(Airlines!$B:$B,MATCH(D134,Airlines!$A:$A,0)),"")</f>
        <v>Air_India</v>
      </c>
      <c r="F134" s="6" t="str">
        <f>VLOOKUP(A134,Bookings!$A:$F,6,FALSE())</f>
        <v>Economy</v>
      </c>
      <c r="G134" s="6" t="str">
        <f t="array" ref="G134">IFERROR(INDEX(Flights!$E:$E,MATCH(B134,Flights!$A:$A,0)),"")</f>
        <v>Delhi</v>
      </c>
      <c r="H134" s="6" t="str">
        <f>VLOOKUP(B134,Flights!A:H,6,FALSE())</f>
        <v>Hyderabad</v>
      </c>
      <c r="I134" s="6" t="str">
        <f t="array" ref="I134">IFERROR(INDEX(Bookings!$G:$G,MATCH(B134,Bookings!$B:$B,0)),"")</f>
        <v>1</v>
      </c>
      <c r="J134" s="5">
        <f>VLOOKUP(B134,Bookings!B:H,7,FALSE())</f>
        <v>13.25</v>
      </c>
      <c r="K134" s="5" t="str">
        <f t="shared" si="1"/>
        <v>Long</v>
      </c>
      <c r="L134" s="11">
        <f t="array" ref="L134">IFERROR(INDEX(Bookings!$K:$K,MATCH(A134,Bookings!$A:$A,0)),"")</f>
        <v>9411</v>
      </c>
      <c r="M134" s="5" t="str">
        <f t="shared" si="2"/>
        <v>Medium</v>
      </c>
      <c r="N134" s="5">
        <f t="array" ref="N134">IFERROR(INDEX(Bookings!$I:$I,MATCH(A134,Bookings!$A:$A,0)),"")</f>
        <v>4</v>
      </c>
      <c r="O134" s="5" t="str">
        <f t="shared" si="3"/>
        <v>Last Minute</v>
      </c>
      <c r="P134" s="5" t="str">
        <f t="shared" si="4"/>
        <v>Delhi -&gt; Hyderabad</v>
      </c>
    </row>
    <row r="135" ht="15.75" customHeight="1">
      <c r="A135" s="5" t="s">
        <v>629</v>
      </c>
      <c r="B135" s="5" t="s">
        <v>632</v>
      </c>
      <c r="C135" s="5" t="s">
        <v>152</v>
      </c>
      <c r="D135" s="5" t="s">
        <v>20</v>
      </c>
      <c r="E135" s="6" t="str">
        <f t="array" ref="E135">IFERROR(INDEX(Airlines!$B:$B,MATCH(D135,Airlines!$A:$A,0)),"")</f>
        <v>Vistara</v>
      </c>
      <c r="F135" s="6" t="str">
        <f>VLOOKUP(A135,Bookings!$A:$F,6,FALSE())</f>
        <v>Economy</v>
      </c>
      <c r="G135" s="6" t="str">
        <f t="array" ref="G135">IFERROR(INDEX(Flights!$E:$E,MATCH(B135,Flights!$A:$A,0)),"")</f>
        <v>Delhi</v>
      </c>
      <c r="H135" s="6" t="str">
        <f>VLOOKUP(B135,Flights!A:H,6,FALSE())</f>
        <v>Hyderabad</v>
      </c>
      <c r="I135" s="6" t="str">
        <f t="array" ref="I135">IFERROR(INDEX(Bookings!$G:$G,MATCH(B135,Bookings!$B:$B,0)),"")</f>
        <v>1</v>
      </c>
      <c r="J135" s="5">
        <f>VLOOKUP(B135,Bookings!B:H,7,FALSE())</f>
        <v>24.33</v>
      </c>
      <c r="K135" s="5" t="str">
        <f t="shared" si="1"/>
        <v>Long</v>
      </c>
      <c r="L135" s="11">
        <f t="array" ref="L135">IFERROR(INDEX(Bookings!$K:$K,MATCH(A135,Bookings!$A:$A,0)),"")</f>
        <v>5097</v>
      </c>
      <c r="M135" s="5" t="str">
        <f t="shared" si="2"/>
        <v>Medium</v>
      </c>
      <c r="N135" s="5">
        <f t="array" ref="N135">IFERROR(INDEX(Bookings!$I:$I,MATCH(A135,Bookings!$A:$A,0)),"")</f>
        <v>43</v>
      </c>
      <c r="O135" s="5" t="str">
        <f t="shared" si="3"/>
        <v>Advance</v>
      </c>
      <c r="P135" s="5" t="str">
        <f t="shared" si="4"/>
        <v>Delhi -&gt; Hyderabad</v>
      </c>
    </row>
    <row r="136" ht="15.75" customHeight="1">
      <c r="A136" s="5" t="s">
        <v>635</v>
      </c>
      <c r="B136" s="5" t="s">
        <v>636</v>
      </c>
      <c r="C136" s="5" t="s">
        <v>152</v>
      </c>
      <c r="D136" s="5" t="s">
        <v>20</v>
      </c>
      <c r="E136" s="6" t="str">
        <f t="array" ref="E136">IFERROR(INDEX(Airlines!$B:$B,MATCH(D136,Airlines!$A:$A,0)),"")</f>
        <v>Vistara</v>
      </c>
      <c r="F136" s="6" t="str">
        <f>VLOOKUP(A136,Bookings!$A:$F,6,FALSE())</f>
        <v>Economy</v>
      </c>
      <c r="G136" s="6" t="str">
        <f t="array" ref="G136">IFERROR(INDEX(Flights!$E:$E,MATCH(B136,Flights!$A:$A,0)),"")</f>
        <v>Delhi</v>
      </c>
      <c r="H136" s="6" t="str">
        <f>VLOOKUP(B136,Flights!A:H,6,FALSE())</f>
        <v>Hyderabad</v>
      </c>
      <c r="I136" s="6" t="str">
        <f t="array" ref="I136">IFERROR(INDEX(Bookings!$G:$G,MATCH(B136,Bookings!$B:$B,0)),"")</f>
        <v>1</v>
      </c>
      <c r="J136" s="5">
        <f>VLOOKUP(B136,Bookings!B:H,7,FALSE())</f>
        <v>27.33</v>
      </c>
      <c r="K136" s="5" t="str">
        <f t="shared" si="1"/>
        <v>Long</v>
      </c>
      <c r="L136" s="11">
        <f t="array" ref="L136">IFERROR(INDEX(Bookings!$K:$K,MATCH(A136,Bookings!$A:$A,0)),"")</f>
        <v>5761</v>
      </c>
      <c r="M136" s="5" t="str">
        <f t="shared" si="2"/>
        <v>Medium</v>
      </c>
      <c r="N136" s="5">
        <f t="array" ref="N136">IFERROR(INDEX(Bookings!$I:$I,MATCH(A136,Bookings!$A:$A,0)),"")</f>
        <v>43</v>
      </c>
      <c r="O136" s="5" t="str">
        <f t="shared" si="3"/>
        <v>Advance</v>
      </c>
      <c r="P136" s="5" t="str">
        <f t="shared" si="4"/>
        <v>Delhi -&gt; Hyderabad</v>
      </c>
    </row>
    <row r="137" ht="15.75" customHeight="1">
      <c r="A137" s="5" t="s">
        <v>642</v>
      </c>
      <c r="B137" s="5" t="s">
        <v>645</v>
      </c>
      <c r="C137" s="5" t="s">
        <v>152</v>
      </c>
      <c r="D137" s="5" t="s">
        <v>45</v>
      </c>
      <c r="E137" s="6" t="str">
        <f t="array" ref="E137">IFERROR(INDEX(Airlines!$B:$B,MATCH(D137,Airlines!$A:$A,0)),"")</f>
        <v>Air_India</v>
      </c>
      <c r="F137" s="6" t="str">
        <f>VLOOKUP(A137,Bookings!$A:$F,6,FALSE())</f>
        <v>Economy</v>
      </c>
      <c r="G137" s="6" t="str">
        <f t="array" ref="G137">IFERROR(INDEX(Flights!$E:$E,MATCH(B137,Flights!$A:$A,0)),"")</f>
        <v>Delhi</v>
      </c>
      <c r="H137" s="6" t="str">
        <f>VLOOKUP(B137,Flights!A:H,6,FALSE())</f>
        <v>Hyderabad</v>
      </c>
      <c r="I137" s="6" t="str">
        <f t="array" ref="I137">IFERROR(INDEX(Bookings!$G:$G,MATCH(B137,Bookings!$B:$B,0)),"")</f>
        <v>2+</v>
      </c>
      <c r="J137" s="5">
        <f>VLOOKUP(B137,Bookings!B:H,7,FALSE())</f>
        <v>16.67</v>
      </c>
      <c r="K137" s="5" t="str">
        <f t="shared" si="1"/>
        <v>Long</v>
      </c>
      <c r="L137" s="11">
        <f t="array" ref="L137">IFERROR(INDEX(Bookings!$K:$K,MATCH(A137,Bookings!$A:$A,0)),"")</f>
        <v>12071</v>
      </c>
      <c r="M137" s="5" t="str">
        <f t="shared" si="2"/>
        <v>Medium</v>
      </c>
      <c r="N137" s="5">
        <f t="array" ref="N137">IFERROR(INDEX(Bookings!$I:$I,MATCH(A137,Bookings!$A:$A,0)),"")</f>
        <v>14</v>
      </c>
      <c r="O137" s="5" t="str">
        <f t="shared" si="3"/>
        <v>Short Notice</v>
      </c>
      <c r="P137" s="5" t="str">
        <f t="shared" si="4"/>
        <v>Delhi -&gt; Hyderabad</v>
      </c>
    </row>
    <row r="138" ht="15.75" customHeight="1">
      <c r="A138" s="5" t="s">
        <v>648</v>
      </c>
      <c r="B138" s="5" t="s">
        <v>649</v>
      </c>
      <c r="C138" s="5" t="s">
        <v>152</v>
      </c>
      <c r="D138" s="5" t="s">
        <v>20</v>
      </c>
      <c r="E138" s="6" t="str">
        <f t="array" ref="E138">IFERROR(INDEX(Airlines!$B:$B,MATCH(D138,Airlines!$A:$A,0)),"")</f>
        <v>Vistara</v>
      </c>
      <c r="F138" s="6" t="str">
        <f>VLOOKUP(A138,Bookings!$A:$F,6,FALSE())</f>
        <v>Economy</v>
      </c>
      <c r="G138" s="6" t="str">
        <f t="array" ref="G138">IFERROR(INDEX(Flights!$E:$E,MATCH(B138,Flights!$A:$A,0)),"")</f>
        <v>Delhi</v>
      </c>
      <c r="H138" s="6" t="str">
        <f>VLOOKUP(B138,Flights!A:H,6,FALSE())</f>
        <v>Hyderabad</v>
      </c>
      <c r="I138" s="6" t="str">
        <f t="array" ref="I138">IFERROR(INDEX(Bookings!$G:$G,MATCH(B138,Bookings!$B:$B,0)),"")</f>
        <v>1</v>
      </c>
      <c r="J138" s="5">
        <f>VLOOKUP(B138,Bookings!B:H,7,FALSE())</f>
        <v>10</v>
      </c>
      <c r="K138" s="5" t="str">
        <f t="shared" si="1"/>
        <v>Medium</v>
      </c>
      <c r="L138" s="11">
        <f t="array" ref="L138">IFERROR(INDEX(Bookings!$K:$K,MATCH(A138,Bookings!$A:$A,0)),"")</f>
        <v>8433</v>
      </c>
      <c r="M138" s="5" t="str">
        <f t="shared" si="2"/>
        <v>Medium</v>
      </c>
      <c r="N138" s="5">
        <f t="array" ref="N138">IFERROR(INDEX(Bookings!$I:$I,MATCH(A138,Bookings!$A:$A,0)),"")</f>
        <v>14</v>
      </c>
      <c r="O138" s="5" t="str">
        <f t="shared" si="3"/>
        <v>Short Notice</v>
      </c>
      <c r="P138" s="5" t="str">
        <f t="shared" si="4"/>
        <v>Delhi -&gt; Hyderabad</v>
      </c>
    </row>
    <row r="139" ht="15.75" customHeight="1">
      <c r="A139" s="5" t="s">
        <v>654</v>
      </c>
      <c r="B139" s="5" t="s">
        <v>655</v>
      </c>
      <c r="C139" s="5" t="s">
        <v>152</v>
      </c>
      <c r="D139" s="5" t="s">
        <v>20</v>
      </c>
      <c r="E139" s="6" t="str">
        <f t="array" ref="E139">IFERROR(INDEX(Airlines!$B:$B,MATCH(D139,Airlines!$A:$A,0)),"")</f>
        <v>Vistara</v>
      </c>
      <c r="F139" s="6" t="str">
        <f>VLOOKUP(A139,Bookings!$A:$F,6,FALSE())</f>
        <v>Economy</v>
      </c>
      <c r="G139" s="6" t="str">
        <f t="array" ref="G139">IFERROR(INDEX(Flights!$E:$E,MATCH(B139,Flights!$A:$A,0)),"")</f>
        <v>Delhi</v>
      </c>
      <c r="H139" s="6" t="str">
        <f>VLOOKUP(B139,Flights!A:H,6,FALSE())</f>
        <v>Hyderabad</v>
      </c>
      <c r="I139" s="6" t="str">
        <f t="array" ref="I139">IFERROR(INDEX(Bookings!$G:$G,MATCH(B139,Bookings!$B:$B,0)),"")</f>
        <v>1</v>
      </c>
      <c r="J139" s="5">
        <f>VLOOKUP(B139,Bookings!B:H,7,FALSE())</f>
        <v>19</v>
      </c>
      <c r="K139" s="5" t="str">
        <f t="shared" si="1"/>
        <v>Long</v>
      </c>
      <c r="L139" s="11">
        <f t="array" ref="L139">IFERROR(INDEX(Bookings!$K:$K,MATCH(A139,Bookings!$A:$A,0)),"")</f>
        <v>5772</v>
      </c>
      <c r="M139" s="5" t="str">
        <f t="shared" si="2"/>
        <v>Medium</v>
      </c>
      <c r="N139" s="5">
        <f t="array" ref="N139">IFERROR(INDEX(Bookings!$I:$I,MATCH(A139,Bookings!$A:$A,0)),"")</f>
        <v>45</v>
      </c>
      <c r="O139" s="5" t="str">
        <f t="shared" si="3"/>
        <v>Advance</v>
      </c>
      <c r="P139" s="5" t="str">
        <f t="shared" si="4"/>
        <v>Delhi -&gt; Hyderabad</v>
      </c>
    </row>
    <row r="140" ht="15.75" customHeight="1">
      <c r="A140" s="5" t="s">
        <v>660</v>
      </c>
      <c r="B140" s="5" t="s">
        <v>661</v>
      </c>
      <c r="C140" s="5" t="s">
        <v>152</v>
      </c>
      <c r="D140" s="5" t="s">
        <v>20</v>
      </c>
      <c r="E140" s="6" t="str">
        <f t="array" ref="E140">IFERROR(INDEX(Airlines!$B:$B,MATCH(D140,Airlines!$A:$A,0)),"")</f>
        <v>Vistara</v>
      </c>
      <c r="F140" s="6" t="str">
        <f>VLOOKUP(A140,Bookings!$A:$F,6,FALSE())</f>
        <v>Economy</v>
      </c>
      <c r="G140" s="6" t="str">
        <f t="array" ref="G140">IFERROR(INDEX(Flights!$E:$E,MATCH(B140,Flights!$A:$A,0)),"")</f>
        <v>Delhi</v>
      </c>
      <c r="H140" s="6" t="str">
        <f>VLOOKUP(B140,Flights!A:H,6,FALSE())</f>
        <v>Hyderabad</v>
      </c>
      <c r="I140" s="6" t="str">
        <f t="array" ref="I140">IFERROR(INDEX(Bookings!$G:$G,MATCH(B140,Bookings!$B:$B,0)),"")</f>
        <v>1</v>
      </c>
      <c r="J140" s="5">
        <f>VLOOKUP(B140,Bookings!B:H,7,FALSE())</f>
        <v>6.67</v>
      </c>
      <c r="K140" s="5" t="str">
        <f t="shared" si="1"/>
        <v>Medium</v>
      </c>
      <c r="L140" s="11">
        <f t="array" ref="L140">IFERROR(INDEX(Bookings!$K:$K,MATCH(A140,Bookings!$A:$A,0)),"")</f>
        <v>5761</v>
      </c>
      <c r="M140" s="5" t="str">
        <f t="shared" si="2"/>
        <v>Medium</v>
      </c>
      <c r="N140" s="5">
        <f t="array" ref="N140">IFERROR(INDEX(Bookings!$I:$I,MATCH(A140,Bookings!$A:$A,0)),"")</f>
        <v>44</v>
      </c>
      <c r="O140" s="5" t="str">
        <f t="shared" si="3"/>
        <v>Advance</v>
      </c>
      <c r="P140" s="5" t="str">
        <f t="shared" si="4"/>
        <v>Delhi -&gt; Hyderabad</v>
      </c>
    </row>
    <row r="141" ht="15.75" customHeight="1">
      <c r="A141" s="5" t="s">
        <v>663</v>
      </c>
      <c r="B141" s="5" t="s">
        <v>664</v>
      </c>
      <c r="C141" s="5" t="s">
        <v>152</v>
      </c>
      <c r="D141" s="5" t="s">
        <v>43</v>
      </c>
      <c r="E141" s="6" t="str">
        <f t="array" ref="E141">IFERROR(INDEX(Airlines!$B:$B,MATCH(D141,Airlines!$A:$A,0)),"")</f>
        <v>Indigo</v>
      </c>
      <c r="F141" s="6" t="str">
        <f>VLOOKUP(A141,Bookings!$A:$F,6,FALSE())</f>
        <v>Economy</v>
      </c>
      <c r="G141" s="6" t="str">
        <f t="array" ref="G141">IFERROR(INDEX(Flights!$E:$E,MATCH(B141,Flights!$A:$A,0)),"")</f>
        <v>Delhi</v>
      </c>
      <c r="H141" s="6" t="str">
        <f>VLOOKUP(B141,Flights!A:H,6,FALSE())</f>
        <v>Hyderabad</v>
      </c>
      <c r="I141" s="6" t="str">
        <f t="array" ref="I141">IFERROR(INDEX(Bookings!$G:$G,MATCH(B141,Bookings!$B:$B,0)),"")</f>
        <v>2+</v>
      </c>
      <c r="J141" s="5">
        <f>VLOOKUP(B141,Bookings!B:H,7,FALSE())</f>
        <v>7.17</v>
      </c>
      <c r="K141" s="5" t="str">
        <f t="shared" si="1"/>
        <v>Medium</v>
      </c>
      <c r="L141" s="11">
        <f t="array" ref="L141">IFERROR(INDEX(Bookings!$K:$K,MATCH(A141,Bookings!$A:$A,0)),"")</f>
        <v>13032</v>
      </c>
      <c r="M141" s="5" t="str">
        <f t="shared" si="2"/>
        <v>Medium</v>
      </c>
      <c r="N141" s="5" t="str">
        <f t="array" ref="N141">IFERROR(INDEX(Bookings!$I:$I,MATCH(A141,Bookings!$A:$A,0)),"")</f>
        <v/>
      </c>
      <c r="O141" s="5" t="str">
        <f t="shared" si="3"/>
        <v>Last Minute</v>
      </c>
      <c r="P141" s="5" t="str">
        <f t="shared" si="4"/>
        <v>Delhi -&gt; Hyderabad</v>
      </c>
    </row>
    <row r="142" ht="15.75" customHeight="1">
      <c r="A142" s="5" t="s">
        <v>668</v>
      </c>
      <c r="B142" s="5" t="s">
        <v>670</v>
      </c>
      <c r="C142" s="5" t="s">
        <v>152</v>
      </c>
      <c r="D142" s="5" t="s">
        <v>43</v>
      </c>
      <c r="E142" s="6" t="str">
        <f t="array" ref="E142">IFERROR(INDEX(Airlines!$B:$B,MATCH(D142,Airlines!$A:$A,0)),"")</f>
        <v>Indigo</v>
      </c>
      <c r="F142" s="6" t="str">
        <f>VLOOKUP(A142,Bookings!$A:$F,6,FALSE())</f>
        <v>Economy</v>
      </c>
      <c r="G142" s="6" t="str">
        <f t="array" ref="G142">IFERROR(INDEX(Flights!$E:$E,MATCH(B142,Flights!$A:$A,0)),"")</f>
        <v>Delhi</v>
      </c>
      <c r="H142" s="6" t="str">
        <f>VLOOKUP(B142,Flights!A:H,6,FALSE())</f>
        <v>Hyderabad</v>
      </c>
      <c r="I142" s="6" t="str">
        <f t="array" ref="I142">IFERROR(INDEX(Bookings!$G:$G,MATCH(B142,Bookings!$B:$B,0)),"")</f>
        <v>1</v>
      </c>
      <c r="J142" s="5">
        <f>VLOOKUP(B142,Bookings!B:H,7,FALSE())</f>
        <v>7.17</v>
      </c>
      <c r="K142" s="5" t="str">
        <f t="shared" si="1"/>
        <v>Medium</v>
      </c>
      <c r="L142" s="11">
        <f t="array" ref="L142">IFERROR(INDEX(Bookings!$K:$K,MATCH(A142,Bookings!$A:$A,0)),"")</f>
        <v>3457</v>
      </c>
      <c r="M142" s="5" t="str">
        <f t="shared" si="2"/>
        <v>Low</v>
      </c>
      <c r="N142" s="5">
        <f t="array" ref="N142">IFERROR(INDEX(Bookings!$I:$I,MATCH(A142,Bookings!$A:$A,0)),"")</f>
        <v>39</v>
      </c>
      <c r="O142" s="5" t="str">
        <f t="shared" si="3"/>
        <v>Advance</v>
      </c>
      <c r="P142" s="5" t="str">
        <f t="shared" si="4"/>
        <v>Delhi -&gt; Hyderabad</v>
      </c>
    </row>
    <row r="143" ht="15.75" customHeight="1">
      <c r="A143" s="5" t="s">
        <v>674</v>
      </c>
      <c r="B143" s="5" t="s">
        <v>675</v>
      </c>
      <c r="C143" s="5" t="s">
        <v>152</v>
      </c>
      <c r="D143" s="5" t="s">
        <v>45</v>
      </c>
      <c r="E143" s="6" t="str">
        <f t="array" ref="E143">IFERROR(INDEX(Airlines!$B:$B,MATCH(D143,Airlines!$A:$A,0)),"")</f>
        <v>Air_India</v>
      </c>
      <c r="F143" s="6" t="str">
        <f>VLOOKUP(A143,Bookings!$A:$F,6,FALSE())</f>
        <v>Economy</v>
      </c>
      <c r="G143" s="6" t="str">
        <f t="array" ref="G143">IFERROR(INDEX(Flights!$E:$E,MATCH(B143,Flights!$A:$A,0)),"")</f>
        <v>Delhi</v>
      </c>
      <c r="H143" s="6" t="str">
        <f>VLOOKUP(B143,Flights!A:H,6,FALSE())</f>
        <v>Hyderabad</v>
      </c>
      <c r="I143" s="6" t="str">
        <f t="array" ref="I143">IFERROR(INDEX(Bookings!$G:$G,MATCH(B143,Bookings!$B:$B,0)),"")</f>
        <v>1</v>
      </c>
      <c r="J143" s="5">
        <f>VLOOKUP(B143,Bookings!B:H,7,FALSE())</f>
        <v>19.33</v>
      </c>
      <c r="K143" s="5" t="str">
        <f t="shared" si="1"/>
        <v>Long</v>
      </c>
      <c r="L143" s="11">
        <f t="array" ref="L143">IFERROR(INDEX(Bookings!$K:$K,MATCH(A143,Bookings!$A:$A,0)),"")</f>
        <v>5939</v>
      </c>
      <c r="M143" s="5" t="str">
        <f t="shared" si="2"/>
        <v>Medium</v>
      </c>
      <c r="N143" s="5">
        <f t="array" ref="N143">IFERROR(INDEX(Bookings!$I:$I,MATCH(A143,Bookings!$A:$A,0)),"")</f>
        <v>45</v>
      </c>
      <c r="O143" s="5" t="str">
        <f t="shared" si="3"/>
        <v>Advance</v>
      </c>
      <c r="P143" s="5" t="str">
        <f t="shared" si="4"/>
        <v>Delhi -&gt; Hyderabad</v>
      </c>
    </row>
    <row r="144" ht="15.75" customHeight="1">
      <c r="A144" s="5" t="s">
        <v>677</v>
      </c>
      <c r="B144" s="5" t="s">
        <v>678</v>
      </c>
      <c r="C144" s="5" t="s">
        <v>152</v>
      </c>
      <c r="D144" s="5" t="s">
        <v>43</v>
      </c>
      <c r="E144" s="6" t="str">
        <f t="array" ref="E144">IFERROR(INDEX(Airlines!$B:$B,MATCH(D144,Airlines!$A:$A,0)),"")</f>
        <v>Indigo</v>
      </c>
      <c r="F144" s="6" t="str">
        <f>VLOOKUP(A144,Bookings!$A:$F,6,FALSE())</f>
        <v>Economy</v>
      </c>
      <c r="G144" s="6" t="str">
        <f t="array" ref="G144">IFERROR(INDEX(Flights!$E:$E,MATCH(B144,Flights!$A:$A,0)),"")</f>
        <v>Delhi</v>
      </c>
      <c r="H144" s="6" t="str">
        <f>VLOOKUP(B144,Flights!A:H,6,FALSE())</f>
        <v>Hyderabad</v>
      </c>
      <c r="I144" s="6" t="str">
        <f t="array" ref="I144">IFERROR(INDEX(Bookings!$G:$G,MATCH(B144,Bookings!$B:$B,0)),"")</f>
        <v>2+</v>
      </c>
      <c r="J144" s="5">
        <f>VLOOKUP(B144,Bookings!B:H,7,FALSE())</f>
        <v>7.33</v>
      </c>
      <c r="K144" s="5" t="str">
        <f t="shared" si="1"/>
        <v>Medium</v>
      </c>
      <c r="L144" s="11">
        <f t="array" ref="L144">IFERROR(INDEX(Bookings!$K:$K,MATCH(A144,Bookings!$A:$A,0)),"")</f>
        <v>11079</v>
      </c>
      <c r="M144" s="5" t="str">
        <f t="shared" si="2"/>
        <v>Medium</v>
      </c>
      <c r="N144" s="5">
        <f t="array" ref="N144">IFERROR(INDEX(Bookings!$I:$I,MATCH(A144,Bookings!$A:$A,0)),"")</f>
        <v>12</v>
      </c>
      <c r="O144" s="5" t="str">
        <f t="shared" si="3"/>
        <v>Short Notice</v>
      </c>
      <c r="P144" s="5" t="str">
        <f t="shared" si="4"/>
        <v>Delhi -&gt; Hyderabad</v>
      </c>
    </row>
    <row r="145" ht="15.75" customHeight="1">
      <c r="A145" s="5" t="s">
        <v>682</v>
      </c>
      <c r="B145" s="5" t="s">
        <v>683</v>
      </c>
      <c r="C145" s="5" t="s">
        <v>152</v>
      </c>
      <c r="D145" s="5" t="s">
        <v>29</v>
      </c>
      <c r="E145" s="6" t="str">
        <f t="array" ref="E145">IFERROR(INDEX(Airlines!$B:$B,MATCH(D145,Airlines!$A:$A,0)),"")</f>
        <v>AirAsia</v>
      </c>
      <c r="F145" s="6" t="str">
        <f>VLOOKUP(A145,Bookings!$A:$F,6,FALSE())</f>
        <v>Economy</v>
      </c>
      <c r="G145" s="6" t="str">
        <f t="array" ref="G145">IFERROR(INDEX(Flights!$E:$E,MATCH(B145,Flights!$A:$A,0)),"")</f>
        <v>Delhi</v>
      </c>
      <c r="H145" s="6" t="str">
        <f>VLOOKUP(B145,Flights!A:H,6,FALSE())</f>
        <v>Hyderabad</v>
      </c>
      <c r="I145" s="6" t="str">
        <f t="array" ref="I145">IFERROR(INDEX(Bookings!$G:$G,MATCH(B145,Bookings!$B:$B,0)),"")</f>
        <v>1</v>
      </c>
      <c r="J145" s="5">
        <f>VLOOKUP(B145,Bookings!B:H,7,FALSE())</f>
        <v>9.75</v>
      </c>
      <c r="K145" s="5" t="str">
        <f t="shared" si="1"/>
        <v>Medium</v>
      </c>
      <c r="L145" s="11">
        <f t="array" ref="L145">IFERROR(INDEX(Bookings!$K:$K,MATCH(A145,Bookings!$A:$A,0)),"")</f>
        <v>7336</v>
      </c>
      <c r="M145" s="5" t="str">
        <f t="shared" si="2"/>
        <v>Medium</v>
      </c>
      <c r="N145" s="5">
        <f t="array" ref="N145">IFERROR(INDEX(Bookings!$I:$I,MATCH(A145,Bookings!$A:$A,0)),"")</f>
        <v>44</v>
      </c>
      <c r="O145" s="5" t="str">
        <f t="shared" si="3"/>
        <v>Advance</v>
      </c>
      <c r="P145" s="5" t="str">
        <f t="shared" si="4"/>
        <v>Delhi -&gt; Hyderabad</v>
      </c>
    </row>
    <row r="146" ht="15.75" customHeight="1">
      <c r="A146" s="5" t="s">
        <v>685</v>
      </c>
      <c r="B146" s="5" t="s">
        <v>686</v>
      </c>
      <c r="C146" s="5" t="s">
        <v>152</v>
      </c>
      <c r="D146" s="5" t="s">
        <v>58</v>
      </c>
      <c r="E146" s="6" t="str">
        <f t="array" ref="E146">IFERROR(INDEX(Airlines!$B:$B,MATCH(D146,Airlines!$A:$A,0)),"")</f>
        <v>Go_First</v>
      </c>
      <c r="F146" s="6" t="str">
        <f>VLOOKUP(A146,Bookings!$A:$F,6,FALSE())</f>
        <v>Economy</v>
      </c>
      <c r="G146" s="6" t="str">
        <f t="array" ref="G146">IFERROR(INDEX(Flights!$E:$E,MATCH(B146,Flights!$A:$A,0)),"")</f>
        <v>Delhi</v>
      </c>
      <c r="H146" s="6" t="str">
        <f>VLOOKUP(B146,Flights!A:H,6,FALSE())</f>
        <v>Hyderabad</v>
      </c>
      <c r="I146" s="6" t="str">
        <f t="array" ref="I146">IFERROR(INDEX(Bookings!$G:$G,MATCH(B146,Bookings!$B:$B,0)),"")</f>
        <v>1</v>
      </c>
      <c r="J146" s="5">
        <f>VLOOKUP(B146,Bookings!B:H,7,FALSE())</f>
        <v>9.5</v>
      </c>
      <c r="K146" s="5" t="str">
        <f t="shared" si="1"/>
        <v>Medium</v>
      </c>
      <c r="L146" s="11">
        <f t="array" ref="L146">IFERROR(INDEX(Bookings!$K:$K,MATCH(A146,Bookings!$A:$A,0)),"")</f>
        <v>3989</v>
      </c>
      <c r="M146" s="5" t="str">
        <f t="shared" si="2"/>
        <v>Low</v>
      </c>
      <c r="N146" s="5">
        <f t="array" ref="N146">IFERROR(INDEX(Bookings!$I:$I,MATCH(A146,Bookings!$A:$A,0)),"")</f>
        <v>26</v>
      </c>
      <c r="O146" s="5" t="str">
        <f t="shared" si="3"/>
        <v>Moderate</v>
      </c>
      <c r="P146" s="5" t="str">
        <f t="shared" si="4"/>
        <v>Delhi -&gt; Hyderabad</v>
      </c>
    </row>
    <row r="147" ht="15.75" customHeight="1">
      <c r="A147" s="5" t="s">
        <v>689</v>
      </c>
      <c r="B147" s="5" t="s">
        <v>690</v>
      </c>
      <c r="C147" s="5" t="s">
        <v>152</v>
      </c>
      <c r="D147" s="5" t="s">
        <v>45</v>
      </c>
      <c r="E147" s="6" t="str">
        <f t="array" ref="E147">IFERROR(INDEX(Airlines!$B:$B,MATCH(D147,Airlines!$A:$A,0)),"")</f>
        <v>Air_India</v>
      </c>
      <c r="F147" s="6" t="str">
        <f>VLOOKUP(A147,Bookings!$A:$F,6,FALSE())</f>
        <v>Business</v>
      </c>
      <c r="G147" s="6" t="str">
        <f t="array" ref="G147">IFERROR(INDEX(Flights!$E:$E,MATCH(B147,Flights!$A:$A,0)),"")</f>
        <v>Delhi</v>
      </c>
      <c r="H147" s="6" t="str">
        <f>VLOOKUP(B147,Flights!A:H,6,FALSE())</f>
        <v>Hyderabad</v>
      </c>
      <c r="I147" s="6">
        <f t="array" ref="I147">IFERROR(INDEX(Bookings!$G:$G,MATCH(B147,Bookings!$B:$B,0)),"")</f>
        <v>1</v>
      </c>
      <c r="J147" s="5">
        <f>VLOOKUP(B147,Bookings!B:H,7,FALSE())</f>
        <v>22.25</v>
      </c>
      <c r="K147" s="5" t="str">
        <f t="shared" si="1"/>
        <v>Long</v>
      </c>
      <c r="L147" s="11">
        <f t="array" ref="L147">IFERROR(INDEX(Bookings!$K:$K,MATCH(A147,Bookings!$A:$A,0)),"")</f>
        <v>39321</v>
      </c>
      <c r="M147" s="5" t="str">
        <f t="shared" si="2"/>
        <v>High</v>
      </c>
      <c r="N147" s="5">
        <f t="array" ref="N147">IFERROR(INDEX(Bookings!$I:$I,MATCH(A147,Bookings!$A:$A,0)),"")</f>
        <v>46</v>
      </c>
      <c r="O147" s="5" t="str">
        <f t="shared" si="3"/>
        <v>Advance</v>
      </c>
      <c r="P147" s="5" t="str">
        <f t="shared" si="4"/>
        <v>Delhi -&gt; Hyderabad</v>
      </c>
    </row>
    <row r="148" ht="15.75" customHeight="1">
      <c r="A148" s="5" t="s">
        <v>692</v>
      </c>
      <c r="B148" s="5" t="s">
        <v>694</v>
      </c>
      <c r="C148" s="5" t="s">
        <v>152</v>
      </c>
      <c r="D148" s="5" t="s">
        <v>45</v>
      </c>
      <c r="E148" s="6" t="str">
        <f t="array" ref="E148">IFERROR(INDEX(Airlines!$B:$B,MATCH(D148,Airlines!$A:$A,0)),"")</f>
        <v>Air_India</v>
      </c>
      <c r="F148" s="6" t="str">
        <f>VLOOKUP(A148,Bookings!$A:$F,6,FALSE())</f>
        <v>Economy</v>
      </c>
      <c r="G148" s="6" t="str">
        <f t="array" ref="G148">IFERROR(INDEX(Flights!$E:$E,MATCH(B148,Flights!$A:$A,0)),"")</f>
        <v>Delhi</v>
      </c>
      <c r="H148" s="6" t="str">
        <f>VLOOKUP(B148,Flights!A:H,6,FALSE())</f>
        <v>Hyderabad</v>
      </c>
      <c r="I148" s="6" t="str">
        <f t="array" ref="I148">IFERROR(INDEX(Bookings!$G:$G,MATCH(B148,Bookings!$B:$B,0)),"")</f>
        <v>1</v>
      </c>
      <c r="J148" s="5">
        <f>VLOOKUP(B148,Bookings!B:H,7,FALSE())</f>
        <v>19.5</v>
      </c>
      <c r="K148" s="5" t="str">
        <f t="shared" si="1"/>
        <v>Long</v>
      </c>
      <c r="L148" s="11">
        <f t="array" ref="L148">IFERROR(INDEX(Bookings!$K:$K,MATCH(A148,Bookings!$A:$A,0)),"")</f>
        <v>4940</v>
      </c>
      <c r="M148" s="5" t="str">
        <f t="shared" si="2"/>
        <v>Medium</v>
      </c>
      <c r="N148" s="5">
        <f t="array" ref="N148">IFERROR(INDEX(Bookings!$I:$I,MATCH(A148,Bookings!$A:$A,0)),"")</f>
        <v>46</v>
      </c>
      <c r="O148" s="5" t="str">
        <f t="shared" si="3"/>
        <v>Advance</v>
      </c>
      <c r="P148" s="5" t="str">
        <f t="shared" si="4"/>
        <v>Delhi -&gt; Hyderabad</v>
      </c>
    </row>
    <row r="149" ht="15.75" customHeight="1">
      <c r="A149" s="5" t="s">
        <v>697</v>
      </c>
      <c r="B149" s="5" t="s">
        <v>698</v>
      </c>
      <c r="C149" s="5" t="s">
        <v>152</v>
      </c>
      <c r="D149" s="5" t="s">
        <v>58</v>
      </c>
      <c r="E149" s="6" t="str">
        <f t="array" ref="E149">IFERROR(INDEX(Airlines!$B:$B,MATCH(D149,Airlines!$A:$A,0)),"")</f>
        <v>Go_First</v>
      </c>
      <c r="F149" s="6" t="str">
        <f>VLOOKUP(A149,Bookings!$A:$F,6,FALSE())</f>
        <v>Economy</v>
      </c>
      <c r="G149" s="6" t="str">
        <f t="array" ref="G149">IFERROR(INDEX(Flights!$E:$E,MATCH(B149,Flights!$A:$A,0)),"")</f>
        <v>Delhi</v>
      </c>
      <c r="H149" s="6" t="str">
        <f>VLOOKUP(B149,Flights!A:H,6,FALSE())</f>
        <v>Hyderabad</v>
      </c>
      <c r="I149" s="6" t="str">
        <f t="array" ref="I149">IFERROR(INDEX(Bookings!$G:$G,MATCH(B149,Bookings!$B:$B,0)),"")</f>
        <v>1</v>
      </c>
      <c r="J149" s="5">
        <f>VLOOKUP(B149,Bookings!B:H,7,FALSE())</f>
        <v>11.25</v>
      </c>
      <c r="K149" s="5" t="str">
        <f t="shared" si="1"/>
        <v>Long</v>
      </c>
      <c r="L149" s="11">
        <f t="array" ref="L149">IFERROR(INDEX(Bookings!$K:$K,MATCH(A149,Bookings!$A:$A,0)),"")</f>
        <v>5720</v>
      </c>
      <c r="M149" s="5" t="str">
        <f t="shared" si="2"/>
        <v>Medium</v>
      </c>
      <c r="N149" s="5">
        <f t="array" ref="N149">IFERROR(INDEX(Bookings!$I:$I,MATCH(A149,Bookings!$A:$A,0)),"")</f>
        <v>44</v>
      </c>
      <c r="O149" s="5" t="str">
        <f t="shared" si="3"/>
        <v>Advance</v>
      </c>
      <c r="P149" s="5" t="str">
        <f t="shared" si="4"/>
        <v>Delhi -&gt; Hyderabad</v>
      </c>
    </row>
    <row r="150" ht="15.75" customHeight="1">
      <c r="A150" s="5" t="s">
        <v>703</v>
      </c>
      <c r="B150" s="5" t="s">
        <v>705</v>
      </c>
      <c r="C150" s="5" t="s">
        <v>152</v>
      </c>
      <c r="D150" s="5" t="s">
        <v>43</v>
      </c>
      <c r="E150" s="6" t="str">
        <f t="array" ref="E150">IFERROR(INDEX(Airlines!$B:$B,MATCH(D150,Airlines!$A:$A,0)),"")</f>
        <v>Indigo</v>
      </c>
      <c r="F150" s="6" t="str">
        <f>VLOOKUP(A150,Bookings!$A:$F,6,FALSE())</f>
        <v>Economy</v>
      </c>
      <c r="G150" s="6" t="str">
        <f t="array" ref="G150">IFERROR(INDEX(Flights!$E:$E,MATCH(B150,Flights!$A:$A,0)),"")</f>
        <v>Delhi</v>
      </c>
      <c r="H150" s="6" t="str">
        <f>VLOOKUP(B150,Flights!A:H,6,FALSE())</f>
        <v>Hyderabad</v>
      </c>
      <c r="I150" s="6" t="str">
        <f t="array" ref="I150">IFERROR(INDEX(Bookings!$G:$G,MATCH(B150,Bookings!$B:$B,0)),"")</f>
        <v>0</v>
      </c>
      <c r="J150" s="5">
        <f>VLOOKUP(B150,Bookings!B:H,7,FALSE())</f>
        <v>2.33</v>
      </c>
      <c r="K150" s="5" t="str">
        <f t="shared" si="1"/>
        <v>Short</v>
      </c>
      <c r="L150" s="11">
        <f t="array" ref="L150">IFERROR(INDEX(Bookings!$K:$K,MATCH(A150,Bookings!$A:$A,0)),"")</f>
        <v>2098</v>
      </c>
      <c r="M150" s="5" t="str">
        <f t="shared" si="2"/>
        <v>Low</v>
      </c>
      <c r="N150" s="5">
        <f t="array" ref="N150">IFERROR(INDEX(Bookings!$I:$I,MATCH(A150,Bookings!$A:$A,0)),"")</f>
        <v>46</v>
      </c>
      <c r="O150" s="5" t="str">
        <f t="shared" si="3"/>
        <v>Advance</v>
      </c>
      <c r="P150" s="5" t="str">
        <f t="shared" si="4"/>
        <v>Delhi -&gt; Hyderabad</v>
      </c>
    </row>
    <row r="151" ht="15.75" customHeight="1">
      <c r="A151" s="5" t="s">
        <v>707</v>
      </c>
      <c r="B151" s="5" t="s">
        <v>708</v>
      </c>
      <c r="C151" s="5" t="s">
        <v>152</v>
      </c>
      <c r="D151" s="5" t="s">
        <v>43</v>
      </c>
      <c r="E151" s="6" t="str">
        <f t="array" ref="E151">IFERROR(INDEX(Airlines!$B:$B,MATCH(D151,Airlines!$A:$A,0)),"")</f>
        <v>Indigo</v>
      </c>
      <c r="F151" s="6" t="str">
        <f>VLOOKUP(A151,Bookings!$A:$F,6,FALSE())</f>
        <v>Economy</v>
      </c>
      <c r="G151" s="6" t="str">
        <f t="array" ref="G151">IFERROR(INDEX(Flights!$E:$E,MATCH(B151,Flights!$A:$A,0)),"")</f>
        <v>Delhi</v>
      </c>
      <c r="H151" s="6" t="str">
        <f>VLOOKUP(B151,Flights!A:H,6,FALSE())</f>
        <v>Hyderabad</v>
      </c>
      <c r="I151" s="6" t="str">
        <f t="array" ref="I151">IFERROR(INDEX(Bookings!$G:$G,MATCH(B151,Bookings!$B:$B,0)),"")</f>
        <v>1</v>
      </c>
      <c r="J151" s="5">
        <f>VLOOKUP(B151,Bookings!B:H,7,FALSE())</f>
        <v>10.08</v>
      </c>
      <c r="K151" s="5" t="str">
        <f t="shared" si="1"/>
        <v>Long</v>
      </c>
      <c r="L151" s="11">
        <f t="array" ref="L151">IFERROR(INDEX(Bookings!$K:$K,MATCH(A151,Bookings!$A:$A,0)),"")</f>
        <v>3457</v>
      </c>
      <c r="M151" s="5" t="str">
        <f t="shared" si="2"/>
        <v>Low</v>
      </c>
      <c r="N151" s="5">
        <f t="array" ref="N151">IFERROR(INDEX(Bookings!$I:$I,MATCH(A151,Bookings!$A:$A,0)),"")</f>
        <v>46</v>
      </c>
      <c r="O151" s="5" t="str">
        <f t="shared" si="3"/>
        <v>Advance</v>
      </c>
      <c r="P151" s="5" t="str">
        <f t="shared" si="4"/>
        <v>Delhi -&gt; Hyderabad</v>
      </c>
    </row>
    <row r="152" ht="15.75" customHeight="1">
      <c r="A152" s="5" t="s">
        <v>710</v>
      </c>
      <c r="B152" s="5" t="s">
        <v>711</v>
      </c>
      <c r="C152" s="5" t="s">
        <v>152</v>
      </c>
      <c r="D152" s="5" t="s">
        <v>45</v>
      </c>
      <c r="E152" s="6" t="str">
        <f t="array" ref="E152">IFERROR(INDEX(Airlines!$B:$B,MATCH(D152,Airlines!$A:$A,0)),"")</f>
        <v>Air_India</v>
      </c>
      <c r="F152" s="6" t="str">
        <f>VLOOKUP(A152,Bookings!$A:$F,6,FALSE())</f>
        <v>Economy</v>
      </c>
      <c r="G152" s="6" t="str">
        <f t="array" ref="G152">IFERROR(INDEX(Flights!$E:$E,MATCH(B152,Flights!$A:$A,0)),"")</f>
        <v>Delhi</v>
      </c>
      <c r="H152" s="6" t="str">
        <f>VLOOKUP(B152,Flights!A:H,6,FALSE())</f>
        <v>Hyderabad</v>
      </c>
      <c r="I152" s="6" t="str">
        <f t="array" ref="I152">IFERROR(INDEX(Bookings!$G:$G,MATCH(B152,Bookings!$B:$B,0)),"")</f>
        <v>1</v>
      </c>
      <c r="J152" s="5">
        <f>VLOOKUP(B152,Bookings!B:H,7,FALSE())</f>
        <v>11.75</v>
      </c>
      <c r="K152" s="5" t="str">
        <f t="shared" si="1"/>
        <v>Long</v>
      </c>
      <c r="L152" s="11">
        <f t="array" ref="L152">IFERROR(INDEX(Bookings!$K:$K,MATCH(A152,Bookings!$A:$A,0)),"")</f>
        <v>4209</v>
      </c>
      <c r="M152" s="5" t="str">
        <f t="shared" si="2"/>
        <v>Low</v>
      </c>
      <c r="N152" s="5">
        <f t="array" ref="N152">IFERROR(INDEX(Bookings!$I:$I,MATCH(A152,Bookings!$A:$A,0)),"")</f>
        <v>45</v>
      </c>
      <c r="O152" s="5" t="str">
        <f t="shared" si="3"/>
        <v>Advance</v>
      </c>
      <c r="P152" s="5" t="str">
        <f t="shared" si="4"/>
        <v>Delhi -&gt; Hyderabad</v>
      </c>
    </row>
    <row r="153" ht="15.75" customHeight="1">
      <c r="A153" s="5" t="s">
        <v>714</v>
      </c>
      <c r="B153" s="5" t="s">
        <v>716</v>
      </c>
      <c r="C153" s="5" t="s">
        <v>152</v>
      </c>
      <c r="D153" s="5" t="s">
        <v>20</v>
      </c>
      <c r="E153" s="6" t="str">
        <f t="array" ref="E153">IFERROR(INDEX(Airlines!$B:$B,MATCH(D153,Airlines!$A:$A,0)),"")</f>
        <v>Vistara</v>
      </c>
      <c r="F153" s="6" t="str">
        <f>VLOOKUP(A153,Bookings!$A:$F,6,FALSE())</f>
        <v>Business</v>
      </c>
      <c r="G153" s="6" t="str">
        <f t="array" ref="G153">IFERROR(INDEX(Flights!$E:$E,MATCH(B153,Flights!$A:$A,0)),"")</f>
        <v>Delhi</v>
      </c>
      <c r="H153" s="6" t="str">
        <f>VLOOKUP(B153,Flights!A:H,6,FALSE())</f>
        <v>Hyderabad</v>
      </c>
      <c r="I153" s="6" t="str">
        <f t="array" ref="I153">IFERROR(INDEX(Bookings!$G:$G,MATCH(B153,Bookings!$B:$B,0)),"")</f>
        <v>1</v>
      </c>
      <c r="J153" s="5">
        <f>VLOOKUP(B153,Bookings!B:H,7,FALSE())</f>
        <v>12.92</v>
      </c>
      <c r="K153" s="5" t="str">
        <f t="shared" si="1"/>
        <v>Long</v>
      </c>
      <c r="L153" s="11">
        <f t="array" ref="L153">IFERROR(INDEX(Bookings!$K:$K,MATCH(A153,Bookings!$A:$A,0)),"")</f>
        <v>61889</v>
      </c>
      <c r="M153" s="5" t="str">
        <f t="shared" si="2"/>
        <v>High</v>
      </c>
      <c r="N153" s="5">
        <f t="array" ref="N153">IFERROR(INDEX(Bookings!$I:$I,MATCH(A153,Bookings!$A:$A,0)),"")</f>
        <v>48</v>
      </c>
      <c r="O153" s="5" t="str">
        <f t="shared" si="3"/>
        <v>Advance</v>
      </c>
      <c r="P153" s="5" t="str">
        <f t="shared" si="4"/>
        <v>Delhi -&gt; Hyderabad</v>
      </c>
    </row>
    <row r="154" ht="15.75" customHeight="1">
      <c r="A154" s="5" t="s">
        <v>718</v>
      </c>
      <c r="B154" s="5" t="s">
        <v>719</v>
      </c>
      <c r="C154" s="5" t="s">
        <v>152</v>
      </c>
      <c r="D154" s="5" t="s">
        <v>58</v>
      </c>
      <c r="E154" s="6" t="str">
        <f t="array" ref="E154">IFERROR(INDEX(Airlines!$B:$B,MATCH(D154,Airlines!$A:$A,0)),"")</f>
        <v>Go_First</v>
      </c>
      <c r="F154" s="6" t="str">
        <f>VLOOKUP(A154,Bookings!$A:$F,6,FALSE())</f>
        <v>Economy</v>
      </c>
      <c r="G154" s="6" t="str">
        <f t="array" ref="G154">IFERROR(INDEX(Flights!$E:$E,MATCH(B154,Flights!$A:$A,0)),"")</f>
        <v>Delhi</v>
      </c>
      <c r="H154" s="6" t="str">
        <f>VLOOKUP(B154,Flights!A:H,6,FALSE())</f>
        <v>Hyderabad</v>
      </c>
      <c r="I154" s="6" t="str">
        <f t="array" ref="I154">IFERROR(INDEX(Bookings!$G:$G,MATCH(B154,Bookings!$B:$B,0)),"")</f>
        <v>1</v>
      </c>
      <c r="J154" s="5">
        <f>VLOOKUP(B154,Bookings!B:H,7,FALSE())</f>
        <v>15.5</v>
      </c>
      <c r="K154" s="5" t="str">
        <f t="shared" si="1"/>
        <v>Long</v>
      </c>
      <c r="L154" s="11">
        <f t="array" ref="L154">IFERROR(INDEX(Bookings!$K:$K,MATCH(A154,Bookings!$A:$A,0)),"")</f>
        <v>6074</v>
      </c>
      <c r="M154" s="5" t="str">
        <f t="shared" si="2"/>
        <v>Medium</v>
      </c>
      <c r="N154" s="5">
        <f t="array" ref="N154">IFERROR(INDEX(Bookings!$I:$I,MATCH(A154,Bookings!$A:$A,0)),"")</f>
        <v>45</v>
      </c>
      <c r="O154" s="5" t="str">
        <f t="shared" si="3"/>
        <v>Advance</v>
      </c>
      <c r="P154" s="5" t="str">
        <f t="shared" si="4"/>
        <v>Delhi -&gt; Hyderabad</v>
      </c>
    </row>
    <row r="155" ht="15.75" customHeight="1">
      <c r="A155" s="5" t="s">
        <v>720</v>
      </c>
      <c r="B155" s="5" t="s">
        <v>722</v>
      </c>
      <c r="C155" s="5" t="s">
        <v>152</v>
      </c>
      <c r="D155" s="5" t="s">
        <v>45</v>
      </c>
      <c r="E155" s="6" t="str">
        <f t="array" ref="E155">IFERROR(INDEX(Airlines!$B:$B,MATCH(D155,Airlines!$A:$A,0)),"")</f>
        <v>Air_India</v>
      </c>
      <c r="F155" s="6" t="str">
        <f>VLOOKUP(A155,Bookings!$A:$F,6,FALSE())</f>
        <v>Economy</v>
      </c>
      <c r="G155" s="6" t="str">
        <f t="array" ref="G155">IFERROR(INDEX(Flights!$E:$E,MATCH(B155,Flights!$A:$A,0)),"")</f>
        <v>Delhi</v>
      </c>
      <c r="H155" s="6" t="str">
        <f>VLOOKUP(B155,Flights!A:H,6,FALSE())</f>
        <v>Hyderabad</v>
      </c>
      <c r="I155" s="6" t="str">
        <f t="array" ref="I155">IFERROR(INDEX(Bookings!$G:$G,MATCH(B155,Bookings!$B:$B,0)),"")</f>
        <v>1</v>
      </c>
      <c r="J155" s="5">
        <f>VLOOKUP(B155,Bookings!B:H,7,FALSE())</f>
        <v>16.17</v>
      </c>
      <c r="K155" s="5" t="str">
        <f t="shared" si="1"/>
        <v>Long</v>
      </c>
      <c r="L155" s="11">
        <f t="array" ref="L155">IFERROR(INDEX(Bookings!$K:$K,MATCH(A155,Bookings!$A:$A,0)),"")</f>
        <v>4524</v>
      </c>
      <c r="M155" s="5" t="str">
        <f t="shared" si="2"/>
        <v>Low</v>
      </c>
      <c r="N155" s="5">
        <f t="array" ref="N155">IFERROR(INDEX(Bookings!$I:$I,MATCH(A155,Bookings!$A:$A,0)),"")</f>
        <v>46</v>
      </c>
      <c r="O155" s="5" t="str">
        <f t="shared" si="3"/>
        <v>Advance</v>
      </c>
      <c r="P155" s="5" t="str">
        <f t="shared" si="4"/>
        <v>Delhi -&gt; Hyderabad</v>
      </c>
    </row>
    <row r="156" ht="15.75" customHeight="1">
      <c r="A156" s="5" t="s">
        <v>726</v>
      </c>
      <c r="B156" s="5" t="s">
        <v>727</v>
      </c>
      <c r="C156" s="5" t="s">
        <v>152</v>
      </c>
      <c r="D156" s="5" t="s">
        <v>45</v>
      </c>
      <c r="E156" s="6" t="str">
        <f t="array" ref="E156">IFERROR(INDEX(Airlines!$B:$B,MATCH(D156,Airlines!$A:$A,0)),"")</f>
        <v>Air_India</v>
      </c>
      <c r="F156" s="6" t="str">
        <f>VLOOKUP(A156,Bookings!$A:$F,6,FALSE())</f>
        <v>Business</v>
      </c>
      <c r="G156" s="6" t="str">
        <f t="array" ref="G156">IFERROR(INDEX(Flights!$E:$E,MATCH(B156,Flights!$A:$A,0)),"")</f>
        <v>Delhi</v>
      </c>
      <c r="H156" s="6" t="str">
        <f>VLOOKUP(B156,Flights!A:H,6,FALSE())</f>
        <v>Hyderabad</v>
      </c>
      <c r="I156" s="6" t="str">
        <f t="array" ref="I156">IFERROR(INDEX(Bookings!$G:$G,MATCH(B156,Bookings!$B:$B,0)),"")</f>
        <v>1</v>
      </c>
      <c r="J156" s="5">
        <f>VLOOKUP(B156,Bookings!B:H,7,FALSE())</f>
        <v>16</v>
      </c>
      <c r="K156" s="5" t="str">
        <f t="shared" si="1"/>
        <v>Long</v>
      </c>
      <c r="L156" s="11">
        <f t="array" ref="L156">IFERROR(INDEX(Bookings!$K:$K,MATCH(A156,Bookings!$A:$A,0)),"")</f>
        <v>42546</v>
      </c>
      <c r="M156" s="5" t="str">
        <f t="shared" si="2"/>
        <v>High</v>
      </c>
      <c r="N156" s="5">
        <f t="array" ref="N156">IFERROR(INDEX(Bookings!$I:$I,MATCH(A156,Bookings!$A:$A,0)),"")</f>
        <v>48</v>
      </c>
      <c r="O156" s="5" t="str">
        <f t="shared" si="3"/>
        <v>Advance</v>
      </c>
      <c r="P156" s="5" t="str">
        <f t="shared" si="4"/>
        <v>Delhi -&gt; Hyderabad</v>
      </c>
    </row>
    <row r="157" ht="15.75" customHeight="1">
      <c r="A157" s="5" t="s">
        <v>731</v>
      </c>
      <c r="B157" s="5" t="s">
        <v>733</v>
      </c>
      <c r="C157" s="5" t="s">
        <v>174</v>
      </c>
      <c r="D157" s="5" t="s">
        <v>29</v>
      </c>
      <c r="E157" s="6" t="str">
        <f t="array" ref="E157">IFERROR(INDEX(Airlines!$B:$B,MATCH(D157,Airlines!$A:$A,0)),"")</f>
        <v>AirAsia</v>
      </c>
      <c r="F157" s="6" t="str">
        <f>VLOOKUP(A157,Bookings!$A:$F,6,FALSE())</f>
        <v>Economy</v>
      </c>
      <c r="G157" s="6" t="str">
        <f t="array" ref="G157">IFERROR(INDEX(Flights!$E:$E,MATCH(B157,Flights!$A:$A,0)),"")</f>
        <v>Delhi</v>
      </c>
      <c r="H157" s="6" t="str">
        <f>VLOOKUP(B157,Flights!A:H,6,FALSE())</f>
        <v>Chennai</v>
      </c>
      <c r="I157" s="6" t="str">
        <f t="array" ref="I157">IFERROR(INDEX(Bookings!$G:$G,MATCH(B157,Bookings!$B:$B,0)),"")</f>
        <v>1</v>
      </c>
      <c r="J157" s="5">
        <f>VLOOKUP(B157,Bookings!B:H,7,FALSE())</f>
        <v>13.5</v>
      </c>
      <c r="K157" s="5" t="str">
        <f t="shared" si="1"/>
        <v>Long</v>
      </c>
      <c r="L157" s="11">
        <f t="array" ref="L157">IFERROR(INDEX(Bookings!$K:$K,MATCH(A157,Bookings!$A:$A,0)),"")</f>
        <v>1998</v>
      </c>
      <c r="M157" s="5" t="str">
        <f t="shared" si="2"/>
        <v>Low</v>
      </c>
      <c r="N157" s="5">
        <f t="array" ref="N157">IFERROR(INDEX(Bookings!$I:$I,MATCH(A157,Bookings!$A:$A,0)),"")</f>
        <v>25</v>
      </c>
      <c r="O157" s="5" t="str">
        <f t="shared" si="3"/>
        <v>Moderate</v>
      </c>
      <c r="P157" s="5" t="str">
        <f t="shared" si="4"/>
        <v>Delhi -&gt; Chennai</v>
      </c>
    </row>
    <row r="158" ht="15.75" customHeight="1">
      <c r="A158" s="5" t="s">
        <v>737</v>
      </c>
      <c r="B158" s="5" t="s">
        <v>738</v>
      </c>
      <c r="C158" s="5" t="s">
        <v>174</v>
      </c>
      <c r="D158" s="5" t="s">
        <v>43</v>
      </c>
      <c r="E158" s="6" t="str">
        <f t="array" ref="E158">IFERROR(INDEX(Airlines!$B:$B,MATCH(D158,Airlines!$A:$A,0)),"")</f>
        <v>Indigo</v>
      </c>
      <c r="F158" s="6" t="str">
        <f>VLOOKUP(A158,Bookings!$A:$F,6,FALSE())</f>
        <v>Economy</v>
      </c>
      <c r="G158" s="6" t="str">
        <f t="array" ref="G158">IFERROR(INDEX(Flights!$E:$E,MATCH(B158,Flights!$A:$A,0)),"")</f>
        <v>Delhi</v>
      </c>
      <c r="H158" s="6" t="str">
        <f>VLOOKUP(B158,Flights!A:H,6,FALSE())</f>
        <v>Chennai</v>
      </c>
      <c r="I158" s="6" t="str">
        <f t="array" ref="I158">IFERROR(INDEX(Bookings!$G:$G,MATCH(B158,Bookings!$B:$B,0)),"")</f>
        <v>1</v>
      </c>
      <c r="J158" s="5">
        <f>VLOOKUP(B158,Bookings!B:H,7,FALSE())</f>
        <v>9.08</v>
      </c>
      <c r="K158" s="5" t="str">
        <f t="shared" si="1"/>
        <v>Medium</v>
      </c>
      <c r="L158" s="11">
        <f t="array" ref="L158">IFERROR(INDEX(Bookings!$K:$K,MATCH(A158,Bookings!$A:$A,0)),"")</f>
        <v>4181</v>
      </c>
      <c r="M158" s="5" t="str">
        <f t="shared" si="2"/>
        <v>Low</v>
      </c>
      <c r="N158" s="5">
        <f t="array" ref="N158">IFERROR(INDEX(Bookings!$I:$I,MATCH(A158,Bookings!$A:$A,0)),"")</f>
        <v>38</v>
      </c>
      <c r="O158" s="5" t="str">
        <f t="shared" si="3"/>
        <v>Advance</v>
      </c>
      <c r="P158" s="5" t="str">
        <f t="shared" si="4"/>
        <v>Delhi -&gt; Chennai</v>
      </c>
    </row>
    <row r="159" ht="15.75" customHeight="1">
      <c r="A159" s="5" t="s">
        <v>740</v>
      </c>
      <c r="B159" s="5" t="s">
        <v>741</v>
      </c>
      <c r="C159" s="5" t="s">
        <v>174</v>
      </c>
      <c r="D159" s="5" t="s">
        <v>20</v>
      </c>
      <c r="E159" s="6" t="str">
        <f t="array" ref="E159">IFERROR(INDEX(Airlines!$B:$B,MATCH(D159,Airlines!$A:$A,0)),"")</f>
        <v>Vistara</v>
      </c>
      <c r="F159" s="6" t="str">
        <f>VLOOKUP(A159,Bookings!$A:$F,6,FALSE())</f>
        <v>Economy</v>
      </c>
      <c r="G159" s="6" t="str">
        <f t="array" ref="G159">IFERROR(INDEX(Flights!$E:$E,MATCH(B159,Flights!$A:$A,0)),"")</f>
        <v>Delhi</v>
      </c>
      <c r="H159" s="6" t="str">
        <f>VLOOKUP(B159,Flights!A:H,6,FALSE())</f>
        <v>Chennai</v>
      </c>
      <c r="I159" s="6" t="str">
        <f t="array" ref="I159">IFERROR(INDEX(Bookings!$G:$G,MATCH(B159,Bookings!$B:$B,0)),"")</f>
        <v>2+</v>
      </c>
      <c r="J159" s="5">
        <f>VLOOKUP(B159,Bookings!B:H,7,FALSE())</f>
        <v>27.83</v>
      </c>
      <c r="K159" s="5" t="str">
        <f t="shared" si="1"/>
        <v>Long</v>
      </c>
      <c r="L159" s="11">
        <f t="array" ref="L159">IFERROR(INDEX(Bookings!$K:$K,MATCH(A159,Bookings!$A:$A,0)),"")</f>
        <v>18757</v>
      </c>
      <c r="M159" s="5" t="str">
        <f t="shared" si="2"/>
        <v>High</v>
      </c>
      <c r="N159" s="5">
        <f t="array" ref="N159">IFERROR(INDEX(Bookings!$I:$I,MATCH(A159,Bookings!$A:$A,0)),"")</f>
        <v>1</v>
      </c>
      <c r="O159" s="5" t="str">
        <f t="shared" si="3"/>
        <v>Last Minute</v>
      </c>
      <c r="P159" s="5" t="str">
        <f t="shared" si="4"/>
        <v>Delhi -&gt; Chennai</v>
      </c>
    </row>
    <row r="160" ht="15.75" customHeight="1">
      <c r="A160" s="5" t="s">
        <v>743</v>
      </c>
      <c r="B160" s="5" t="s">
        <v>744</v>
      </c>
      <c r="C160" s="5" t="s">
        <v>174</v>
      </c>
      <c r="D160" s="5" t="s">
        <v>72</v>
      </c>
      <c r="E160" s="6" t="str">
        <f t="array" ref="E160">IFERROR(INDEX(Airlines!$B:$B,MATCH(D160,Airlines!$A:$A,0)),"")</f>
        <v>Spicejet</v>
      </c>
      <c r="F160" s="6" t="str">
        <f>VLOOKUP(A160,Bookings!$A:$F,6,FALSE())</f>
        <v>Economy</v>
      </c>
      <c r="G160" s="6" t="str">
        <f t="array" ref="G160">IFERROR(INDEX(Flights!$E:$E,MATCH(B160,Flights!$A:$A,0)),"")</f>
        <v>Delhi</v>
      </c>
      <c r="H160" s="6" t="str">
        <f>VLOOKUP(B160,Flights!A:H,6,FALSE())</f>
        <v>Chennai</v>
      </c>
      <c r="I160" s="6" t="str">
        <f t="array" ref="I160">IFERROR(INDEX(Bookings!$G:$G,MATCH(B160,Bookings!$B:$B,0)),"")</f>
        <v>1</v>
      </c>
      <c r="J160" s="5">
        <f>VLOOKUP(B160,Bookings!B:H,7,FALSE())</f>
        <v>12.25</v>
      </c>
      <c r="K160" s="5" t="str">
        <f t="shared" si="1"/>
        <v>Long</v>
      </c>
      <c r="L160" s="11">
        <f t="array" ref="L160">IFERROR(INDEX(Bookings!$K:$K,MATCH(A160,Bookings!$A:$A,0)),"")</f>
        <v>7336</v>
      </c>
      <c r="M160" s="5" t="str">
        <f t="shared" si="2"/>
        <v>Medium</v>
      </c>
      <c r="N160" s="5">
        <f t="array" ref="N160">IFERROR(INDEX(Bookings!$I:$I,MATCH(A160,Bookings!$A:$A,0)),"")</f>
        <v>38</v>
      </c>
      <c r="O160" s="5" t="str">
        <f t="shared" si="3"/>
        <v>Advance</v>
      </c>
      <c r="P160" s="5" t="str">
        <f t="shared" si="4"/>
        <v>Delhi -&gt; Chennai</v>
      </c>
    </row>
    <row r="161" ht="15.75" customHeight="1">
      <c r="A161" s="5" t="s">
        <v>746</v>
      </c>
      <c r="B161" s="5" t="s">
        <v>747</v>
      </c>
      <c r="C161" s="5" t="s">
        <v>174</v>
      </c>
      <c r="D161" s="5" t="s">
        <v>45</v>
      </c>
      <c r="E161" s="6" t="str">
        <f t="array" ref="E161">IFERROR(INDEX(Airlines!$B:$B,MATCH(D161,Airlines!$A:$A,0)),"")</f>
        <v>Air_India</v>
      </c>
      <c r="F161" s="6" t="str">
        <f>VLOOKUP(A161,Bookings!$A:$F,6,FALSE())</f>
        <v>Economy</v>
      </c>
      <c r="G161" s="6" t="str">
        <f t="array" ref="G161">IFERROR(INDEX(Flights!$E:$E,MATCH(B161,Flights!$A:$A,0)),"")</f>
        <v>Delhi</v>
      </c>
      <c r="H161" s="6" t="str">
        <f>VLOOKUP(B161,Flights!A:H,6,FALSE())</f>
        <v>Chennai</v>
      </c>
      <c r="I161" s="6" t="str">
        <f t="array" ref="I161">IFERROR(INDEX(Bookings!$G:$G,MATCH(B161,Bookings!$B:$B,0)),"")</f>
        <v>1</v>
      </c>
      <c r="J161" s="5">
        <f>VLOOKUP(B161,Bookings!B:H,7,FALSE())</f>
        <v>12.33</v>
      </c>
      <c r="K161" s="5" t="str">
        <f t="shared" si="1"/>
        <v>Long</v>
      </c>
      <c r="L161" s="11">
        <f t="array" ref="L161">IFERROR(INDEX(Bookings!$K:$K,MATCH(A161,Bookings!$A:$A,0)),"")</f>
        <v>11520</v>
      </c>
      <c r="M161" s="5" t="str">
        <f t="shared" si="2"/>
        <v>Medium</v>
      </c>
      <c r="N161" s="5">
        <f t="array" ref="N161">IFERROR(INDEX(Bookings!$I:$I,MATCH(A161,Bookings!$A:$A,0)),"")</f>
        <v>2</v>
      </c>
      <c r="O161" s="5" t="str">
        <f t="shared" si="3"/>
        <v>Last Minute</v>
      </c>
      <c r="P161" s="5" t="str">
        <f t="shared" si="4"/>
        <v>Delhi -&gt; Chennai</v>
      </c>
    </row>
    <row r="162" ht="15.75" customHeight="1">
      <c r="A162" s="5" t="s">
        <v>750</v>
      </c>
      <c r="B162" s="5" t="s">
        <v>752</v>
      </c>
      <c r="C162" s="5" t="s">
        <v>174</v>
      </c>
      <c r="D162" s="5" t="s">
        <v>45</v>
      </c>
      <c r="E162" s="6" t="str">
        <f t="array" ref="E162">IFERROR(INDEX(Airlines!$B:$B,MATCH(D162,Airlines!$A:$A,0)),"")</f>
        <v>Air_India</v>
      </c>
      <c r="F162" s="6" t="str">
        <f>VLOOKUP(A162,Bookings!$A:$F,6,FALSE())</f>
        <v>Economy</v>
      </c>
      <c r="G162" s="6" t="str">
        <f t="array" ref="G162">IFERROR(INDEX(Flights!$E:$E,MATCH(B162,Flights!$A:$A,0)),"")</f>
        <v>Delhi</v>
      </c>
      <c r="H162" s="6" t="str">
        <f>VLOOKUP(B162,Flights!A:H,6,FALSE())</f>
        <v>Chennai</v>
      </c>
      <c r="I162" s="6" t="str">
        <f t="array" ref="I162">IFERROR(INDEX(Bookings!$G:$G,MATCH(B162,Bookings!$B:$B,0)),"")</f>
        <v>1</v>
      </c>
      <c r="J162" s="5">
        <f>VLOOKUP(B162,Bookings!B:H,7,FALSE())</f>
        <v>13.5</v>
      </c>
      <c r="K162" s="5" t="str">
        <f t="shared" si="1"/>
        <v>Long</v>
      </c>
      <c r="L162" s="11">
        <f t="array" ref="L162">IFERROR(INDEX(Bookings!$K:$K,MATCH(A162,Bookings!$A:$A,0)),"")</f>
        <v>11520</v>
      </c>
      <c r="M162" s="5" t="str">
        <f t="shared" si="2"/>
        <v>Medium</v>
      </c>
      <c r="N162" s="5">
        <f t="array" ref="N162">IFERROR(INDEX(Bookings!$I:$I,MATCH(A162,Bookings!$A:$A,0)),"")</f>
        <v>2</v>
      </c>
      <c r="O162" s="5" t="str">
        <f t="shared" si="3"/>
        <v>Last Minute</v>
      </c>
      <c r="P162" s="5" t="str">
        <f t="shared" si="4"/>
        <v>Delhi -&gt; Chennai</v>
      </c>
    </row>
    <row r="163" ht="15.75" customHeight="1">
      <c r="A163" s="5" t="s">
        <v>755</v>
      </c>
      <c r="B163" s="5" t="s">
        <v>756</v>
      </c>
      <c r="C163" s="5" t="s">
        <v>174</v>
      </c>
      <c r="D163" s="5" t="s">
        <v>45</v>
      </c>
      <c r="E163" s="6" t="str">
        <f t="array" ref="E163">IFERROR(INDEX(Airlines!$B:$B,MATCH(D163,Airlines!$A:$A,0)),"")</f>
        <v>Air_India</v>
      </c>
      <c r="F163" s="6" t="str">
        <f>VLOOKUP(A163,Bookings!$A:$F,6,FALSE())</f>
        <v>Economy</v>
      </c>
      <c r="G163" s="6" t="str">
        <f t="array" ref="G163">IFERROR(INDEX(Flights!$E:$E,MATCH(B163,Flights!$A:$A,0)),"")</f>
        <v>Delhi</v>
      </c>
      <c r="H163" s="6" t="str">
        <f>VLOOKUP(B163,Flights!A:H,6,FALSE())</f>
        <v>Chennai</v>
      </c>
      <c r="I163" s="6" t="str">
        <f t="array" ref="I163">IFERROR(INDEX(Bookings!$G:$G,MATCH(B163,Bookings!$B:$B,0)),"")</f>
        <v>1</v>
      </c>
      <c r="J163" s="5">
        <f>VLOOKUP(B163,Bookings!B:H,7,FALSE())</f>
        <v>24.33</v>
      </c>
      <c r="K163" s="5" t="str">
        <f t="shared" si="1"/>
        <v>Long</v>
      </c>
      <c r="L163" s="11">
        <f t="array" ref="L163">IFERROR(INDEX(Bookings!$K:$K,MATCH(A163,Bookings!$A:$A,0)),"")</f>
        <v>11520</v>
      </c>
      <c r="M163" s="5" t="str">
        <f t="shared" si="2"/>
        <v>Medium</v>
      </c>
      <c r="N163" s="5">
        <f t="array" ref="N163">IFERROR(INDEX(Bookings!$I:$I,MATCH(A163,Bookings!$A:$A,0)),"")</f>
        <v>2</v>
      </c>
      <c r="O163" s="5" t="str">
        <f t="shared" si="3"/>
        <v>Last Minute</v>
      </c>
      <c r="P163" s="5" t="str">
        <f t="shared" si="4"/>
        <v>Delhi -&gt; Chennai</v>
      </c>
    </row>
    <row r="164" ht="15.75" customHeight="1">
      <c r="A164" s="5" t="s">
        <v>761</v>
      </c>
      <c r="B164" s="5" t="s">
        <v>762</v>
      </c>
      <c r="C164" s="5" t="s">
        <v>174</v>
      </c>
      <c r="D164" s="5" t="s">
        <v>72</v>
      </c>
      <c r="E164" s="6" t="str">
        <f t="array" ref="E164">IFERROR(INDEX(Airlines!$B:$B,MATCH(D164,Airlines!$A:$A,0)),"")</f>
        <v>Spicejet</v>
      </c>
      <c r="F164" s="6" t="str">
        <f>VLOOKUP(A164,Bookings!$A:$F,6,FALSE())</f>
        <v>Economy</v>
      </c>
      <c r="G164" s="6" t="str">
        <f t="array" ref="G164">IFERROR(INDEX(Flights!$E:$E,MATCH(B164,Flights!$A:$A,0)),"")</f>
        <v>Delhi</v>
      </c>
      <c r="H164" s="6" t="str">
        <f>VLOOKUP(B164,Flights!A:H,6,FALSE())</f>
        <v>Chennai</v>
      </c>
      <c r="I164" s="6" t="str">
        <f t="array" ref="I164">IFERROR(INDEX(Bookings!$G:$G,MATCH(B164,Bookings!$B:$B,0)),"")</f>
        <v>1</v>
      </c>
      <c r="J164" s="5">
        <f>VLOOKUP(B164,Bookings!B:H,7,FALSE())</f>
        <v>6.17</v>
      </c>
      <c r="K164" s="5" t="str">
        <f t="shared" si="1"/>
        <v>Medium</v>
      </c>
      <c r="L164" s="11">
        <f t="array" ref="L164">IFERROR(INDEX(Bookings!$K:$K,MATCH(A164,Bookings!$A:$A,0)),"")</f>
        <v>4149</v>
      </c>
      <c r="M164" s="5" t="str">
        <f t="shared" si="2"/>
        <v>Low</v>
      </c>
      <c r="N164" s="5">
        <f t="array" ref="N164">IFERROR(INDEX(Bookings!$I:$I,MATCH(A164,Bookings!$A:$A,0)),"")</f>
        <v>28</v>
      </c>
      <c r="O164" s="5" t="str">
        <f t="shared" si="3"/>
        <v>Moderate</v>
      </c>
      <c r="P164" s="5" t="str">
        <f t="shared" si="4"/>
        <v>Delhi -&gt; Chennai</v>
      </c>
    </row>
    <row r="165" ht="15.75" customHeight="1">
      <c r="A165" s="5" t="s">
        <v>764</v>
      </c>
      <c r="B165" s="5" t="s">
        <v>765</v>
      </c>
      <c r="C165" s="5" t="s">
        <v>174</v>
      </c>
      <c r="D165" s="5" t="s">
        <v>45</v>
      </c>
      <c r="E165" s="6" t="str">
        <f t="array" ref="E165">IFERROR(INDEX(Airlines!$B:$B,MATCH(D165,Airlines!$A:$A,0)),"")</f>
        <v>Air_India</v>
      </c>
      <c r="F165" s="6" t="str">
        <f>VLOOKUP(A165,Bookings!$A:$F,6,FALSE())</f>
        <v>Business</v>
      </c>
      <c r="G165" s="6" t="str">
        <f t="array" ref="G165">IFERROR(INDEX(Flights!$E:$E,MATCH(B165,Flights!$A:$A,0)),"")</f>
        <v>Delhi</v>
      </c>
      <c r="H165" s="6" t="str">
        <f>VLOOKUP(B165,Flights!A:H,6,FALSE())</f>
        <v>Chennai</v>
      </c>
      <c r="I165" s="6" t="str">
        <f t="array" ref="I165">IFERROR(INDEX(Bookings!$G:$G,MATCH(B165,Bookings!$B:$B,0)),"")</f>
        <v>1</v>
      </c>
      <c r="J165" s="5">
        <f>VLOOKUP(B165,Bookings!B:H,7,FALSE())</f>
        <v>14.92</v>
      </c>
      <c r="K165" s="5" t="str">
        <f t="shared" si="1"/>
        <v>Long</v>
      </c>
      <c r="L165" s="11">
        <f t="array" ref="L165">IFERROR(INDEX(Bookings!$K:$K,MATCH(A165,Bookings!$A:$A,0)),"")</f>
        <v>7336</v>
      </c>
      <c r="M165" s="5" t="str">
        <f t="shared" si="2"/>
        <v>Medium</v>
      </c>
      <c r="N165" s="5">
        <f t="array" ref="N165">IFERROR(INDEX(Bookings!$I:$I,MATCH(A165,Bookings!$A:$A,0)),"")</f>
        <v>38</v>
      </c>
      <c r="O165" s="5" t="str">
        <f t="shared" si="3"/>
        <v>Advance</v>
      </c>
      <c r="P165" s="5" t="str">
        <f t="shared" si="4"/>
        <v>Delhi -&gt; Chennai</v>
      </c>
    </row>
    <row r="166" ht="15.75" customHeight="1">
      <c r="A166" s="5" t="s">
        <v>768</v>
      </c>
      <c r="B166" s="5" t="s">
        <v>769</v>
      </c>
      <c r="C166" s="5" t="s">
        <v>174</v>
      </c>
      <c r="D166" s="5" t="s">
        <v>20</v>
      </c>
      <c r="E166" s="6" t="str">
        <f t="array" ref="E166">IFERROR(INDEX(Airlines!$B:$B,MATCH(D166,Airlines!$A:$A,0)),"")</f>
        <v>Vistara</v>
      </c>
      <c r="F166" s="6" t="str">
        <f>VLOOKUP(A166,Bookings!$A:$F,6,FALSE())</f>
        <v>Economy</v>
      </c>
      <c r="G166" s="6" t="str">
        <f t="array" ref="G166">IFERROR(INDEX(Flights!$E:$E,MATCH(B166,Flights!$A:$A,0)),"")</f>
        <v>Delhi</v>
      </c>
      <c r="H166" s="6" t="str">
        <f>VLOOKUP(B166,Flights!A:H,6,FALSE())</f>
        <v>Chennai</v>
      </c>
      <c r="I166" s="6" t="str">
        <f t="array" ref="I166">IFERROR(INDEX(Bookings!$G:$G,MATCH(B166,Bookings!$B:$B,0)),"")</f>
        <v>2+</v>
      </c>
      <c r="J166" s="5">
        <f>VLOOKUP(B166,Bookings!B:H,7,FALSE())</f>
        <v>21.58</v>
      </c>
      <c r="K166" s="5" t="str">
        <f t="shared" si="1"/>
        <v>Long</v>
      </c>
      <c r="L166" s="11">
        <f t="array" ref="L166">IFERROR(INDEX(Bookings!$K:$K,MATCH(A166,Bookings!$A:$A,0)),"")</f>
        <v>23377</v>
      </c>
      <c r="M166" s="5" t="str">
        <f t="shared" si="2"/>
        <v>High</v>
      </c>
      <c r="N166" s="5">
        <f t="array" ref="N166">IFERROR(INDEX(Bookings!$I:$I,MATCH(A166,Bookings!$A:$A,0)),"")</f>
        <v>3</v>
      </c>
      <c r="O166" s="5" t="str">
        <f t="shared" si="3"/>
        <v>Last Minute</v>
      </c>
      <c r="P166" s="5" t="str">
        <f t="shared" si="4"/>
        <v>Delhi -&gt; Chennai</v>
      </c>
    </row>
    <row r="167" ht="15.75" customHeight="1">
      <c r="A167" s="5" t="s">
        <v>772</v>
      </c>
      <c r="B167" s="5" t="s">
        <v>773</v>
      </c>
      <c r="C167" s="5" t="s">
        <v>174</v>
      </c>
      <c r="D167" s="5" t="s">
        <v>45</v>
      </c>
      <c r="E167" s="6" t="str">
        <f t="array" ref="E167">IFERROR(INDEX(Airlines!$B:$B,MATCH(D167,Airlines!$A:$A,0)),"")</f>
        <v>Air_India</v>
      </c>
      <c r="F167" s="6" t="str">
        <f>VLOOKUP(A167,Bookings!$A:$F,6,FALSE())</f>
        <v>Economy</v>
      </c>
      <c r="G167" s="6" t="str">
        <f t="array" ref="G167">IFERROR(INDEX(Flights!$E:$E,MATCH(B167,Flights!$A:$A,0)),"")</f>
        <v>Delhi</v>
      </c>
      <c r="H167" s="6" t="str">
        <f>VLOOKUP(B167,Flights!A:H,6,FALSE())</f>
        <v>Chennai</v>
      </c>
      <c r="I167" s="6" t="str">
        <f t="array" ref="I167">IFERROR(INDEX(Bookings!$G:$G,MATCH(B167,Bookings!$B:$B,0)),"")</f>
        <v>1</v>
      </c>
      <c r="J167" s="5">
        <f>VLOOKUP(B167,Bookings!B:H,7,FALSE())</f>
        <v>22.33</v>
      </c>
      <c r="K167" s="5" t="str">
        <f t="shared" si="1"/>
        <v>Long</v>
      </c>
      <c r="L167" s="11">
        <f t="array" ref="L167">IFERROR(INDEX(Bookings!$K:$K,MATCH(A167,Bookings!$A:$A,0)),"")</f>
        <v>11520</v>
      </c>
      <c r="M167" s="5" t="str">
        <f t="shared" si="2"/>
        <v>Medium</v>
      </c>
      <c r="N167" s="5">
        <f t="array" ref="N167">IFERROR(INDEX(Bookings!$I:$I,MATCH(A167,Bookings!$A:$A,0)),"")</f>
        <v>4</v>
      </c>
      <c r="O167" s="5" t="str">
        <f t="shared" si="3"/>
        <v>Last Minute</v>
      </c>
      <c r="P167" s="5" t="str">
        <f t="shared" si="4"/>
        <v>Delhi -&gt; Chennai</v>
      </c>
    </row>
    <row r="168" ht="15.75" customHeight="1">
      <c r="A168" s="5" t="s">
        <v>776</v>
      </c>
      <c r="B168" s="5" t="s">
        <v>777</v>
      </c>
      <c r="C168" s="5" t="s">
        <v>174</v>
      </c>
      <c r="D168" s="5" t="s">
        <v>45</v>
      </c>
      <c r="E168" s="6" t="str">
        <f t="array" ref="E168">IFERROR(INDEX(Airlines!$B:$B,MATCH(D168,Airlines!$A:$A,0)),"")</f>
        <v>Air_India</v>
      </c>
      <c r="F168" s="6" t="str">
        <f>VLOOKUP(A168,Bookings!$A:$F,6,FALSE())</f>
        <v>Economy</v>
      </c>
      <c r="G168" s="6" t="str">
        <f t="array" ref="G168">IFERROR(INDEX(Flights!$E:$E,MATCH(B168,Flights!$A:$A,0)),"")</f>
        <v>Delhi</v>
      </c>
      <c r="H168" s="6" t="str">
        <f>VLOOKUP(B168,Flights!A:H,6,FALSE())</f>
        <v>Chennai</v>
      </c>
      <c r="I168" s="6" t="str">
        <f t="array" ref="I168">IFERROR(INDEX(Bookings!$G:$G,MATCH(B168,Bookings!$B:$B,0)),"")</f>
        <v>1</v>
      </c>
      <c r="J168" s="5">
        <f>VLOOKUP(B168,Bookings!B:H,7,FALSE())</f>
        <v>28.42</v>
      </c>
      <c r="K168" s="5" t="str">
        <f t="shared" si="1"/>
        <v>Long</v>
      </c>
      <c r="L168" s="11">
        <f t="array" ref="L168">IFERROR(INDEX(Bookings!$K:$K,MATCH(A168,Bookings!$A:$A,0)),"")</f>
        <v>4524</v>
      </c>
      <c r="M168" s="5" t="str">
        <f t="shared" si="2"/>
        <v>Low</v>
      </c>
      <c r="N168" s="5">
        <f t="array" ref="N168">IFERROR(INDEX(Bookings!$I:$I,MATCH(A168,Bookings!$A:$A,0)),"")</f>
        <v>32</v>
      </c>
      <c r="O168" s="5" t="str">
        <f t="shared" si="3"/>
        <v>Advance</v>
      </c>
      <c r="P168" s="5" t="str">
        <f t="shared" si="4"/>
        <v>Delhi -&gt; Chennai</v>
      </c>
    </row>
    <row r="169" ht="15.75" customHeight="1">
      <c r="A169" s="5" t="s">
        <v>780</v>
      </c>
      <c r="B169" s="5" t="s">
        <v>781</v>
      </c>
      <c r="C169" s="5" t="s">
        <v>174</v>
      </c>
      <c r="D169" s="5" t="s">
        <v>20</v>
      </c>
      <c r="E169" s="6" t="str">
        <f t="array" ref="E169">IFERROR(INDEX(Airlines!$B:$B,MATCH(D169,Airlines!$A:$A,0)),"")</f>
        <v>Vistara</v>
      </c>
      <c r="F169" s="6" t="str">
        <f>VLOOKUP(A169,Bookings!$A:$F,6,FALSE())</f>
        <v>Economy</v>
      </c>
      <c r="G169" s="6" t="str">
        <f t="array" ref="G169">IFERROR(INDEX(Flights!$E:$E,MATCH(B169,Flights!$A:$A,0)),"")</f>
        <v>Delhi</v>
      </c>
      <c r="H169" s="6" t="str">
        <f>VLOOKUP(B169,Flights!A:H,6,FALSE())</f>
        <v>Chennai</v>
      </c>
      <c r="I169" s="6" t="str">
        <f t="array" ref="I169">IFERROR(INDEX(Bookings!$G:$G,MATCH(B169,Bookings!$B:$B,0)),"")</f>
        <v>2+</v>
      </c>
      <c r="J169" s="5">
        <f>VLOOKUP(B169,Bookings!B:H,7,FALSE())</f>
        <v>23.75</v>
      </c>
      <c r="K169" s="5" t="str">
        <f t="shared" si="1"/>
        <v>Long</v>
      </c>
      <c r="L169" s="11">
        <f t="array" ref="L169">IFERROR(INDEX(Bookings!$K:$K,MATCH(A169,Bookings!$A:$A,0)),"")</f>
        <v>16212</v>
      </c>
      <c r="M169" s="5" t="str">
        <f t="shared" si="2"/>
        <v>High</v>
      </c>
      <c r="N169" s="5">
        <f t="array" ref="N169">IFERROR(INDEX(Bookings!$I:$I,MATCH(A169,Bookings!$A:$A,0)),"")</f>
        <v>4</v>
      </c>
      <c r="O169" s="5" t="str">
        <f t="shared" si="3"/>
        <v>Last Minute</v>
      </c>
      <c r="P169" s="5" t="str">
        <f t="shared" si="4"/>
        <v>Delhi -&gt; Chennai</v>
      </c>
    </row>
    <row r="170" ht="15.75" customHeight="1">
      <c r="A170" s="5" t="s">
        <v>783</v>
      </c>
      <c r="B170" s="5" t="s">
        <v>784</v>
      </c>
      <c r="C170" s="5" t="s">
        <v>174</v>
      </c>
      <c r="D170" s="5" t="s">
        <v>20</v>
      </c>
      <c r="E170" s="6" t="str">
        <f t="array" ref="E170">IFERROR(INDEX(Airlines!$B:$B,MATCH(D170,Airlines!$A:$A,0)),"")</f>
        <v>Vistara</v>
      </c>
      <c r="F170" s="6" t="str">
        <f>VLOOKUP(A170,Bookings!$A:$F,6,FALSE())</f>
        <v>Economy</v>
      </c>
      <c r="G170" s="6" t="str">
        <f t="array" ref="G170">IFERROR(INDEX(Flights!$E:$E,MATCH(B170,Flights!$A:$A,0)),"")</f>
        <v>Delhi</v>
      </c>
      <c r="H170" s="6" t="str">
        <f>VLOOKUP(B170,Flights!A:H,6,FALSE())</f>
        <v>Chennai</v>
      </c>
      <c r="I170" s="6" t="str">
        <f t="array" ref="I170">IFERROR(INDEX(Bookings!$G:$G,MATCH(B170,Bookings!$B:$B,0)),"")</f>
        <v>2+</v>
      </c>
      <c r="J170" s="5">
        <f>VLOOKUP(B170,Bookings!B:H,7,FALSE())</f>
        <v>13.42</v>
      </c>
      <c r="K170" s="5" t="str">
        <f t="shared" si="1"/>
        <v>Long</v>
      </c>
      <c r="L170" s="11">
        <f t="array" ref="L170">IFERROR(INDEX(Bookings!$K:$K,MATCH(A170,Bookings!$A:$A,0)),"")</f>
        <v>27270</v>
      </c>
      <c r="M170" s="5" t="str">
        <f t="shared" si="2"/>
        <v>High</v>
      </c>
      <c r="N170" s="5">
        <f t="array" ref="N170">IFERROR(INDEX(Bookings!$I:$I,MATCH(A170,Bookings!$A:$A,0)),"")</f>
        <v>4</v>
      </c>
      <c r="O170" s="5" t="str">
        <f t="shared" si="3"/>
        <v>Last Minute</v>
      </c>
      <c r="P170" s="5" t="str">
        <f t="shared" si="4"/>
        <v>Delhi -&gt; Chennai</v>
      </c>
    </row>
    <row r="171" ht="15.75" customHeight="1">
      <c r="A171" s="5" t="s">
        <v>785</v>
      </c>
      <c r="B171" s="5" t="s">
        <v>787</v>
      </c>
      <c r="C171" s="5" t="s">
        <v>174</v>
      </c>
      <c r="D171" s="5" t="s">
        <v>43</v>
      </c>
      <c r="E171" s="6" t="str">
        <f t="array" ref="E171">IFERROR(INDEX(Airlines!$B:$B,MATCH(D171,Airlines!$A:$A,0)),"")</f>
        <v>Indigo</v>
      </c>
      <c r="F171" s="6" t="str">
        <f>VLOOKUP(A171,Bookings!$A:$F,6,FALSE())</f>
        <v>Economy</v>
      </c>
      <c r="G171" s="6" t="str">
        <f t="array" ref="G171">IFERROR(INDEX(Flights!$E:$E,MATCH(B171,Flights!$A:$A,0)),"")</f>
        <v>Delhi</v>
      </c>
      <c r="H171" s="6" t="str">
        <f>VLOOKUP(B171,Flights!A:H,6,FALSE())</f>
        <v>Chennai</v>
      </c>
      <c r="I171" s="6" t="str">
        <f t="array" ref="I171">IFERROR(INDEX(Bookings!$G:$G,MATCH(B171,Bookings!$B:$B,0)),"")</f>
        <v>0</v>
      </c>
      <c r="J171" s="5">
        <f>VLOOKUP(B171,Bookings!B:H,7,FALSE())</f>
        <v>3</v>
      </c>
      <c r="K171" s="5" t="str">
        <f t="shared" si="1"/>
        <v>Short</v>
      </c>
      <c r="L171" s="11">
        <f t="array" ref="L171">IFERROR(INDEX(Bookings!$K:$K,MATCH(A171,Bookings!$A:$A,0)),"")</f>
        <v>2343</v>
      </c>
      <c r="M171" s="5" t="str">
        <f t="shared" si="2"/>
        <v>Low</v>
      </c>
      <c r="N171" s="5">
        <f t="array" ref="N171">IFERROR(INDEX(Bookings!$I:$I,MATCH(A171,Bookings!$A:$A,0)),"")</f>
        <v>24</v>
      </c>
      <c r="O171" s="5" t="str">
        <f t="shared" si="3"/>
        <v>Moderate</v>
      </c>
      <c r="P171" s="5" t="str">
        <f t="shared" si="4"/>
        <v>Delhi -&gt; Chennai</v>
      </c>
    </row>
    <row r="172" ht="15.75" customHeight="1">
      <c r="A172" s="5" t="s">
        <v>788</v>
      </c>
      <c r="B172" s="5" t="s">
        <v>789</v>
      </c>
      <c r="C172" s="5" t="s">
        <v>174</v>
      </c>
      <c r="D172" s="5" t="s">
        <v>20</v>
      </c>
      <c r="E172" s="6" t="str">
        <f t="array" ref="E172">IFERROR(INDEX(Airlines!$B:$B,MATCH(D172,Airlines!$A:$A,0)),"")</f>
        <v>Vistara</v>
      </c>
      <c r="F172" s="6" t="str">
        <f>VLOOKUP(A172,Bookings!$A:$F,6,FALSE())</f>
        <v>Economy</v>
      </c>
      <c r="G172" s="6" t="str">
        <f t="array" ref="G172">IFERROR(INDEX(Flights!$E:$E,MATCH(B172,Flights!$A:$A,0)),"")</f>
        <v>Delhi</v>
      </c>
      <c r="H172" s="6" t="str">
        <f>VLOOKUP(B172,Flights!A:H,6,FALSE())</f>
        <v>Chennai</v>
      </c>
      <c r="I172" s="6" t="str">
        <f t="array" ref="I172">IFERROR(INDEX(Bookings!$G:$G,MATCH(B172,Bookings!$B:$B,0)),"")</f>
        <v>1</v>
      </c>
      <c r="J172" s="5">
        <f>VLOOKUP(B172,Bookings!B:H,7,FALSE())</f>
        <v>6.33</v>
      </c>
      <c r="K172" s="5" t="str">
        <f t="shared" si="1"/>
        <v>Medium</v>
      </c>
      <c r="L172" s="11">
        <f t="array" ref="L172">IFERROR(INDEX(Bookings!$K:$K,MATCH(A172,Bookings!$A:$A,0)),"")</f>
        <v>4979</v>
      </c>
      <c r="M172" s="5" t="str">
        <f t="shared" si="2"/>
        <v>Medium</v>
      </c>
      <c r="N172" s="5">
        <f t="array" ref="N172">IFERROR(INDEX(Bookings!$I:$I,MATCH(A172,Bookings!$A:$A,0)),"")</f>
        <v>49</v>
      </c>
      <c r="O172" s="5" t="str">
        <f t="shared" si="3"/>
        <v>Advance</v>
      </c>
      <c r="P172" s="5" t="str">
        <f t="shared" si="4"/>
        <v>Delhi -&gt; Chennai</v>
      </c>
    </row>
    <row r="173" ht="15.75" customHeight="1">
      <c r="A173" s="5" t="s">
        <v>792</v>
      </c>
      <c r="B173" s="5" t="s">
        <v>793</v>
      </c>
      <c r="C173" s="5" t="s">
        <v>174</v>
      </c>
      <c r="D173" s="5" t="s">
        <v>20</v>
      </c>
      <c r="E173" s="6" t="str">
        <f t="array" ref="E173">IFERROR(INDEX(Airlines!$B:$B,MATCH(D173,Airlines!$A:$A,0)),"")</f>
        <v>Vistara</v>
      </c>
      <c r="F173" s="6" t="str">
        <f>VLOOKUP(A173,Bookings!$A:$F,6,FALSE())</f>
        <v>Economy</v>
      </c>
      <c r="G173" s="6" t="str">
        <f t="array" ref="G173">IFERROR(INDEX(Flights!$E:$E,MATCH(B173,Flights!$A:$A,0)),"")</f>
        <v>Delhi</v>
      </c>
      <c r="H173" s="6" t="str">
        <f>VLOOKUP(B173,Flights!A:H,6,FALSE())</f>
        <v>Chennai</v>
      </c>
      <c r="I173" s="6" t="str">
        <f t="array" ref="I173">IFERROR(INDEX(Bookings!$G:$G,MATCH(B173,Bookings!$B:$B,0)),"")</f>
        <v>2+</v>
      </c>
      <c r="J173" s="5">
        <f>VLOOKUP(B173,Bookings!B:H,7,FALSE())</f>
        <v>15</v>
      </c>
      <c r="K173" s="5" t="str">
        <f t="shared" si="1"/>
        <v>Long</v>
      </c>
      <c r="L173" s="11">
        <f t="array" ref="L173">IFERROR(INDEX(Bookings!$K:$K,MATCH(A173,Bookings!$A:$A,0)),"")</f>
        <v>8719</v>
      </c>
      <c r="M173" s="5" t="str">
        <f t="shared" si="2"/>
        <v>Medium</v>
      </c>
      <c r="N173" s="5">
        <f t="array" ref="N173">IFERROR(INDEX(Bookings!$I:$I,MATCH(A173,Bookings!$A:$A,0)),"")</f>
        <v>44</v>
      </c>
      <c r="O173" s="5" t="str">
        <f t="shared" si="3"/>
        <v>Advance</v>
      </c>
      <c r="P173" s="5" t="str">
        <f t="shared" si="4"/>
        <v>Delhi -&gt; Chennai</v>
      </c>
    </row>
    <row r="174" ht="15.75" customHeight="1">
      <c r="A174" s="5" t="s">
        <v>794</v>
      </c>
      <c r="B174" s="5" t="s">
        <v>795</v>
      </c>
      <c r="C174" s="5" t="s">
        <v>174</v>
      </c>
      <c r="D174" s="5" t="s">
        <v>72</v>
      </c>
      <c r="E174" s="6" t="str">
        <f t="array" ref="E174">IFERROR(INDEX(Airlines!$B:$B,MATCH(D174,Airlines!$A:$A,0)),"")</f>
        <v>Spicejet</v>
      </c>
      <c r="F174" s="6" t="str">
        <f>VLOOKUP(A174,Bookings!$A:$F,6,FALSE())</f>
        <v>Economy</v>
      </c>
      <c r="G174" s="6" t="str">
        <f t="array" ref="G174">IFERROR(INDEX(Flights!$E:$E,MATCH(B174,Flights!$A:$A,0)),"")</f>
        <v>Delhi</v>
      </c>
      <c r="H174" s="6" t="str">
        <f>VLOOKUP(B174,Flights!A:H,6,FALSE())</f>
        <v>Chennai</v>
      </c>
      <c r="I174" s="6" t="str">
        <f t="array" ref="I174">IFERROR(INDEX(Bookings!$G:$G,MATCH(B174,Bookings!$B:$B,0)),"")</f>
        <v>1</v>
      </c>
      <c r="J174" s="5">
        <f>VLOOKUP(B174,Bookings!B:H,7,FALSE())</f>
        <v>19.83</v>
      </c>
      <c r="K174" s="5" t="str">
        <f t="shared" si="1"/>
        <v>Long</v>
      </c>
      <c r="L174" s="11">
        <f t="array" ref="L174">IFERROR(INDEX(Bookings!$K:$K,MATCH(A174,Bookings!$A:$A,0)),"")</f>
        <v>4149</v>
      </c>
      <c r="M174" s="5" t="str">
        <f t="shared" si="2"/>
        <v>Low</v>
      </c>
      <c r="N174" s="5">
        <f t="array" ref="N174">IFERROR(INDEX(Bookings!$I:$I,MATCH(A174,Bookings!$A:$A,0)),"")</f>
        <v>23</v>
      </c>
      <c r="O174" s="5" t="str">
        <f t="shared" si="3"/>
        <v>Moderate</v>
      </c>
      <c r="P174" s="5" t="str">
        <f t="shared" si="4"/>
        <v>Delhi -&gt; Chennai</v>
      </c>
    </row>
    <row r="175" ht="15.75" customHeight="1">
      <c r="A175" s="5" t="s">
        <v>799</v>
      </c>
      <c r="B175" s="5" t="s">
        <v>800</v>
      </c>
      <c r="C175" s="5" t="s">
        <v>174</v>
      </c>
      <c r="D175" s="5" t="s">
        <v>43</v>
      </c>
      <c r="E175" s="6" t="str">
        <f t="array" ref="E175">IFERROR(INDEX(Airlines!$B:$B,MATCH(D175,Airlines!$A:$A,0)),"")</f>
        <v>Indigo</v>
      </c>
      <c r="F175" s="6" t="str">
        <f>VLOOKUP(A175,Bookings!$A:$F,6,FALSE())</f>
        <v>Economy</v>
      </c>
      <c r="G175" s="6" t="str">
        <f t="array" ref="G175">IFERROR(INDEX(Flights!$E:$E,MATCH(B175,Flights!$A:$A,0)),"")</f>
        <v>Delhi</v>
      </c>
      <c r="H175" s="6" t="str">
        <f>VLOOKUP(B175,Flights!A:H,6,FALSE())</f>
        <v>Chennai</v>
      </c>
      <c r="I175" s="6" t="str">
        <f t="array" ref="I175">IFERROR(INDEX(Bookings!$G:$G,MATCH(B175,Bookings!$B:$B,0)),"")</f>
        <v>1</v>
      </c>
      <c r="J175" s="5">
        <f>VLOOKUP(B175,Bookings!B:H,7,FALSE())</f>
        <v>11.92</v>
      </c>
      <c r="K175" s="5" t="str">
        <f t="shared" si="1"/>
        <v>Long</v>
      </c>
      <c r="L175" s="11">
        <f t="array" ref="L175">IFERROR(INDEX(Bookings!$K:$K,MATCH(A175,Bookings!$A:$A,0)),"")</f>
        <v>7950</v>
      </c>
      <c r="M175" s="5" t="str">
        <f t="shared" si="2"/>
        <v>Medium</v>
      </c>
      <c r="N175" s="5">
        <f t="array" ref="N175">IFERROR(INDEX(Bookings!$I:$I,MATCH(A175,Bookings!$A:$A,0)),"")</f>
        <v>12</v>
      </c>
      <c r="O175" s="5" t="str">
        <f t="shared" si="3"/>
        <v>Short Notice</v>
      </c>
      <c r="P175" s="5" t="str">
        <f t="shared" si="4"/>
        <v>Delhi -&gt; Chennai</v>
      </c>
    </row>
    <row r="176" ht="15.75" customHeight="1">
      <c r="A176" s="5" t="s">
        <v>802</v>
      </c>
      <c r="B176" s="5" t="s">
        <v>803</v>
      </c>
      <c r="C176" s="5" t="s">
        <v>174</v>
      </c>
      <c r="D176" s="5" t="s">
        <v>45</v>
      </c>
      <c r="E176" s="6" t="str">
        <f t="array" ref="E176">IFERROR(INDEX(Airlines!$B:$B,MATCH(D176,Airlines!$A:$A,0)),"")</f>
        <v>Air_India</v>
      </c>
      <c r="F176" s="6" t="str">
        <f>VLOOKUP(A176,Bookings!$A:$F,6,FALSE())</f>
        <v>Economy</v>
      </c>
      <c r="G176" s="6" t="str">
        <f t="array" ref="G176">IFERROR(INDEX(Flights!$E:$E,MATCH(B176,Flights!$A:$A,0)),"")</f>
        <v>Delhi</v>
      </c>
      <c r="H176" s="6" t="str">
        <f>VLOOKUP(B176,Flights!A:H,6,FALSE())</f>
        <v>Chennai</v>
      </c>
      <c r="I176" s="6" t="str">
        <f t="array" ref="I176">IFERROR(INDEX(Bookings!$G:$G,MATCH(B176,Bookings!$B:$B,0)),"")</f>
        <v>1</v>
      </c>
      <c r="J176" s="5">
        <f>VLOOKUP(B176,Bookings!B:H,7,FALSE())</f>
        <v>20.83</v>
      </c>
      <c r="K176" s="5" t="str">
        <f t="shared" si="1"/>
        <v>Long</v>
      </c>
      <c r="L176" s="11">
        <f t="array" ref="L176">IFERROR(INDEX(Bookings!$K:$K,MATCH(A176,Bookings!$A:$A,0)),"")</f>
        <v>4524</v>
      </c>
      <c r="M176" s="5" t="str">
        <f t="shared" si="2"/>
        <v>Low</v>
      </c>
      <c r="N176" s="5">
        <f t="array" ref="N176">IFERROR(INDEX(Bookings!$I:$I,MATCH(A176,Bookings!$A:$A,0)),"")</f>
        <v>46</v>
      </c>
      <c r="O176" s="5" t="str">
        <f t="shared" si="3"/>
        <v>Advance</v>
      </c>
      <c r="P176" s="5" t="str">
        <f t="shared" si="4"/>
        <v>Delhi -&gt; Chennai</v>
      </c>
    </row>
    <row r="177" ht="15.75" customHeight="1">
      <c r="A177" s="5" t="s">
        <v>804</v>
      </c>
      <c r="B177" s="5" t="s">
        <v>805</v>
      </c>
      <c r="C177" s="5" t="s">
        <v>174</v>
      </c>
      <c r="D177" s="5" t="s">
        <v>58</v>
      </c>
      <c r="E177" s="6" t="str">
        <f t="array" ref="E177">IFERROR(INDEX(Airlines!$B:$B,MATCH(D177,Airlines!$A:$A,0)),"")</f>
        <v>Go_First</v>
      </c>
      <c r="F177" s="6" t="str">
        <f>VLOOKUP(A177,Bookings!$A:$F,6,FALSE())</f>
        <v>Economy</v>
      </c>
      <c r="G177" s="6" t="str">
        <f t="array" ref="G177">IFERROR(INDEX(Flights!$E:$E,MATCH(B177,Flights!$A:$A,0)),"")</f>
        <v>Delhi</v>
      </c>
      <c r="H177" s="6" t="str">
        <f>VLOOKUP(B177,Flights!A:H,6,FALSE())</f>
        <v>Chennai</v>
      </c>
      <c r="I177" s="6">
        <f t="array" ref="I177">IFERROR(INDEX(Bookings!$G:$G,MATCH(B177,Bookings!$B:$B,0)),"")</f>
        <v>1</v>
      </c>
      <c r="J177" s="5">
        <f>VLOOKUP(B177,Bookings!B:H,7,FALSE())</f>
        <v>15.33</v>
      </c>
      <c r="K177" s="5" t="str">
        <f t="shared" si="1"/>
        <v>Long</v>
      </c>
      <c r="L177" s="11">
        <f t="array" ref="L177">IFERROR(INDEX(Bookings!$K:$K,MATCH(A177,Bookings!$A:$A,0)),"")</f>
        <v>4896</v>
      </c>
      <c r="M177" s="5" t="str">
        <f t="shared" si="2"/>
        <v>Medium</v>
      </c>
      <c r="N177" s="5">
        <f t="array" ref="N177">IFERROR(INDEX(Bookings!$I:$I,MATCH(A177,Bookings!$A:$A,0)),"")</f>
        <v>26</v>
      </c>
      <c r="O177" s="5" t="str">
        <f t="shared" si="3"/>
        <v>Moderate</v>
      </c>
      <c r="P177" s="5" t="str">
        <f t="shared" si="4"/>
        <v>Delhi -&gt; Chennai</v>
      </c>
    </row>
    <row r="178" ht="15.75" customHeight="1">
      <c r="A178" s="5" t="s">
        <v>807</v>
      </c>
      <c r="B178" s="5" t="s">
        <v>808</v>
      </c>
      <c r="C178" s="5" t="s">
        <v>174</v>
      </c>
      <c r="D178" s="5" t="s">
        <v>29</v>
      </c>
      <c r="E178" s="6" t="str">
        <f t="array" ref="E178">IFERROR(INDEX(Airlines!$B:$B,MATCH(D178,Airlines!$A:$A,0)),"")</f>
        <v>AirAsia</v>
      </c>
      <c r="F178" s="6" t="str">
        <f>VLOOKUP(A178,Bookings!$A:$F,6,FALSE())</f>
        <v>Economy</v>
      </c>
      <c r="G178" s="6" t="str">
        <f t="array" ref="G178">IFERROR(INDEX(Flights!$E:$E,MATCH(B178,Flights!$A:$A,0)),"")</f>
        <v>Delhi</v>
      </c>
      <c r="H178" s="6" t="str">
        <f>VLOOKUP(B178,Flights!A:H,6,FALSE())</f>
        <v>Chennai</v>
      </c>
      <c r="I178" s="6">
        <f t="array" ref="I178">IFERROR(INDEX(Bookings!$G:$G,MATCH(B178,Bookings!$B:$B,0)),"")</f>
        <v>1</v>
      </c>
      <c r="J178" s="5">
        <f>VLOOKUP(B178,Bookings!B:H,7,FALSE())</f>
        <v>5.75</v>
      </c>
      <c r="K178" s="5" t="str">
        <f t="shared" si="1"/>
        <v>Medium</v>
      </c>
      <c r="L178" s="11">
        <f t="array" ref="L178">IFERROR(INDEX(Bookings!$K:$K,MATCH(A178,Bookings!$A:$A,0)),"")</f>
        <v>7426</v>
      </c>
      <c r="M178" s="5" t="str">
        <f t="shared" si="2"/>
        <v>Medium</v>
      </c>
      <c r="N178" s="5">
        <f t="array" ref="N178">IFERROR(INDEX(Bookings!$I:$I,MATCH(A178,Bookings!$A:$A,0)),"")</f>
        <v>12</v>
      </c>
      <c r="O178" s="5" t="str">
        <f t="shared" si="3"/>
        <v>Short Notice</v>
      </c>
      <c r="P178" s="5" t="str">
        <f t="shared" si="4"/>
        <v>Delhi -&gt; Chennai</v>
      </c>
    </row>
    <row r="179" ht="15.75" customHeight="1">
      <c r="A179" s="5" t="s">
        <v>810</v>
      </c>
      <c r="B179" s="5" t="s">
        <v>811</v>
      </c>
      <c r="C179" s="5" t="s">
        <v>174</v>
      </c>
      <c r="D179" s="5" t="s">
        <v>29</v>
      </c>
      <c r="E179" s="6" t="str">
        <f t="array" ref="E179">IFERROR(INDEX(Airlines!$B:$B,MATCH(D179,Airlines!$A:$A,0)),"")</f>
        <v>AirAsia</v>
      </c>
      <c r="F179" s="6" t="str">
        <f>VLOOKUP(A179,Bookings!$A:$F,6,FALSE())</f>
        <v>Economy</v>
      </c>
      <c r="G179" s="6" t="str">
        <f t="array" ref="G179">IFERROR(INDEX(Flights!$E:$E,MATCH(B179,Flights!$A:$A,0)),"")</f>
        <v>Delhi</v>
      </c>
      <c r="H179" s="6" t="str">
        <f>VLOOKUP(B179,Flights!A:H,6,FALSE())</f>
        <v>Chennai</v>
      </c>
      <c r="I179" s="6" t="str">
        <f t="array" ref="I179">IFERROR(INDEX(Bookings!$G:$G,MATCH(B179,Bookings!$B:$B,0)),"")</f>
        <v>2+</v>
      </c>
      <c r="J179" s="5">
        <f>VLOOKUP(B179,Bookings!B:H,7,FALSE())</f>
        <v>6.42</v>
      </c>
      <c r="K179" s="5" t="str">
        <f t="shared" si="1"/>
        <v>Medium</v>
      </c>
      <c r="L179" s="11">
        <f t="array" ref="L179">IFERROR(INDEX(Bookings!$K:$K,MATCH(A179,Bookings!$A:$A,0)),"")</f>
        <v>4508</v>
      </c>
      <c r="M179" s="5" t="str">
        <f t="shared" si="2"/>
        <v>Low</v>
      </c>
      <c r="N179" s="5">
        <f t="array" ref="N179">IFERROR(INDEX(Bookings!$I:$I,MATCH(A179,Bookings!$A:$A,0)),"")</f>
        <v>16</v>
      </c>
      <c r="O179" s="5" t="str">
        <f t="shared" si="3"/>
        <v>Moderate</v>
      </c>
      <c r="P179" s="5" t="str">
        <f t="shared" si="4"/>
        <v>Delhi -&gt; Chennai</v>
      </c>
    </row>
    <row r="180" ht="15.75" customHeight="1">
      <c r="A180" s="5" t="s">
        <v>812</v>
      </c>
      <c r="B180" s="5" t="s">
        <v>813</v>
      </c>
      <c r="C180" s="5" t="s">
        <v>174</v>
      </c>
      <c r="D180" s="5" t="s">
        <v>43</v>
      </c>
      <c r="E180" s="6" t="str">
        <f t="array" ref="E180">IFERROR(INDEX(Airlines!$B:$B,MATCH(D180,Airlines!$A:$A,0)),"")</f>
        <v>Indigo</v>
      </c>
      <c r="F180" s="6" t="str">
        <f>VLOOKUP(A180,Bookings!$A:$F,6,FALSE())</f>
        <v>Economy</v>
      </c>
      <c r="G180" s="6" t="str">
        <f t="array" ref="G180">IFERROR(INDEX(Flights!$E:$E,MATCH(B180,Flights!$A:$A,0)),"")</f>
        <v>Delhi</v>
      </c>
      <c r="H180" s="6" t="str">
        <f>VLOOKUP(B180,Flights!A:H,6,FALSE())</f>
        <v>Chennai</v>
      </c>
      <c r="I180" s="6" t="str">
        <f t="array" ref="I180">IFERROR(INDEX(Bookings!$G:$G,MATCH(B180,Bookings!$B:$B,0)),"")</f>
        <v>1</v>
      </c>
      <c r="J180" s="5">
        <f>VLOOKUP(B180,Bookings!B:H,7,FALSE())</f>
        <v>8</v>
      </c>
      <c r="K180" s="5" t="str">
        <f t="shared" si="1"/>
        <v>Medium</v>
      </c>
      <c r="L180" s="11">
        <f t="array" ref="L180">IFERROR(INDEX(Bookings!$K:$K,MATCH(A180,Bookings!$A:$A,0)),"")</f>
        <v>3266</v>
      </c>
      <c r="M180" s="5" t="str">
        <f t="shared" si="2"/>
        <v>Low</v>
      </c>
      <c r="N180" s="5">
        <f t="array" ref="N180">IFERROR(INDEX(Bookings!$I:$I,MATCH(A180,Bookings!$A:$A,0)),"")</f>
        <v>27</v>
      </c>
      <c r="O180" s="5" t="str">
        <f t="shared" si="3"/>
        <v>Moderate</v>
      </c>
      <c r="P180" s="5" t="str">
        <f t="shared" si="4"/>
        <v>Delhi -&gt; Chennai</v>
      </c>
    </row>
    <row r="181" ht="15.75" customHeight="1">
      <c r="A181" s="5" t="s">
        <v>815</v>
      </c>
      <c r="B181" s="5" t="s">
        <v>816</v>
      </c>
      <c r="C181" s="5" t="s">
        <v>174</v>
      </c>
      <c r="D181" s="5" t="s">
        <v>20</v>
      </c>
      <c r="E181" s="6" t="str">
        <f t="array" ref="E181">IFERROR(INDEX(Airlines!$B:$B,MATCH(D181,Airlines!$A:$A,0)),"")</f>
        <v>Vistara</v>
      </c>
      <c r="F181" s="6" t="str">
        <f>VLOOKUP(A181,Bookings!$A:$F,6,FALSE())</f>
        <v>Business</v>
      </c>
      <c r="G181" s="6" t="str">
        <f t="array" ref="G181">IFERROR(INDEX(Flights!$E:$E,MATCH(B181,Flights!$A:$A,0)),"")</f>
        <v>Delhi</v>
      </c>
      <c r="H181" s="6" t="str">
        <f>VLOOKUP(B181,Flights!A:H,6,FALSE())</f>
        <v>Chennai</v>
      </c>
      <c r="I181" s="6" t="str">
        <f t="array" ref="I181">IFERROR(INDEX(Bookings!$G:$G,MATCH(B181,Bookings!$B:$B,0)),"")</f>
        <v>1</v>
      </c>
      <c r="J181" s="5">
        <f>VLOOKUP(B181,Bookings!B:H,7,FALSE())</f>
        <v>22.25</v>
      </c>
      <c r="K181" s="5" t="str">
        <f t="shared" si="1"/>
        <v>Long</v>
      </c>
      <c r="L181" s="11">
        <f t="array" ref="L181">IFERROR(INDEX(Bookings!$K:$K,MATCH(A181,Bookings!$A:$A,0)),"")</f>
        <v>57992</v>
      </c>
      <c r="M181" s="5" t="str">
        <f t="shared" si="2"/>
        <v>High</v>
      </c>
      <c r="N181" s="5">
        <f t="array" ref="N181">IFERROR(INDEX(Bookings!$I:$I,MATCH(A181,Bookings!$A:$A,0)),"")</f>
        <v>33</v>
      </c>
      <c r="O181" s="5" t="str">
        <f t="shared" si="3"/>
        <v>Advance</v>
      </c>
      <c r="P181" s="5" t="str">
        <f t="shared" si="4"/>
        <v>Delhi -&gt; Chennai</v>
      </c>
    </row>
    <row r="182" ht="15.75" customHeight="1">
      <c r="A182" s="5" t="s">
        <v>818</v>
      </c>
      <c r="B182" s="5" t="s">
        <v>819</v>
      </c>
      <c r="C182" s="5" t="s">
        <v>174</v>
      </c>
      <c r="D182" s="5" t="s">
        <v>20</v>
      </c>
      <c r="E182" s="6" t="str">
        <f t="array" ref="E182">IFERROR(INDEX(Airlines!$B:$B,MATCH(D182,Airlines!$A:$A,0)),"")</f>
        <v>Vistara</v>
      </c>
      <c r="F182" s="6" t="str">
        <f>VLOOKUP(A182,Bookings!$A:$F,6,FALSE())</f>
        <v>Economy</v>
      </c>
      <c r="G182" s="6" t="str">
        <f t="array" ref="G182">IFERROR(INDEX(Flights!$E:$E,MATCH(B182,Flights!$A:$A,0)),"")</f>
        <v>Delhi</v>
      </c>
      <c r="H182" s="6" t="str">
        <f>VLOOKUP(B182,Flights!A:H,6,FALSE())</f>
        <v>Chennai</v>
      </c>
      <c r="I182" s="6" t="str">
        <f t="array" ref="I182">IFERROR(INDEX(Bookings!$G:$G,MATCH(B182,Bookings!$B:$B,0)),"")</f>
        <v>2+</v>
      </c>
      <c r="J182" s="5">
        <f>VLOOKUP(B182,Bookings!B:H,7,FALSE())</f>
        <v>28.42</v>
      </c>
      <c r="K182" s="5" t="str">
        <f t="shared" si="1"/>
        <v>Long</v>
      </c>
      <c r="L182" s="11">
        <f t="array" ref="L182">IFERROR(INDEX(Bookings!$K:$K,MATCH(A182,Bookings!$A:$A,0)),"")</f>
        <v>7879</v>
      </c>
      <c r="M182" s="5" t="str">
        <f t="shared" si="2"/>
        <v>Medium</v>
      </c>
      <c r="N182" s="5">
        <f t="array" ref="N182">IFERROR(INDEX(Bookings!$I:$I,MATCH(A182,Bookings!$A:$A,0)),"")</f>
        <v>40</v>
      </c>
      <c r="O182" s="5" t="str">
        <f t="shared" si="3"/>
        <v>Advance</v>
      </c>
      <c r="P182" s="5" t="str">
        <f t="shared" si="4"/>
        <v>Delhi -&gt; Chennai</v>
      </c>
    </row>
    <row r="183" ht="15.75" customHeight="1">
      <c r="A183" s="5" t="s">
        <v>820</v>
      </c>
      <c r="B183" s="5" t="s">
        <v>821</v>
      </c>
      <c r="C183" s="5" t="s">
        <v>174</v>
      </c>
      <c r="D183" s="5" t="s">
        <v>45</v>
      </c>
      <c r="E183" s="6" t="str">
        <f t="array" ref="E183">IFERROR(INDEX(Airlines!$B:$B,MATCH(D183,Airlines!$A:$A,0)),"")</f>
        <v>Air_India</v>
      </c>
      <c r="F183" s="6" t="str">
        <f>VLOOKUP(A183,Bookings!$A:$F,6,FALSE())</f>
        <v>Business</v>
      </c>
      <c r="G183" s="6" t="str">
        <f t="array" ref="G183">IFERROR(INDEX(Flights!$E:$E,MATCH(B183,Flights!$A:$A,0)),"")</f>
        <v>Delhi</v>
      </c>
      <c r="H183" s="6" t="str">
        <f>VLOOKUP(B183,Flights!A:H,6,FALSE())</f>
        <v>Chennai</v>
      </c>
      <c r="I183" s="6" t="str">
        <f t="array" ref="I183">IFERROR(INDEX(Bookings!$G:$G,MATCH(B183,Bookings!$B:$B,0)),"")</f>
        <v>1</v>
      </c>
      <c r="J183" s="5">
        <f>VLOOKUP(B183,Bookings!B:H,7,FALSE())</f>
        <v>23.25</v>
      </c>
      <c r="K183" s="5" t="str">
        <f t="shared" si="1"/>
        <v>Long</v>
      </c>
      <c r="L183" s="11">
        <f t="array" ref="L183">IFERROR(INDEX(Bookings!$K:$K,MATCH(A183,Bookings!$A:$A,0)),"")</f>
        <v>45257</v>
      </c>
      <c r="M183" s="5" t="str">
        <f t="shared" si="2"/>
        <v>High</v>
      </c>
      <c r="N183" s="5">
        <f t="array" ref="N183">IFERROR(INDEX(Bookings!$I:$I,MATCH(A183,Bookings!$A:$A,0)),"")</f>
        <v>48</v>
      </c>
      <c r="O183" s="5" t="str">
        <f t="shared" si="3"/>
        <v>Advance</v>
      </c>
      <c r="P183" s="5" t="str">
        <f t="shared" si="4"/>
        <v>Delhi -&gt; Chennai</v>
      </c>
    </row>
    <row r="184" ht="15.75" customHeight="1">
      <c r="A184" s="5" t="s">
        <v>822</v>
      </c>
      <c r="B184" s="5" t="s">
        <v>823</v>
      </c>
      <c r="C184" s="5" t="s">
        <v>174</v>
      </c>
      <c r="D184" s="5" t="s">
        <v>45</v>
      </c>
      <c r="E184" s="6" t="str">
        <f t="array" ref="E184">IFERROR(INDEX(Airlines!$B:$B,MATCH(D184,Airlines!$A:$A,0)),"")</f>
        <v>Air_India</v>
      </c>
      <c r="F184" s="6" t="str">
        <f>VLOOKUP(A184,Bookings!$A:$F,6,FALSE())</f>
        <v>Business</v>
      </c>
      <c r="G184" s="6" t="str">
        <f t="array" ref="G184">IFERROR(INDEX(Flights!$E:$E,MATCH(B184,Flights!$A:$A,0)),"")</f>
        <v>Delhi</v>
      </c>
      <c r="H184" s="6" t="str">
        <f>VLOOKUP(B184,Flights!A:H,6,FALSE())</f>
        <v>Chennai</v>
      </c>
      <c r="I184" s="6" t="str">
        <f t="array" ref="I184">IFERROR(INDEX(Bookings!$G:$G,MATCH(B184,Bookings!$B:$B,0)),"")</f>
        <v>2+</v>
      </c>
      <c r="J184" s="5">
        <f>VLOOKUP(B184,Bookings!B:H,7,FALSE())</f>
        <v>12.92</v>
      </c>
      <c r="K184" s="5" t="str">
        <f t="shared" si="1"/>
        <v>Long</v>
      </c>
      <c r="L184" s="11">
        <f t="array" ref="L184">IFERROR(INDEX(Bookings!$K:$K,MATCH(A184,Bookings!$A:$A,0)),"")</f>
        <v>70323</v>
      </c>
      <c r="M184" s="5" t="str">
        <f t="shared" si="2"/>
        <v>High</v>
      </c>
      <c r="N184" s="5">
        <f t="array" ref="N184">IFERROR(INDEX(Bookings!$I:$I,MATCH(A184,Bookings!$A:$A,0)),"")</f>
        <v>48</v>
      </c>
      <c r="O184" s="5" t="str">
        <f t="shared" si="3"/>
        <v>Advance</v>
      </c>
      <c r="P184" s="5" t="str">
        <f t="shared" si="4"/>
        <v>Delhi -&gt; Chennai</v>
      </c>
    </row>
    <row r="185" ht="15.75" customHeight="1">
      <c r="A185" s="5" t="s">
        <v>824</v>
      </c>
      <c r="B185" s="5" t="s">
        <v>825</v>
      </c>
      <c r="C185" s="5" t="s">
        <v>174</v>
      </c>
      <c r="D185" s="5" t="s">
        <v>29</v>
      </c>
      <c r="E185" s="6" t="str">
        <f t="array" ref="E185">IFERROR(INDEX(Airlines!$B:$B,MATCH(D185,Airlines!$A:$A,0)),"")</f>
        <v>AirAsia</v>
      </c>
      <c r="F185" s="6" t="str">
        <f>VLOOKUP(A185,Bookings!$A:$F,6,FALSE())</f>
        <v>Economy</v>
      </c>
      <c r="G185" s="6" t="str">
        <f t="array" ref="G185">IFERROR(INDEX(Flights!$E:$E,MATCH(B185,Flights!$A:$A,0)),"")</f>
        <v>Delhi</v>
      </c>
      <c r="H185" s="6" t="str">
        <f>VLOOKUP(B185,Flights!A:H,6,FALSE())</f>
        <v>Chennai</v>
      </c>
      <c r="I185" s="6" t="str">
        <f t="array" ref="I185">IFERROR(INDEX(Bookings!$G:$G,MATCH(B185,Bookings!$B:$B,0)),"")</f>
        <v>1</v>
      </c>
      <c r="J185" s="5">
        <f>VLOOKUP(B185,Bookings!B:H,7,FALSE())</f>
        <v>8.5</v>
      </c>
      <c r="K185" s="5" t="str">
        <f t="shared" si="1"/>
        <v>Medium</v>
      </c>
      <c r="L185" s="11">
        <f t="array" ref="L185">IFERROR(INDEX(Bookings!$K:$K,MATCH(A185,Bookings!$A:$A,0)),"")</f>
        <v>1998</v>
      </c>
      <c r="M185" s="5" t="str">
        <f t="shared" si="2"/>
        <v>Low</v>
      </c>
      <c r="N185" s="5">
        <f t="array" ref="N185">IFERROR(INDEX(Bookings!$I:$I,MATCH(A185,Bookings!$A:$A,0)),"")</f>
        <v>46</v>
      </c>
      <c r="O185" s="5" t="str">
        <f t="shared" si="3"/>
        <v>Advance</v>
      </c>
      <c r="P185" s="5" t="str">
        <f t="shared" si="4"/>
        <v>Delhi -&gt; Chennai</v>
      </c>
    </row>
    <row r="186" ht="15.75" customHeight="1">
      <c r="A186" s="5" t="s">
        <v>826</v>
      </c>
      <c r="B186" s="5" t="s">
        <v>827</v>
      </c>
      <c r="C186" s="5" t="s">
        <v>174</v>
      </c>
      <c r="D186" s="5" t="s">
        <v>43</v>
      </c>
      <c r="E186" s="6" t="str">
        <f t="array" ref="E186">IFERROR(INDEX(Airlines!$B:$B,MATCH(D186,Airlines!$A:$A,0)),"")</f>
        <v>Indigo</v>
      </c>
      <c r="F186" s="6" t="str">
        <f>VLOOKUP(A186,Bookings!$A:$F,6,FALSE())</f>
        <v>Economy</v>
      </c>
      <c r="G186" s="6" t="str">
        <f t="array" ref="G186">IFERROR(INDEX(Flights!$E:$E,MATCH(B186,Flights!$A:$A,0)),"")</f>
        <v>Delhi</v>
      </c>
      <c r="H186" s="6" t="str">
        <f>VLOOKUP(B186,Flights!A:H,6,FALSE())</f>
        <v>Chennai</v>
      </c>
      <c r="I186" s="6" t="str">
        <f t="array" ref="I186">IFERROR(INDEX(Bookings!$G:$G,MATCH(B186,Bookings!$B:$B,0)),"")</f>
        <v>0</v>
      </c>
      <c r="J186" s="5">
        <f>VLOOKUP(B186,Bookings!B:H,7,FALSE())</f>
        <v>2.92</v>
      </c>
      <c r="K186" s="5" t="str">
        <f t="shared" si="1"/>
        <v>Short</v>
      </c>
      <c r="L186" s="11">
        <f t="array" ref="L186">IFERROR(INDEX(Bookings!$K:$K,MATCH(A186,Bookings!$A:$A,0)),"")</f>
        <v>2823</v>
      </c>
      <c r="M186" s="5" t="str">
        <f t="shared" si="2"/>
        <v>Low</v>
      </c>
      <c r="N186" s="5">
        <f t="array" ref="N186">IFERROR(INDEX(Bookings!$I:$I,MATCH(A186,Bookings!$A:$A,0)),"")</f>
        <v>46</v>
      </c>
      <c r="O186" s="5" t="str">
        <f t="shared" si="3"/>
        <v>Advance</v>
      </c>
      <c r="P186" s="5" t="str">
        <f t="shared" si="4"/>
        <v>Delhi -&gt; Chennai</v>
      </c>
    </row>
    <row r="187" ht="15.75" customHeight="1">
      <c r="A187" s="5" t="s">
        <v>828</v>
      </c>
      <c r="B187" s="5" t="s">
        <v>830</v>
      </c>
      <c r="C187" s="5" t="s">
        <v>174</v>
      </c>
      <c r="D187" s="5" t="s">
        <v>43</v>
      </c>
      <c r="E187" s="6" t="str">
        <f t="array" ref="E187">IFERROR(INDEX(Airlines!$B:$B,MATCH(D187,Airlines!$A:$A,0)),"")</f>
        <v>Indigo</v>
      </c>
      <c r="F187" s="6" t="str">
        <f>VLOOKUP(A187,Bookings!$A:$F,6,FALSE())</f>
        <v>Economy</v>
      </c>
      <c r="G187" s="6" t="str">
        <f t="array" ref="G187">IFERROR(INDEX(Flights!$E:$E,MATCH(B187,Flights!$A:$A,0)),"")</f>
        <v>Delhi</v>
      </c>
      <c r="H187" s="6" t="str">
        <f>VLOOKUP(B187,Flights!A:H,6,FALSE())</f>
        <v>Chennai</v>
      </c>
      <c r="I187" s="6" t="str">
        <f t="array" ref="I187">IFERROR(INDEX(Bookings!$G:$G,MATCH(B187,Bookings!$B:$B,0)),"")</f>
        <v>1</v>
      </c>
      <c r="J187" s="5">
        <f>VLOOKUP(B187,Bookings!B:H,7,FALSE())</f>
        <v>8.42</v>
      </c>
      <c r="K187" s="5" t="str">
        <f t="shared" si="1"/>
        <v>Medium</v>
      </c>
      <c r="L187" s="11">
        <f t="array" ref="L187">IFERROR(INDEX(Bookings!$K:$K,MATCH(A187,Bookings!$A:$A,0)),"")</f>
        <v>3389</v>
      </c>
      <c r="M187" s="5" t="str">
        <f t="shared" si="2"/>
        <v>Low</v>
      </c>
      <c r="N187" s="5">
        <f t="array" ref="N187">IFERROR(INDEX(Bookings!$I:$I,MATCH(A187,Bookings!$A:$A,0)),"")</f>
        <v>46</v>
      </c>
      <c r="O187" s="5" t="str">
        <f t="shared" si="3"/>
        <v>Advance</v>
      </c>
      <c r="P187" s="5" t="str">
        <f t="shared" si="4"/>
        <v>Delhi -&gt; Chennai</v>
      </c>
    </row>
    <row r="188" ht="15.75" customHeight="1">
      <c r="A188" s="5" t="s">
        <v>832</v>
      </c>
      <c r="B188" s="5" t="s">
        <v>833</v>
      </c>
      <c r="C188" s="5" t="s">
        <v>174</v>
      </c>
      <c r="D188" s="5" t="s">
        <v>45</v>
      </c>
      <c r="E188" s="6" t="str">
        <f t="array" ref="E188">IFERROR(INDEX(Airlines!$B:$B,MATCH(D188,Airlines!$A:$A,0)),"")</f>
        <v>Air_India</v>
      </c>
      <c r="F188" s="6" t="str">
        <f>VLOOKUP(A188,Bookings!$A:$F,6,FALSE())</f>
        <v>Business</v>
      </c>
      <c r="G188" s="6" t="str">
        <f t="array" ref="G188">IFERROR(INDEX(Flights!$E:$E,MATCH(B188,Flights!$A:$A,0)),"")</f>
        <v>Delhi</v>
      </c>
      <c r="H188" s="6" t="str">
        <f>VLOOKUP(B188,Flights!A:H,6,FALSE())</f>
        <v>Chennai</v>
      </c>
      <c r="I188" s="6" t="str">
        <f t="array" ref="I188">IFERROR(INDEX(Bookings!$G:$G,MATCH(B188,Bookings!$B:$B,0)),"")</f>
        <v>1</v>
      </c>
      <c r="J188" s="5">
        <f>VLOOKUP(B188,Bookings!B:H,7,FALSE())</f>
        <v>16.17</v>
      </c>
      <c r="K188" s="5" t="str">
        <f t="shared" si="1"/>
        <v>Long</v>
      </c>
      <c r="L188" s="11">
        <f t="array" ref="L188">IFERROR(INDEX(Bookings!$K:$K,MATCH(A188,Bookings!$A:$A,0)),"")</f>
        <v>45257</v>
      </c>
      <c r="M188" s="5" t="str">
        <f t="shared" si="2"/>
        <v>High</v>
      </c>
      <c r="N188" s="5">
        <f t="array" ref="N188">IFERROR(INDEX(Bookings!$I:$I,MATCH(A188,Bookings!$A:$A,0)),"")</f>
        <v>48</v>
      </c>
      <c r="O188" s="5" t="str">
        <f t="shared" si="3"/>
        <v>Advance</v>
      </c>
      <c r="P188" s="5" t="str">
        <f t="shared" si="4"/>
        <v>Delhi -&gt; Chennai</v>
      </c>
    </row>
    <row r="189" ht="15.75" customHeight="1">
      <c r="A189" s="5" t="s">
        <v>835</v>
      </c>
      <c r="B189" s="5" t="s">
        <v>836</v>
      </c>
      <c r="C189" s="5" t="s">
        <v>174</v>
      </c>
      <c r="D189" s="5" t="s">
        <v>43</v>
      </c>
      <c r="E189" s="6" t="str">
        <f t="array" ref="E189">IFERROR(INDEX(Airlines!$B:$B,MATCH(D189,Airlines!$A:$A,0)),"")</f>
        <v>Indigo</v>
      </c>
      <c r="F189" s="6" t="str">
        <f>VLOOKUP(A189,Bookings!$A:$F,6,FALSE())</f>
        <v>Economy</v>
      </c>
      <c r="G189" s="6" t="str">
        <f t="array" ref="G189">IFERROR(INDEX(Flights!$E:$E,MATCH(B189,Flights!$A:$A,0)),"")</f>
        <v>Delhi</v>
      </c>
      <c r="H189" s="6" t="str">
        <f>VLOOKUP(B189,Flights!A:H,6,FALSE())</f>
        <v>Chennai</v>
      </c>
      <c r="I189" s="6" t="str">
        <f t="array" ref="I189">IFERROR(INDEX(Bookings!$G:$G,MATCH(B189,Bookings!$B:$B,0)),"")</f>
        <v>1</v>
      </c>
      <c r="J189" s="5">
        <f>VLOOKUP(B189,Bookings!B:H,7,FALSE())</f>
        <v>10.08</v>
      </c>
      <c r="K189" s="5" t="str">
        <f t="shared" si="1"/>
        <v>Long</v>
      </c>
      <c r="L189" s="11">
        <f t="array" ref="L189">IFERROR(INDEX(Bookings!$K:$K,MATCH(A189,Bookings!$A:$A,0)),"")</f>
        <v>3389</v>
      </c>
      <c r="M189" s="5" t="str">
        <f t="shared" si="2"/>
        <v>Low</v>
      </c>
      <c r="N189" s="5">
        <f t="array" ref="N189">IFERROR(INDEX(Bookings!$I:$I,MATCH(A189,Bookings!$A:$A,0)),"")</f>
        <v>46</v>
      </c>
      <c r="O189" s="5" t="str">
        <f t="shared" si="3"/>
        <v>Advance</v>
      </c>
      <c r="P189" s="5" t="str">
        <f t="shared" si="4"/>
        <v>Delhi -&gt; Chennai</v>
      </c>
    </row>
    <row r="190" ht="15.75" customHeight="1">
      <c r="A190" s="5" t="s">
        <v>838</v>
      </c>
      <c r="B190" s="5" t="s">
        <v>839</v>
      </c>
      <c r="C190" s="5" t="s">
        <v>174</v>
      </c>
      <c r="D190" s="5" t="s">
        <v>45</v>
      </c>
      <c r="E190" s="6" t="str">
        <f t="array" ref="E190">IFERROR(INDEX(Airlines!$B:$B,MATCH(D190,Airlines!$A:$A,0)),"")</f>
        <v>Air_India</v>
      </c>
      <c r="F190" s="6" t="str">
        <f>VLOOKUP(A190,Bookings!$A:$F,6,FALSE())</f>
        <v>Business</v>
      </c>
      <c r="G190" s="6" t="str">
        <f t="array" ref="G190">IFERROR(INDEX(Flights!$E:$E,MATCH(B190,Flights!$A:$A,0)),"")</f>
        <v>Delhi</v>
      </c>
      <c r="H190" s="6" t="str">
        <f>VLOOKUP(B190,Flights!A:H,6,FALSE())</f>
        <v>Chennai</v>
      </c>
      <c r="I190" s="6" t="str">
        <f t="array" ref="I190">IFERROR(INDEX(Bookings!$G:$G,MATCH(B190,Bookings!$B:$B,0)),"")</f>
        <v>1</v>
      </c>
      <c r="J190" s="5">
        <f>VLOOKUP(B190,Bookings!B:H,7,FALSE())</f>
        <v>27.92</v>
      </c>
      <c r="K190" s="5" t="str">
        <f t="shared" si="1"/>
        <v>Long</v>
      </c>
      <c r="L190" s="11">
        <f t="array" ref="L190">IFERROR(INDEX(Bookings!$K:$K,MATCH(A190,Bookings!$A:$A,0)),"")</f>
        <v>54003</v>
      </c>
      <c r="M190" s="5" t="str">
        <f t="shared" si="2"/>
        <v>High</v>
      </c>
      <c r="N190" s="5">
        <f t="array" ref="N190">IFERROR(INDEX(Bookings!$I:$I,MATCH(A190,Bookings!$A:$A,0)),"")</f>
        <v>47</v>
      </c>
      <c r="O190" s="5" t="str">
        <f t="shared" si="3"/>
        <v>Advance</v>
      </c>
      <c r="P190" s="5" t="str">
        <f t="shared" si="4"/>
        <v>Delhi -&gt; Chennai</v>
      </c>
    </row>
    <row r="191" ht="15.75" customHeight="1">
      <c r="A191" s="5" t="s">
        <v>841</v>
      </c>
      <c r="B191" s="5" t="s">
        <v>843</v>
      </c>
      <c r="C191" s="5" t="s">
        <v>174</v>
      </c>
      <c r="D191" s="5" t="s">
        <v>45</v>
      </c>
      <c r="E191" s="6" t="str">
        <f t="array" ref="E191">IFERROR(INDEX(Airlines!$B:$B,MATCH(D191,Airlines!$A:$A,0)),"")</f>
        <v>Air_India</v>
      </c>
      <c r="F191" s="6" t="str">
        <f>VLOOKUP(A191,Bookings!$A:$F,6,FALSE())</f>
        <v>Business</v>
      </c>
      <c r="G191" s="6" t="str">
        <f t="array" ref="G191">IFERROR(INDEX(Flights!$E:$E,MATCH(B191,Flights!$A:$A,0)),"")</f>
        <v>Delhi</v>
      </c>
      <c r="H191" s="6" t="str">
        <f>VLOOKUP(B191,Flights!A:H,6,FALSE())</f>
        <v>Chennai</v>
      </c>
      <c r="I191" s="6" t="str">
        <f t="array" ref="I191">IFERROR(INDEX(Bookings!$G:$G,MATCH(B191,Bookings!$B:$B,0)),"")</f>
        <v>1</v>
      </c>
      <c r="J191" s="5">
        <f>VLOOKUP(B191,Bookings!B:H,7,FALSE())</f>
        <v>14.17</v>
      </c>
      <c r="K191" s="5" t="str">
        <f t="shared" si="1"/>
        <v>Long</v>
      </c>
      <c r="L191" s="11">
        <f t="array" ref="L191">IFERROR(INDEX(Bookings!$K:$K,MATCH(A191,Bookings!$A:$A,0)),"")</f>
        <v>38626</v>
      </c>
      <c r="M191" s="5" t="str">
        <f t="shared" si="2"/>
        <v>High</v>
      </c>
      <c r="N191" s="5">
        <f t="array" ref="N191">IFERROR(INDEX(Bookings!$I:$I,MATCH(A191,Bookings!$A:$A,0)),"")</f>
        <v>48</v>
      </c>
      <c r="O191" s="5" t="str">
        <f t="shared" si="3"/>
        <v>Advance</v>
      </c>
      <c r="P191" s="5" t="str">
        <f t="shared" si="4"/>
        <v>Delhi -&gt; Chennai</v>
      </c>
    </row>
    <row r="192" ht="15.75" customHeight="1">
      <c r="A192" s="5" t="s">
        <v>845</v>
      </c>
      <c r="B192" s="5" t="s">
        <v>846</v>
      </c>
      <c r="C192" s="5" t="s">
        <v>174</v>
      </c>
      <c r="D192" s="5" t="s">
        <v>45</v>
      </c>
      <c r="E192" s="6" t="str">
        <f t="array" ref="E192">IFERROR(INDEX(Airlines!$B:$B,MATCH(D192,Airlines!$A:$A,0)),"")</f>
        <v>Air_India</v>
      </c>
      <c r="F192" s="6" t="str">
        <f>VLOOKUP(A192,Bookings!$A:$F,6,FALSE())</f>
        <v>Business</v>
      </c>
      <c r="G192" s="6" t="str">
        <f t="array" ref="G192">IFERROR(INDEX(Flights!$E:$E,MATCH(B192,Flights!$A:$A,0)),"")</f>
        <v>Delhi</v>
      </c>
      <c r="H192" s="6" t="str">
        <f>VLOOKUP(B192,Flights!A:H,6,FALSE())</f>
        <v>Chennai</v>
      </c>
      <c r="I192" s="6" t="str">
        <f t="array" ref="I192">IFERROR(INDEX(Bookings!$G:$G,MATCH(B192,Bookings!$B:$B,0)),"")</f>
        <v>1</v>
      </c>
      <c r="J192" s="5">
        <f>VLOOKUP(B192,Bookings!B:H,7,FALSE())</f>
        <v>14.92</v>
      </c>
      <c r="K192" s="5" t="str">
        <f t="shared" si="1"/>
        <v>Long</v>
      </c>
      <c r="L192" s="11">
        <f t="array" ref="L192">IFERROR(INDEX(Bookings!$K:$K,MATCH(A192,Bookings!$A:$A,0)),"")</f>
        <v>54003</v>
      </c>
      <c r="M192" s="5" t="str">
        <f t="shared" si="2"/>
        <v>High</v>
      </c>
      <c r="N192" s="5">
        <f t="array" ref="N192">IFERROR(INDEX(Bookings!$I:$I,MATCH(A192,Bookings!$A:$A,0)),"")</f>
        <v>48</v>
      </c>
      <c r="O192" s="5" t="str">
        <f t="shared" si="3"/>
        <v>Advance</v>
      </c>
      <c r="P192" s="5" t="str">
        <f t="shared" si="4"/>
        <v>Delhi -&gt; Chennai</v>
      </c>
    </row>
    <row r="193" ht="15.75" customHeight="1">
      <c r="A193" s="5" t="s">
        <v>848</v>
      </c>
      <c r="B193" s="5" t="s">
        <v>849</v>
      </c>
      <c r="C193" s="5" t="s">
        <v>174</v>
      </c>
      <c r="D193" s="5" t="s">
        <v>45</v>
      </c>
      <c r="E193" s="6" t="str">
        <f t="array" ref="E193">IFERROR(INDEX(Airlines!$B:$B,MATCH(D193,Airlines!$A:$A,0)),"")</f>
        <v>Air_India</v>
      </c>
      <c r="F193" s="6" t="str">
        <f>VLOOKUP(A193,Bookings!$A:$F,6,FALSE())</f>
        <v>Business</v>
      </c>
      <c r="G193" s="6" t="str">
        <f t="array" ref="G193">IFERROR(INDEX(Flights!$E:$E,MATCH(B193,Flights!$A:$A,0)),"")</f>
        <v>Delhi</v>
      </c>
      <c r="H193" s="6" t="str">
        <f>VLOOKUP(B193,Flights!A:H,6,FALSE())</f>
        <v>Chennai</v>
      </c>
      <c r="I193" s="6" t="str">
        <f t="array" ref="I193">IFERROR(INDEX(Bookings!$G:$G,MATCH(B193,Bookings!$B:$B,0)),"")</f>
        <v>2+</v>
      </c>
      <c r="J193" s="5">
        <f>VLOOKUP(B193,Bookings!B:H,7,FALSE())</f>
        <v>22.92</v>
      </c>
      <c r="K193" s="5" t="str">
        <f t="shared" si="1"/>
        <v>Long</v>
      </c>
      <c r="L193" s="11">
        <f t="array" ref="L193">IFERROR(INDEX(Bookings!$K:$K,MATCH(A193,Bookings!$A:$A,0)),"")</f>
        <v>52728</v>
      </c>
      <c r="M193" s="5" t="str">
        <f t="shared" si="2"/>
        <v>High</v>
      </c>
      <c r="N193" s="5">
        <f t="array" ref="N193">IFERROR(INDEX(Bookings!$I:$I,MATCH(A193,Bookings!$A:$A,0)),"")</f>
        <v>49</v>
      </c>
      <c r="O193" s="5" t="str">
        <f t="shared" si="3"/>
        <v>Advance</v>
      </c>
      <c r="P193" s="5" t="str">
        <f t="shared" si="4"/>
        <v>Delhi -&gt; Chennai</v>
      </c>
    </row>
    <row r="194" ht="15.75" customHeight="1">
      <c r="A194" s="5" t="s">
        <v>850</v>
      </c>
      <c r="B194" s="5" t="s">
        <v>851</v>
      </c>
      <c r="C194" s="5" t="s">
        <v>174</v>
      </c>
      <c r="D194" s="5" t="s">
        <v>45</v>
      </c>
      <c r="E194" s="6" t="str">
        <f t="array" ref="E194">IFERROR(INDEX(Airlines!$B:$B,MATCH(D194,Airlines!$A:$A,0)),"")</f>
        <v>Air_India</v>
      </c>
      <c r="F194" s="6" t="str">
        <f>VLOOKUP(A194,Bookings!$A:$F,6,FALSE())</f>
        <v>Economy</v>
      </c>
      <c r="G194" s="6" t="str">
        <f t="array" ref="G194">IFERROR(INDEX(Flights!$E:$E,MATCH(B194,Flights!$A:$A,0)),"")</f>
        <v>Delhi</v>
      </c>
      <c r="H194" s="6" t="str">
        <f>VLOOKUP(B194,Flights!A:H,6,FALSE())</f>
        <v>Chennai</v>
      </c>
      <c r="I194" s="6" t="str">
        <f t="array" ref="I194">IFERROR(INDEX(Bookings!$G:$G,MATCH(B194,Bookings!$B:$B,0)),"")</f>
        <v>2+</v>
      </c>
      <c r="J194" s="5">
        <f>VLOOKUP(B194,Bookings!B:H,7,FALSE())</f>
        <v>24.33</v>
      </c>
      <c r="K194" s="5" t="str">
        <f t="shared" si="1"/>
        <v>Long</v>
      </c>
      <c r="L194" s="11">
        <f t="array" ref="L194">IFERROR(INDEX(Bookings!$K:$K,MATCH(A194,Bookings!$A:$A,0)),"")</f>
        <v>7439</v>
      </c>
      <c r="M194" s="5" t="str">
        <f t="shared" si="2"/>
        <v>Medium</v>
      </c>
      <c r="N194" s="5">
        <f t="array" ref="N194">IFERROR(INDEX(Bookings!$I:$I,MATCH(A194,Bookings!$A:$A,0)),"")</f>
        <v>49</v>
      </c>
      <c r="O194" s="5" t="str">
        <f t="shared" si="3"/>
        <v>Advance</v>
      </c>
      <c r="P194" s="5" t="str">
        <f t="shared" si="4"/>
        <v>Delhi -&gt; Chennai</v>
      </c>
    </row>
    <row r="195" ht="15.75" customHeight="1">
      <c r="A195" s="5" t="s">
        <v>852</v>
      </c>
      <c r="B195" s="5" t="s">
        <v>853</v>
      </c>
      <c r="C195" s="5" t="s">
        <v>195</v>
      </c>
      <c r="D195" s="5" t="s">
        <v>58</v>
      </c>
      <c r="E195" s="6" t="str">
        <f t="array" ref="E195">IFERROR(INDEX(Airlines!$B:$B,MATCH(D195,Airlines!$A:$A,0)),"")</f>
        <v>Go_First</v>
      </c>
      <c r="F195" s="6" t="str">
        <f>VLOOKUP(A195,Bookings!$A:$F,6,FALSE())</f>
        <v>Economy</v>
      </c>
      <c r="G195" s="6" t="str">
        <f t="array" ref="G195">IFERROR(INDEX(Flights!$E:$E,MATCH(B195,Flights!$A:$A,0)),"")</f>
        <v>Mumbai</v>
      </c>
      <c r="H195" s="6" t="str">
        <f>VLOOKUP(B195,Flights!A:H,6,FALSE())</f>
        <v>Delhi</v>
      </c>
      <c r="I195" s="6" t="str">
        <f t="array" ref="I195">IFERROR(INDEX(Bookings!$G:$G,MATCH(B195,Bookings!$B:$B,0)),"")</f>
        <v>0</v>
      </c>
      <c r="J195" s="5">
        <f>VLOOKUP(B195,Bookings!B:H,7,FALSE())</f>
        <v>2.17</v>
      </c>
      <c r="K195" s="5" t="str">
        <f t="shared" si="1"/>
        <v>Short</v>
      </c>
      <c r="L195" s="11">
        <f t="array" ref="L195">IFERROR(INDEX(Bookings!$K:$K,MATCH(A195,Bookings!$A:$A,0)),"")</f>
        <v>2339</v>
      </c>
      <c r="M195" s="5" t="str">
        <f t="shared" si="2"/>
        <v>Low</v>
      </c>
      <c r="N195" s="5" t="str">
        <f t="array" ref="N195">IFERROR(INDEX(Bookings!$I:$I,MATCH(A195,Bookings!$A:$A,0)),"")</f>
        <v/>
      </c>
      <c r="O195" s="5" t="str">
        <f t="shared" si="3"/>
        <v>Last Minute</v>
      </c>
      <c r="P195" s="5" t="str">
        <f t="shared" si="4"/>
        <v>Mumbai -&gt; Delhi</v>
      </c>
    </row>
    <row r="196" ht="15.75" customHeight="1">
      <c r="A196" s="5" t="s">
        <v>855</v>
      </c>
      <c r="B196" s="5" t="s">
        <v>856</v>
      </c>
      <c r="C196" s="5" t="s">
        <v>195</v>
      </c>
      <c r="D196" s="5" t="s">
        <v>45</v>
      </c>
      <c r="E196" s="6" t="str">
        <f t="array" ref="E196">IFERROR(INDEX(Airlines!$B:$B,MATCH(D196,Airlines!$A:$A,0)),"")</f>
        <v>Air_India</v>
      </c>
      <c r="F196" s="6" t="str">
        <f>VLOOKUP(A196,Bookings!$A:$F,6,FALSE())</f>
        <v>Business</v>
      </c>
      <c r="G196" s="6" t="str">
        <f t="array" ref="G196">IFERROR(INDEX(Flights!$E:$E,MATCH(B196,Flights!$A:$A,0)),"")</f>
        <v>Mumbai</v>
      </c>
      <c r="H196" s="6" t="str">
        <f>VLOOKUP(B196,Flights!A:H,6,FALSE())</f>
        <v>Delhi</v>
      </c>
      <c r="I196" s="6" t="str">
        <f t="array" ref="I196">IFERROR(INDEX(Bookings!$G:$G,MATCH(B196,Bookings!$B:$B,0)),"")</f>
        <v>0</v>
      </c>
      <c r="J196" s="5">
        <f>VLOOKUP(B196,Bookings!B:H,7,FALSE())</f>
        <v>2.25</v>
      </c>
      <c r="K196" s="5" t="str">
        <f t="shared" si="1"/>
        <v>Short</v>
      </c>
      <c r="L196" s="11">
        <f t="array" ref="L196">IFERROR(INDEX(Bookings!$K:$K,MATCH(A196,Bookings!$A:$A,0)),"")</f>
        <v>22140</v>
      </c>
      <c r="M196" s="5" t="str">
        <f t="shared" si="2"/>
        <v>High</v>
      </c>
      <c r="N196" s="5">
        <f t="array" ref="N196">IFERROR(INDEX(Bookings!$I:$I,MATCH(A196,Bookings!$A:$A,0)),"")</f>
        <v>33</v>
      </c>
      <c r="O196" s="5" t="str">
        <f t="shared" si="3"/>
        <v>Advance</v>
      </c>
      <c r="P196" s="5" t="str">
        <f t="shared" si="4"/>
        <v>Mumbai -&gt; Delhi</v>
      </c>
    </row>
    <row r="197" ht="15.75" customHeight="1">
      <c r="A197" s="5" t="s">
        <v>858</v>
      </c>
      <c r="B197" s="5" t="s">
        <v>859</v>
      </c>
      <c r="C197" s="5" t="s">
        <v>195</v>
      </c>
      <c r="D197" s="5" t="s">
        <v>20</v>
      </c>
      <c r="E197" s="6" t="str">
        <f t="array" ref="E197">IFERROR(INDEX(Airlines!$B:$B,MATCH(D197,Airlines!$A:$A,0)),"")</f>
        <v>Vistara</v>
      </c>
      <c r="F197" s="6" t="str">
        <f>VLOOKUP(A197,Bookings!$A:$F,6,FALSE())</f>
        <v>Business</v>
      </c>
      <c r="G197" s="6" t="str">
        <f t="array" ref="G197">IFERROR(INDEX(Flights!$E:$E,MATCH(B197,Flights!$A:$A,0)),"")</f>
        <v>Mumbai</v>
      </c>
      <c r="H197" s="6" t="str">
        <f>VLOOKUP(B197,Flights!A:H,6,FALSE())</f>
        <v>Delhi</v>
      </c>
      <c r="I197" s="6" t="str">
        <f t="array" ref="I197">IFERROR(INDEX(Bookings!$G:$G,MATCH(B197,Bookings!$B:$B,0)),"")</f>
        <v>0</v>
      </c>
      <c r="J197" s="5">
        <f>VLOOKUP(B197,Bookings!B:H,7,FALSE())</f>
        <v>2.08</v>
      </c>
      <c r="K197" s="5" t="str">
        <f t="shared" si="1"/>
        <v>Short</v>
      </c>
      <c r="L197" s="11">
        <f t="array" ref="L197">IFERROR(INDEX(Bookings!$K:$K,MATCH(A197,Bookings!$A:$A,0)),"")</f>
        <v>22140</v>
      </c>
      <c r="M197" s="5" t="str">
        <f t="shared" si="2"/>
        <v>High</v>
      </c>
      <c r="N197" s="5">
        <f t="array" ref="N197">IFERROR(INDEX(Bookings!$I:$I,MATCH(A197,Bookings!$A:$A,0)),"")</f>
        <v>15</v>
      </c>
      <c r="O197" s="5" t="str">
        <f t="shared" si="3"/>
        <v>Short Notice</v>
      </c>
      <c r="P197" s="5" t="str">
        <f t="shared" si="4"/>
        <v>Mumbai -&gt; Delhi</v>
      </c>
    </row>
    <row r="198" ht="15.75" customHeight="1">
      <c r="A198" s="5" t="s">
        <v>860</v>
      </c>
      <c r="B198" s="5" t="s">
        <v>862</v>
      </c>
      <c r="C198" s="5" t="s">
        <v>195</v>
      </c>
      <c r="D198" s="5" t="s">
        <v>20</v>
      </c>
      <c r="E198" s="6" t="str">
        <f t="array" ref="E198">IFERROR(INDEX(Airlines!$B:$B,MATCH(D198,Airlines!$A:$A,0)),"")</f>
        <v>Vistara</v>
      </c>
      <c r="F198" s="6" t="str">
        <f>VLOOKUP(A198,Bookings!$A:$F,6,FALSE())</f>
        <v>Business</v>
      </c>
      <c r="G198" s="6" t="str">
        <f t="array" ref="G198">IFERROR(INDEX(Flights!$E:$E,MATCH(B198,Flights!$A:$A,0)),"")</f>
        <v>Mumbai</v>
      </c>
      <c r="H198" s="6" t="str">
        <f>VLOOKUP(B198,Flights!A:H,6,FALSE())</f>
        <v>Delhi</v>
      </c>
      <c r="I198" s="6" t="str">
        <f t="array" ref="I198">IFERROR(INDEX(Bookings!$G:$G,MATCH(B198,Bookings!$B:$B,0)),"")</f>
        <v>1</v>
      </c>
      <c r="J198" s="5">
        <f>VLOOKUP(B198,Bookings!B:H,7,FALSE())</f>
        <v>15.42</v>
      </c>
      <c r="K198" s="5" t="str">
        <f t="shared" si="1"/>
        <v>Long</v>
      </c>
      <c r="L198" s="11">
        <f t="array" ref="L198">IFERROR(INDEX(Bookings!$K:$K,MATCH(A198,Bookings!$A:$A,0)),"")</f>
        <v>53152</v>
      </c>
      <c r="M198" s="5" t="str">
        <f t="shared" si="2"/>
        <v>High</v>
      </c>
      <c r="N198" s="5">
        <f t="array" ref="N198">IFERROR(INDEX(Bookings!$I:$I,MATCH(A198,Bookings!$A:$A,0)),"")</f>
        <v>4</v>
      </c>
      <c r="O198" s="5" t="str">
        <f t="shared" si="3"/>
        <v>Last Minute</v>
      </c>
      <c r="P198" s="5" t="str">
        <f t="shared" si="4"/>
        <v>Mumbai -&gt; Delhi</v>
      </c>
    </row>
    <row r="199" ht="15.75" customHeight="1">
      <c r="A199" s="5" t="s">
        <v>863</v>
      </c>
      <c r="B199" s="5" t="s">
        <v>864</v>
      </c>
      <c r="C199" s="5" t="s">
        <v>195</v>
      </c>
      <c r="D199" s="5" t="s">
        <v>20</v>
      </c>
      <c r="E199" s="6" t="str">
        <f t="array" ref="E199">IFERROR(INDEX(Airlines!$B:$B,MATCH(D199,Airlines!$A:$A,0)),"")</f>
        <v>Vistara</v>
      </c>
      <c r="F199" s="6" t="str">
        <f>VLOOKUP(A199,Bookings!$A:$F,6,FALSE())</f>
        <v>Economy</v>
      </c>
      <c r="G199" s="6" t="str">
        <f t="array" ref="G199">IFERROR(INDEX(Flights!$E:$E,MATCH(B199,Flights!$A:$A,0)),"")</f>
        <v>Mumbai</v>
      </c>
      <c r="H199" s="6" t="str">
        <f>VLOOKUP(B199,Flights!A:H,6,FALSE())</f>
        <v>Delhi</v>
      </c>
      <c r="I199" s="6" t="str">
        <f t="array" ref="I199">IFERROR(INDEX(Bookings!$G:$G,MATCH(B199,Bookings!$B:$B,0)),"")</f>
        <v>1</v>
      </c>
      <c r="J199" s="5">
        <f>VLOOKUP(B199,Bookings!B:H,7,FALSE())</f>
        <v>27.67</v>
      </c>
      <c r="K199" s="5" t="str">
        <f t="shared" si="1"/>
        <v>Long</v>
      </c>
      <c r="L199" s="11">
        <f t="array" ref="L199">IFERROR(INDEX(Bookings!$K:$K,MATCH(A199,Bookings!$A:$A,0)),"")</f>
        <v>22061</v>
      </c>
      <c r="M199" s="5" t="str">
        <f t="shared" si="2"/>
        <v>High</v>
      </c>
      <c r="N199" s="5">
        <f t="array" ref="N199">IFERROR(INDEX(Bookings!$I:$I,MATCH(A199,Bookings!$A:$A,0)),"")</f>
        <v>1</v>
      </c>
      <c r="O199" s="5" t="str">
        <f t="shared" si="3"/>
        <v>Last Minute</v>
      </c>
      <c r="P199" s="5" t="str">
        <f t="shared" si="4"/>
        <v>Mumbai -&gt; Delhi</v>
      </c>
    </row>
    <row r="200" ht="15.75" customHeight="1">
      <c r="A200" s="5" t="s">
        <v>866</v>
      </c>
      <c r="B200" s="5" t="s">
        <v>868</v>
      </c>
      <c r="C200" s="5" t="s">
        <v>195</v>
      </c>
      <c r="D200" s="5" t="s">
        <v>20</v>
      </c>
      <c r="E200" s="6" t="str">
        <f t="array" ref="E200">IFERROR(INDEX(Airlines!$B:$B,MATCH(D200,Airlines!$A:$A,0)),"")</f>
        <v>Vistara</v>
      </c>
      <c r="F200" s="6" t="str">
        <f>VLOOKUP(A200,Bookings!$A:$F,6,FALSE())</f>
        <v>Business</v>
      </c>
      <c r="G200" s="6" t="str">
        <f t="array" ref="G200">IFERROR(INDEX(Flights!$E:$E,MATCH(B200,Flights!$A:$A,0)),"")</f>
        <v>Mumbai</v>
      </c>
      <c r="H200" s="6" t="str">
        <f>VLOOKUP(B200,Flights!A:H,6,FALSE())</f>
        <v>Delhi</v>
      </c>
      <c r="I200" s="6" t="str">
        <f t="array" ref="I200">IFERROR(INDEX(Bookings!$G:$G,MATCH(B200,Bookings!$B:$B,0)),"")</f>
        <v>1</v>
      </c>
      <c r="J200" s="5">
        <f>VLOOKUP(B200,Bookings!B:H,7,FALSE())</f>
        <v>10.75</v>
      </c>
      <c r="K200" s="5" t="str">
        <f t="shared" si="1"/>
        <v>Long</v>
      </c>
      <c r="L200" s="11">
        <f t="array" ref="L200">IFERROR(INDEX(Bookings!$K:$K,MATCH(A200,Bookings!$A:$A,0)),"")</f>
        <v>59917</v>
      </c>
      <c r="M200" s="5" t="str">
        <f t="shared" si="2"/>
        <v>High</v>
      </c>
      <c r="N200" s="5">
        <f t="array" ref="N200">IFERROR(INDEX(Bookings!$I:$I,MATCH(A200,Bookings!$A:$A,0)),"")</f>
        <v>23</v>
      </c>
      <c r="O200" s="5" t="str">
        <f t="shared" si="3"/>
        <v>Moderate</v>
      </c>
      <c r="P200" s="5" t="str">
        <f t="shared" si="4"/>
        <v>Mumbai -&gt; Delhi</v>
      </c>
    </row>
    <row r="201" ht="15.75" customHeight="1">
      <c r="A201" s="5" t="s">
        <v>869</v>
      </c>
      <c r="B201" s="5" t="s">
        <v>870</v>
      </c>
      <c r="C201" s="5" t="s">
        <v>195</v>
      </c>
      <c r="D201" s="5" t="s">
        <v>45</v>
      </c>
      <c r="E201" s="6" t="str">
        <f t="array" ref="E201">IFERROR(INDEX(Airlines!$B:$B,MATCH(D201,Airlines!$A:$A,0)),"")</f>
        <v>Air_India</v>
      </c>
      <c r="F201" s="6" t="str">
        <f>VLOOKUP(A201,Bookings!$A:$F,6,FALSE())</f>
        <v>Business</v>
      </c>
      <c r="G201" s="6" t="str">
        <f t="array" ref="G201">IFERROR(INDEX(Flights!$E:$E,MATCH(B201,Flights!$A:$A,0)),"")</f>
        <v>Mumbai</v>
      </c>
      <c r="H201" s="6" t="str">
        <f>VLOOKUP(B201,Flights!A:H,6,FALSE())</f>
        <v>Delhi</v>
      </c>
      <c r="I201" s="6" t="str">
        <f t="array" ref="I201">IFERROR(INDEX(Bookings!$G:$G,MATCH(B201,Bookings!$B:$B,0)),"")</f>
        <v>1</v>
      </c>
      <c r="J201" s="5">
        <f>VLOOKUP(B201,Bookings!B:H,7,FALSE())</f>
        <v>13</v>
      </c>
      <c r="K201" s="5" t="str">
        <f t="shared" si="1"/>
        <v>Long</v>
      </c>
      <c r="L201" s="11">
        <f t="array" ref="L201">IFERROR(INDEX(Bookings!$K:$K,MATCH(A201,Bookings!$A:$A,0)),"")</f>
        <v>40435</v>
      </c>
      <c r="M201" s="5" t="str">
        <f t="shared" si="2"/>
        <v>High</v>
      </c>
      <c r="N201" s="5">
        <f t="array" ref="N201">IFERROR(INDEX(Bookings!$I:$I,MATCH(A201,Bookings!$A:$A,0)),"")</f>
        <v>35</v>
      </c>
      <c r="O201" s="5" t="str">
        <f t="shared" si="3"/>
        <v>Advance</v>
      </c>
      <c r="P201" s="5" t="str">
        <f t="shared" si="4"/>
        <v>Mumbai -&gt; Delhi</v>
      </c>
    </row>
    <row r="202" ht="15.75" customHeight="1">
      <c r="A202" s="5" t="s">
        <v>872</v>
      </c>
      <c r="B202" s="5" t="s">
        <v>873</v>
      </c>
      <c r="C202" s="5" t="s">
        <v>195</v>
      </c>
      <c r="D202" s="5" t="s">
        <v>45</v>
      </c>
      <c r="E202" s="6" t="str">
        <f t="array" ref="E202">IFERROR(INDEX(Airlines!$B:$B,MATCH(D202,Airlines!$A:$A,0)),"")</f>
        <v>Air_India</v>
      </c>
      <c r="F202" s="6" t="str">
        <f>VLOOKUP(A202,Bookings!$A:$F,6,FALSE())</f>
        <v>Business</v>
      </c>
      <c r="G202" s="6" t="str">
        <f t="array" ref="G202">IFERROR(INDEX(Flights!$E:$E,MATCH(B202,Flights!$A:$A,0)),"")</f>
        <v>Mumbai</v>
      </c>
      <c r="H202" s="6" t="str">
        <f>VLOOKUP(B202,Flights!A:H,6,FALSE())</f>
        <v>Delhi</v>
      </c>
      <c r="I202" s="6" t="str">
        <f t="array" ref="I202">IFERROR(INDEX(Bookings!$G:$G,MATCH(B202,Bookings!$B:$B,0)),"")</f>
        <v>1</v>
      </c>
      <c r="J202" s="5">
        <f>VLOOKUP(B202,Bookings!B:H,7,FALSE())</f>
        <v>27.17</v>
      </c>
      <c r="K202" s="5" t="str">
        <f t="shared" si="1"/>
        <v>Long</v>
      </c>
      <c r="L202" s="11">
        <f t="array" ref="L202">IFERROR(INDEX(Bookings!$K:$K,MATCH(A202,Bookings!$A:$A,0)),"")</f>
        <v>59964</v>
      </c>
      <c r="M202" s="5" t="str">
        <f t="shared" si="2"/>
        <v>High</v>
      </c>
      <c r="N202" s="5">
        <f t="array" ref="N202">IFERROR(INDEX(Bookings!$I:$I,MATCH(A202,Bookings!$A:$A,0)),"")</f>
        <v>1</v>
      </c>
      <c r="O202" s="5" t="str">
        <f t="shared" si="3"/>
        <v>Last Minute</v>
      </c>
      <c r="P202" s="5" t="str">
        <f t="shared" si="4"/>
        <v>Mumbai -&gt; Delhi</v>
      </c>
    </row>
    <row r="203" ht="15.75" customHeight="1">
      <c r="A203" s="5" t="s">
        <v>874</v>
      </c>
      <c r="B203" s="5" t="s">
        <v>875</v>
      </c>
      <c r="C203" s="5" t="s">
        <v>195</v>
      </c>
      <c r="D203" s="5" t="s">
        <v>58</v>
      </c>
      <c r="E203" s="6" t="str">
        <f t="array" ref="E203">IFERROR(INDEX(Airlines!$B:$B,MATCH(D203,Airlines!$A:$A,0)),"")</f>
        <v>Go_First</v>
      </c>
      <c r="F203" s="6" t="str">
        <f>VLOOKUP(A203,Bookings!$A:$F,6,FALSE())</f>
        <v>Economy</v>
      </c>
      <c r="G203" s="6" t="str">
        <f t="array" ref="G203">IFERROR(INDEX(Flights!$E:$E,MATCH(B203,Flights!$A:$A,0)),"")</f>
        <v>Mumbai</v>
      </c>
      <c r="H203" s="6" t="str">
        <f>VLOOKUP(B203,Flights!A:H,6,FALSE())</f>
        <v>Delhi</v>
      </c>
      <c r="I203" s="6" t="str">
        <f t="array" ref="I203">IFERROR(INDEX(Bookings!$G:$G,MATCH(B203,Bookings!$B:$B,0)),"")</f>
        <v>0</v>
      </c>
      <c r="J203" s="5">
        <f>VLOOKUP(B203,Bookings!B:H,7,FALSE())</f>
        <v>2.17</v>
      </c>
      <c r="K203" s="5" t="str">
        <f t="shared" si="1"/>
        <v>Short</v>
      </c>
      <c r="L203" s="11">
        <f t="array" ref="L203">IFERROR(INDEX(Bookings!$K:$K,MATCH(A203,Bookings!$A:$A,0)),"")</f>
        <v>2339</v>
      </c>
      <c r="M203" s="5" t="str">
        <f t="shared" si="2"/>
        <v>Low</v>
      </c>
      <c r="N203" s="5">
        <f t="array" ref="N203">IFERROR(INDEX(Bookings!$I:$I,MATCH(A203,Bookings!$A:$A,0)),"")</f>
        <v>39</v>
      </c>
      <c r="O203" s="5" t="str">
        <f t="shared" si="3"/>
        <v>Advance</v>
      </c>
      <c r="P203" s="5" t="str">
        <f t="shared" si="4"/>
        <v>Mumbai -&gt; Delhi</v>
      </c>
    </row>
    <row r="204" ht="15.75" customHeight="1">
      <c r="A204" s="5" t="s">
        <v>877</v>
      </c>
      <c r="B204" s="5" t="s">
        <v>878</v>
      </c>
      <c r="C204" s="5" t="s">
        <v>195</v>
      </c>
      <c r="D204" s="5" t="s">
        <v>72</v>
      </c>
      <c r="E204" s="6" t="str">
        <f t="array" ref="E204">IFERROR(INDEX(Airlines!$B:$B,MATCH(D204,Airlines!$A:$A,0)),"")</f>
        <v>Spicejet</v>
      </c>
      <c r="F204" s="6" t="str">
        <f>VLOOKUP(A204,Bookings!$A:$F,6,FALSE())</f>
        <v>Economy</v>
      </c>
      <c r="G204" s="6" t="str">
        <f t="array" ref="G204">IFERROR(INDEX(Flights!$E:$E,MATCH(B204,Flights!$A:$A,0)),"")</f>
        <v>Mumbai</v>
      </c>
      <c r="H204" s="6" t="str">
        <f>VLOOKUP(B204,Flights!A:H,6,FALSE())</f>
        <v>Delhi</v>
      </c>
      <c r="I204" s="6" t="str">
        <f t="array" ref="I204">IFERROR(INDEX(Bookings!$G:$G,MATCH(B204,Bookings!$B:$B,0)),"")</f>
        <v>0</v>
      </c>
      <c r="J204" s="5">
        <f>VLOOKUP(B204,Bookings!B:H,7,FALSE())</f>
        <v>2.25</v>
      </c>
      <c r="K204" s="5" t="str">
        <f t="shared" si="1"/>
        <v>Short</v>
      </c>
      <c r="L204" s="11">
        <f t="array" ref="L204">IFERROR(INDEX(Bookings!$K:$K,MATCH(A204,Bookings!$A:$A,0)),"")</f>
        <v>2614</v>
      </c>
      <c r="M204" s="5" t="str">
        <f t="shared" si="2"/>
        <v>Low</v>
      </c>
      <c r="N204" s="5">
        <f t="array" ref="N204">IFERROR(INDEX(Bookings!$I:$I,MATCH(A204,Bookings!$A:$A,0)),"")</f>
        <v>29</v>
      </c>
      <c r="O204" s="5" t="str">
        <f t="shared" si="3"/>
        <v>Moderate</v>
      </c>
      <c r="P204" s="5" t="str">
        <f t="shared" si="4"/>
        <v>Mumbai -&gt; Delhi</v>
      </c>
    </row>
    <row r="205" ht="15.75" customHeight="1">
      <c r="A205" s="5" t="s">
        <v>880</v>
      </c>
      <c r="B205" s="5" t="s">
        <v>881</v>
      </c>
      <c r="C205" s="5" t="s">
        <v>195</v>
      </c>
      <c r="D205" s="5" t="s">
        <v>45</v>
      </c>
      <c r="E205" s="6" t="str">
        <f t="array" ref="E205">IFERROR(INDEX(Airlines!$B:$B,MATCH(D205,Airlines!$A:$A,0)),"")</f>
        <v>Air_India</v>
      </c>
      <c r="F205" s="6" t="str">
        <f>VLOOKUP(A205,Bookings!$A:$F,6,FALSE())</f>
        <v>Economy</v>
      </c>
      <c r="G205" s="6" t="str">
        <f t="array" ref="G205">IFERROR(INDEX(Flights!$E:$E,MATCH(B205,Flights!$A:$A,0)),"")</f>
        <v>Mumbai</v>
      </c>
      <c r="H205" s="6" t="str">
        <f>VLOOKUP(B205,Flights!A:H,6,FALSE())</f>
        <v>Delhi</v>
      </c>
      <c r="I205" s="6">
        <f t="array" ref="I205">IFERROR(INDEX(Bookings!$G:$G,MATCH(B205,Bookings!$B:$B,0)),"")</f>
        <v>1</v>
      </c>
      <c r="J205" s="5">
        <f>VLOOKUP(B205,Bookings!B:H,7,FALSE())</f>
        <v>11</v>
      </c>
      <c r="K205" s="5" t="str">
        <f t="shared" si="1"/>
        <v>Long</v>
      </c>
      <c r="L205" s="11">
        <f t="array" ref="L205">IFERROR(INDEX(Bookings!$K:$K,MATCH(A205,Bookings!$A:$A,0)),"")</f>
        <v>14723</v>
      </c>
      <c r="M205" s="5" t="str">
        <f t="shared" si="2"/>
        <v>Medium</v>
      </c>
      <c r="N205" s="5">
        <f t="array" ref="N205">IFERROR(INDEX(Bookings!$I:$I,MATCH(A205,Bookings!$A:$A,0)),"")</f>
        <v>2</v>
      </c>
      <c r="O205" s="5" t="str">
        <f t="shared" si="3"/>
        <v>Last Minute</v>
      </c>
      <c r="P205" s="5" t="str">
        <f t="shared" si="4"/>
        <v>Mumbai -&gt; Delhi</v>
      </c>
    </row>
    <row r="206" ht="15.75" customHeight="1">
      <c r="A206" s="5" t="s">
        <v>883</v>
      </c>
      <c r="B206" s="5" t="s">
        <v>884</v>
      </c>
      <c r="C206" s="5" t="s">
        <v>195</v>
      </c>
      <c r="D206" s="5" t="s">
        <v>45</v>
      </c>
      <c r="E206" s="6" t="str">
        <f t="array" ref="E206">IFERROR(INDEX(Airlines!$B:$B,MATCH(D206,Airlines!$A:$A,0)),"")</f>
        <v>Air_India</v>
      </c>
      <c r="F206" s="6" t="str">
        <f>VLOOKUP(A206,Bookings!$A:$F,6,FALSE())</f>
        <v>Economy</v>
      </c>
      <c r="G206" s="6" t="str">
        <f t="array" ref="G206">IFERROR(INDEX(Flights!$E:$E,MATCH(B206,Flights!$A:$A,0)),"")</f>
        <v>Mumbai</v>
      </c>
      <c r="H206" s="6" t="str">
        <f>VLOOKUP(B206,Flights!A:H,6,FALSE())</f>
        <v>Delhi</v>
      </c>
      <c r="I206" s="6" t="str">
        <f t="array" ref="I206">IFERROR(INDEX(Bookings!$G:$G,MATCH(B206,Bookings!$B:$B,0)),"")</f>
        <v>1</v>
      </c>
      <c r="J206" s="5">
        <f>VLOOKUP(B206,Bookings!B:H,7,FALSE())</f>
        <v>27.33</v>
      </c>
      <c r="K206" s="5" t="str">
        <f t="shared" si="1"/>
        <v>Long</v>
      </c>
      <c r="L206" s="11">
        <f t="array" ref="L206">IFERROR(INDEX(Bookings!$K:$K,MATCH(A206,Bookings!$A:$A,0)),"")</f>
        <v>17388</v>
      </c>
      <c r="M206" s="5" t="str">
        <f t="shared" si="2"/>
        <v>High</v>
      </c>
      <c r="N206" s="5">
        <f t="array" ref="N206">IFERROR(INDEX(Bookings!$I:$I,MATCH(A206,Bookings!$A:$A,0)),"")</f>
        <v>13</v>
      </c>
      <c r="O206" s="5" t="str">
        <f t="shared" si="3"/>
        <v>Short Notice</v>
      </c>
      <c r="P206" s="5" t="str">
        <f t="shared" si="4"/>
        <v>Mumbai -&gt; Delhi</v>
      </c>
    </row>
    <row r="207" ht="15.75" customHeight="1">
      <c r="A207" s="5" t="s">
        <v>885</v>
      </c>
      <c r="B207" s="5" t="s">
        <v>886</v>
      </c>
      <c r="C207" s="5" t="s">
        <v>195</v>
      </c>
      <c r="D207" s="5" t="s">
        <v>45</v>
      </c>
      <c r="E207" s="6" t="str">
        <f t="array" ref="E207">IFERROR(INDEX(Airlines!$B:$B,MATCH(D207,Airlines!$A:$A,0)),"")</f>
        <v>Air_India</v>
      </c>
      <c r="F207" s="6" t="str">
        <f>VLOOKUP(A207,Bookings!$A:$F,6,FALSE())</f>
        <v>Economy</v>
      </c>
      <c r="G207" s="6" t="str">
        <f t="array" ref="G207">IFERROR(INDEX(Flights!$E:$E,MATCH(B207,Flights!$A:$A,0)),"")</f>
        <v>Mumbai</v>
      </c>
      <c r="H207" s="6" t="str">
        <f>VLOOKUP(B207,Flights!A:H,6,FALSE())</f>
        <v>Delhi</v>
      </c>
      <c r="I207" s="6" t="str">
        <f t="array" ref="I207">IFERROR(INDEX(Bookings!$G:$G,MATCH(B207,Bookings!$B:$B,0)),"")</f>
        <v>1</v>
      </c>
      <c r="J207" s="5">
        <f>VLOOKUP(B207,Bookings!B:H,7,FALSE())</f>
        <v>24</v>
      </c>
      <c r="K207" s="5" t="str">
        <f t="shared" si="1"/>
        <v>Long</v>
      </c>
      <c r="L207" s="11">
        <f t="array" ref="L207">IFERROR(INDEX(Bookings!$K:$K,MATCH(A207,Bookings!$A:$A,0)),"")</f>
        <v>16968</v>
      </c>
      <c r="M207" s="5" t="str">
        <f t="shared" si="2"/>
        <v>High</v>
      </c>
      <c r="N207" s="5">
        <f t="array" ref="N207">IFERROR(INDEX(Bookings!$I:$I,MATCH(A207,Bookings!$A:$A,0)),"")</f>
        <v>3</v>
      </c>
      <c r="O207" s="5" t="str">
        <f t="shared" si="3"/>
        <v>Last Minute</v>
      </c>
      <c r="P207" s="5" t="str">
        <f t="shared" si="4"/>
        <v>Mumbai -&gt; Delhi</v>
      </c>
    </row>
    <row r="208" ht="15.75" customHeight="1">
      <c r="A208" s="5" t="s">
        <v>888</v>
      </c>
      <c r="B208" s="5" t="s">
        <v>889</v>
      </c>
      <c r="C208" s="5" t="s">
        <v>195</v>
      </c>
      <c r="D208" s="5" t="s">
        <v>45</v>
      </c>
      <c r="E208" s="6" t="str">
        <f t="array" ref="E208">IFERROR(INDEX(Airlines!$B:$B,MATCH(D208,Airlines!$A:$A,0)),"")</f>
        <v>Air_India</v>
      </c>
      <c r="F208" s="6" t="str">
        <f>VLOOKUP(A208,Bookings!$A:$F,6,FALSE())</f>
        <v>Economy</v>
      </c>
      <c r="G208" s="6" t="str">
        <f t="array" ref="G208">IFERROR(INDEX(Flights!$E:$E,MATCH(B208,Flights!$A:$A,0)),"")</f>
        <v>Mumbai</v>
      </c>
      <c r="H208" s="6" t="str">
        <f>VLOOKUP(B208,Flights!A:H,6,FALSE())</f>
        <v>Delhi</v>
      </c>
      <c r="I208" s="6" t="str">
        <f t="array" ref="I208">IFERROR(INDEX(Bookings!$G:$G,MATCH(B208,Bookings!$B:$B,0)),"")</f>
        <v>1</v>
      </c>
      <c r="J208" s="5">
        <f>VLOOKUP(B208,Bookings!B:H,7,FALSE())</f>
        <v>7.67</v>
      </c>
      <c r="K208" s="5" t="str">
        <f t="shared" si="1"/>
        <v>Medium</v>
      </c>
      <c r="L208" s="11">
        <f t="array" ref="L208">IFERROR(INDEX(Bookings!$K:$K,MATCH(A208,Bookings!$A:$A,0)),"")</f>
        <v>3843</v>
      </c>
      <c r="M208" s="5" t="str">
        <f t="shared" si="2"/>
        <v>Low</v>
      </c>
      <c r="N208" s="5">
        <f t="array" ref="N208">IFERROR(INDEX(Bookings!$I:$I,MATCH(A208,Bookings!$A:$A,0)),"")</f>
        <v>34</v>
      </c>
      <c r="O208" s="5" t="str">
        <f t="shared" si="3"/>
        <v>Advance</v>
      </c>
      <c r="P208" s="5" t="str">
        <f t="shared" si="4"/>
        <v>Mumbai -&gt; Delhi</v>
      </c>
    </row>
    <row r="209" ht="15.75" customHeight="1">
      <c r="A209" s="5" t="s">
        <v>891</v>
      </c>
      <c r="B209" s="5" t="s">
        <v>892</v>
      </c>
      <c r="C209" s="5" t="s">
        <v>195</v>
      </c>
      <c r="D209" s="5" t="s">
        <v>58</v>
      </c>
      <c r="E209" s="6" t="str">
        <f t="array" ref="E209">IFERROR(INDEX(Airlines!$B:$B,MATCH(D209,Airlines!$A:$A,0)),"")</f>
        <v>Go_First</v>
      </c>
      <c r="F209" s="6" t="str">
        <f>VLOOKUP(A209,Bookings!$A:$F,6,FALSE())</f>
        <v>Economy</v>
      </c>
      <c r="G209" s="6" t="str">
        <f t="array" ref="G209">IFERROR(INDEX(Flights!$E:$E,MATCH(B209,Flights!$A:$A,0)),"")</f>
        <v>Mumbai</v>
      </c>
      <c r="H209" s="6" t="str">
        <f>VLOOKUP(B209,Flights!A:H,6,FALSE())</f>
        <v>Delhi</v>
      </c>
      <c r="I209" s="6" t="str">
        <f t="array" ref="I209">IFERROR(INDEX(Bookings!$G:$G,MATCH(B209,Bookings!$B:$B,0)),"")</f>
        <v>1</v>
      </c>
      <c r="J209" s="5">
        <f>VLOOKUP(B209,Bookings!B:H,7,FALSE())</f>
        <v>5.75</v>
      </c>
      <c r="K209" s="5" t="str">
        <f t="shared" si="1"/>
        <v>Medium</v>
      </c>
      <c r="L209" s="11">
        <f t="array" ref="L209">IFERROR(INDEX(Bookings!$K:$K,MATCH(A209,Bookings!$A:$A,0)),"")</f>
        <v>31773</v>
      </c>
      <c r="M209" s="5" t="str">
        <f t="shared" si="2"/>
        <v>High</v>
      </c>
      <c r="N209" s="5">
        <f t="array" ref="N209">IFERROR(INDEX(Bookings!$I:$I,MATCH(A209,Bookings!$A:$A,0)),"")</f>
        <v>3</v>
      </c>
      <c r="O209" s="5" t="str">
        <f t="shared" si="3"/>
        <v>Last Minute</v>
      </c>
      <c r="P209" s="5" t="str">
        <f t="shared" si="4"/>
        <v>Mumbai -&gt; Delhi</v>
      </c>
    </row>
    <row r="210" ht="15.75" customHeight="1">
      <c r="A210" s="5" t="s">
        <v>894</v>
      </c>
      <c r="B210" s="5" t="s">
        <v>895</v>
      </c>
      <c r="C210" s="5" t="s">
        <v>195</v>
      </c>
      <c r="D210" s="5" t="s">
        <v>58</v>
      </c>
      <c r="E210" s="6" t="str">
        <f t="array" ref="E210">IFERROR(INDEX(Airlines!$B:$B,MATCH(D210,Airlines!$A:$A,0)),"")</f>
        <v>Go_First</v>
      </c>
      <c r="F210" s="6" t="str">
        <f>VLOOKUP(A210,Bookings!$A:$F,6,FALSE())</f>
        <v>Economy</v>
      </c>
      <c r="G210" s="6" t="str">
        <f t="array" ref="G210">IFERROR(INDEX(Flights!$E:$E,MATCH(B210,Flights!$A:$A,0)),"")</f>
        <v>Mumbai</v>
      </c>
      <c r="H210" s="6" t="str">
        <f>VLOOKUP(B210,Flights!A:H,6,FALSE())</f>
        <v>Delhi</v>
      </c>
      <c r="I210" s="6" t="str">
        <f t="array" ref="I210">IFERROR(INDEX(Bookings!$G:$G,MATCH(B210,Bookings!$B:$B,0)),"")</f>
        <v>1</v>
      </c>
      <c r="J210" s="5">
        <f>VLOOKUP(B210,Bookings!B:H,7,FALSE())</f>
        <v>11.33</v>
      </c>
      <c r="K210" s="5" t="str">
        <f t="shared" si="1"/>
        <v>Long</v>
      </c>
      <c r="L210" s="11">
        <f t="array" ref="L210">IFERROR(INDEX(Bookings!$K:$K,MATCH(A210,Bookings!$A:$A,0)),"")</f>
        <v>5942</v>
      </c>
      <c r="M210" s="5" t="str">
        <f t="shared" si="2"/>
        <v>Medium</v>
      </c>
      <c r="N210" s="5">
        <f t="array" ref="N210">IFERROR(INDEX(Bookings!$I:$I,MATCH(A210,Bookings!$A:$A,0)),"")</f>
        <v>4</v>
      </c>
      <c r="O210" s="5" t="str">
        <f t="shared" si="3"/>
        <v>Last Minute</v>
      </c>
      <c r="P210" s="5" t="str">
        <f t="shared" si="4"/>
        <v>Mumbai -&gt; Delhi</v>
      </c>
    </row>
    <row r="211" ht="15.75" customHeight="1">
      <c r="A211" s="5" t="s">
        <v>897</v>
      </c>
      <c r="B211" s="5" t="s">
        <v>898</v>
      </c>
      <c r="C211" s="5" t="s">
        <v>195</v>
      </c>
      <c r="D211" s="5" t="s">
        <v>58</v>
      </c>
      <c r="E211" s="6" t="str">
        <f t="array" ref="E211">IFERROR(INDEX(Airlines!$B:$B,MATCH(D211,Airlines!$A:$A,0)),"")</f>
        <v>Go_First</v>
      </c>
      <c r="F211" s="6" t="str">
        <f>VLOOKUP(A211,Bookings!$A:$F,6,FALSE())</f>
        <v>Economy</v>
      </c>
      <c r="G211" s="6" t="str">
        <f t="array" ref="G211">IFERROR(INDEX(Flights!$E:$E,MATCH(B211,Flights!$A:$A,0)),"")</f>
        <v>Mumbai</v>
      </c>
      <c r="H211" s="6" t="str">
        <f>VLOOKUP(B211,Flights!A:H,6,FALSE())</f>
        <v>Delhi</v>
      </c>
      <c r="I211" s="6" t="str">
        <f t="array" ref="I211">IFERROR(INDEX(Bookings!$G:$G,MATCH(B211,Bookings!$B:$B,0)),"")</f>
        <v>2+</v>
      </c>
      <c r="J211" s="5">
        <f>VLOOKUP(B211,Bookings!B:H,7,FALSE())</f>
        <v>11.5</v>
      </c>
      <c r="K211" s="5" t="str">
        <f t="shared" si="1"/>
        <v>Long</v>
      </c>
      <c r="L211" s="11">
        <f t="array" ref="L211">IFERROR(INDEX(Bookings!$K:$K,MATCH(A211,Bookings!$A:$A,0)),"")</f>
        <v>5942</v>
      </c>
      <c r="M211" s="5" t="str">
        <f t="shared" si="2"/>
        <v>Medium</v>
      </c>
      <c r="N211" s="5">
        <f t="array" ref="N211">IFERROR(INDEX(Bookings!$I:$I,MATCH(A211,Bookings!$A:$A,0)),"")</f>
        <v>5</v>
      </c>
      <c r="O211" s="5" t="str">
        <f t="shared" si="3"/>
        <v>Last Minute</v>
      </c>
      <c r="P211" s="5" t="str">
        <f t="shared" si="4"/>
        <v>Mumbai -&gt; Delhi</v>
      </c>
    </row>
    <row r="212" ht="15.75" customHeight="1">
      <c r="A212" s="5" t="s">
        <v>899</v>
      </c>
      <c r="B212" s="5" t="s">
        <v>900</v>
      </c>
      <c r="C212" s="5" t="s">
        <v>195</v>
      </c>
      <c r="D212" s="5" t="s">
        <v>20</v>
      </c>
      <c r="E212" s="6" t="str">
        <f t="array" ref="E212">IFERROR(INDEX(Airlines!$B:$B,MATCH(D212,Airlines!$A:$A,0)),"")</f>
        <v>Vistara</v>
      </c>
      <c r="F212" s="6" t="str">
        <f>VLOOKUP(A212,Bookings!$A:$F,6,FALSE())</f>
        <v>Economy</v>
      </c>
      <c r="G212" s="6" t="str">
        <f t="array" ref="G212">IFERROR(INDEX(Flights!$E:$E,MATCH(B212,Flights!$A:$A,0)),"")</f>
        <v>Mumbai</v>
      </c>
      <c r="H212" s="6" t="str">
        <f>VLOOKUP(B212,Flights!A:H,6,FALSE())</f>
        <v>Delhi</v>
      </c>
      <c r="I212" s="6">
        <f t="array" ref="I212">IFERROR(INDEX(Bookings!$G:$G,MATCH(B212,Bookings!$B:$B,0)),"")</f>
        <v>1</v>
      </c>
      <c r="J212" s="5">
        <f>VLOOKUP(B212,Bookings!B:H,7,FALSE())</f>
        <v>10.5</v>
      </c>
      <c r="K212" s="5" t="str">
        <f t="shared" si="1"/>
        <v>Long</v>
      </c>
      <c r="L212" s="11">
        <f t="array" ref="L212">IFERROR(INDEX(Bookings!$K:$K,MATCH(A212,Bookings!$A:$A,0)),"")</f>
        <v>9776</v>
      </c>
      <c r="M212" s="5" t="str">
        <f t="shared" si="2"/>
        <v>Medium</v>
      </c>
      <c r="N212" s="5">
        <f t="array" ref="N212">IFERROR(INDEX(Bookings!$I:$I,MATCH(A212,Bookings!$A:$A,0)),"")</f>
        <v>12</v>
      </c>
      <c r="O212" s="5" t="str">
        <f t="shared" si="3"/>
        <v>Short Notice</v>
      </c>
      <c r="P212" s="5" t="str">
        <f t="shared" si="4"/>
        <v>Mumbai -&gt; Delhi</v>
      </c>
    </row>
    <row r="213" ht="15.75" customHeight="1">
      <c r="A213" s="5" t="s">
        <v>902</v>
      </c>
      <c r="B213" s="5" t="s">
        <v>903</v>
      </c>
      <c r="C213" s="5" t="s">
        <v>195</v>
      </c>
      <c r="D213" s="5" t="s">
        <v>45</v>
      </c>
      <c r="E213" s="6" t="str">
        <f t="array" ref="E213">IFERROR(INDEX(Airlines!$B:$B,MATCH(D213,Airlines!$A:$A,0)),"")</f>
        <v>Air_India</v>
      </c>
      <c r="F213" s="6" t="str">
        <f>VLOOKUP(A213,Bookings!$A:$F,6,FALSE())</f>
        <v>Economy</v>
      </c>
      <c r="G213" s="6" t="str">
        <f t="array" ref="G213">IFERROR(INDEX(Flights!$E:$E,MATCH(B213,Flights!$A:$A,0)),"")</f>
        <v>Mumbai</v>
      </c>
      <c r="H213" s="6" t="str">
        <f>VLOOKUP(B213,Flights!A:H,6,FALSE())</f>
        <v>Delhi</v>
      </c>
      <c r="I213" s="6" t="str">
        <f t="array" ref="I213">IFERROR(INDEX(Bookings!$G:$G,MATCH(B213,Bookings!$B:$B,0)),"")</f>
        <v>1</v>
      </c>
      <c r="J213" s="5">
        <f>VLOOKUP(B213,Bookings!B:H,7,FALSE())</f>
        <v>22.25</v>
      </c>
      <c r="K213" s="5" t="str">
        <f t="shared" si="1"/>
        <v>Long</v>
      </c>
      <c r="L213" s="11">
        <f t="array" ref="L213">IFERROR(INDEX(Bookings!$K:$K,MATCH(A213,Bookings!$A:$A,0)),"")</f>
        <v>21903</v>
      </c>
      <c r="M213" s="5" t="str">
        <f t="shared" si="2"/>
        <v>High</v>
      </c>
      <c r="N213" s="5">
        <f t="array" ref="N213">IFERROR(INDEX(Bookings!$I:$I,MATCH(A213,Bookings!$A:$A,0)),"")</f>
        <v>9</v>
      </c>
      <c r="O213" s="5" t="str">
        <f t="shared" si="3"/>
        <v>Short Notice</v>
      </c>
      <c r="P213" s="5" t="str">
        <f t="shared" si="4"/>
        <v>Mumbai -&gt; Delhi</v>
      </c>
    </row>
    <row r="214" ht="15.75" customHeight="1">
      <c r="A214" s="5" t="s">
        <v>905</v>
      </c>
      <c r="B214" s="5" t="s">
        <v>906</v>
      </c>
      <c r="C214" s="5" t="s">
        <v>195</v>
      </c>
      <c r="D214" s="5" t="s">
        <v>58</v>
      </c>
      <c r="E214" s="6" t="str">
        <f t="array" ref="E214">IFERROR(INDEX(Airlines!$B:$B,MATCH(D214,Airlines!$A:$A,0)),"")</f>
        <v>Go_First</v>
      </c>
      <c r="F214" s="6" t="str">
        <f>VLOOKUP(A214,Bookings!$A:$F,6,FALSE())</f>
        <v>Economy</v>
      </c>
      <c r="G214" s="6" t="str">
        <f t="array" ref="G214">IFERROR(INDEX(Flights!$E:$E,MATCH(B214,Flights!$A:$A,0)),"")</f>
        <v>Mumbai</v>
      </c>
      <c r="H214" s="6" t="str">
        <f>VLOOKUP(B214,Flights!A:H,6,FALSE())</f>
        <v>Delhi</v>
      </c>
      <c r="I214" s="6" t="str">
        <f t="array" ref="I214">IFERROR(INDEX(Bookings!$G:$G,MATCH(B214,Bookings!$B:$B,0)),"")</f>
        <v>2+</v>
      </c>
      <c r="J214" s="5">
        <f>VLOOKUP(B214,Bookings!B:H,7,FALSE())</f>
        <v>7.67</v>
      </c>
      <c r="K214" s="5" t="str">
        <f t="shared" si="1"/>
        <v>Medium</v>
      </c>
      <c r="L214" s="11">
        <f t="array" ref="L214">IFERROR(INDEX(Bookings!$K:$K,MATCH(A214,Bookings!$A:$A,0)),"")</f>
        <v>5942</v>
      </c>
      <c r="M214" s="5" t="str">
        <f t="shared" si="2"/>
        <v>Medium</v>
      </c>
      <c r="N214" s="5">
        <f t="array" ref="N214">IFERROR(INDEX(Bookings!$I:$I,MATCH(A214,Bookings!$A:$A,0)),"")</f>
        <v>7</v>
      </c>
      <c r="O214" s="5" t="str">
        <f t="shared" si="3"/>
        <v>Last Minute</v>
      </c>
      <c r="P214" s="5" t="str">
        <f t="shared" si="4"/>
        <v>Mumbai -&gt; Delhi</v>
      </c>
    </row>
    <row r="215" ht="15.75" customHeight="1">
      <c r="A215" s="5" t="s">
        <v>907</v>
      </c>
      <c r="B215" s="5" t="s">
        <v>908</v>
      </c>
      <c r="C215" s="5" t="s">
        <v>195</v>
      </c>
      <c r="D215" s="5" t="s">
        <v>58</v>
      </c>
      <c r="E215" s="6" t="str">
        <f t="array" ref="E215">IFERROR(INDEX(Airlines!$B:$B,MATCH(D215,Airlines!$A:$A,0)),"")</f>
        <v>Go_First</v>
      </c>
      <c r="F215" s="6" t="str">
        <f>VLOOKUP(A215,Bookings!$A:$F,6,FALSE())</f>
        <v>Economy</v>
      </c>
      <c r="G215" s="6" t="str">
        <f t="array" ref="G215">IFERROR(INDEX(Flights!$E:$E,MATCH(B215,Flights!$A:$A,0)),"")</f>
        <v>Mumbai</v>
      </c>
      <c r="H215" s="6" t="str">
        <f>VLOOKUP(B215,Flights!A:H,6,FALSE())</f>
        <v>Delhi</v>
      </c>
      <c r="I215" s="6" t="str">
        <f t="array" ref="I215">IFERROR(INDEX(Bookings!$G:$G,MATCH(B215,Bookings!$B:$B,0)),"")</f>
        <v>2+</v>
      </c>
      <c r="J215" s="5">
        <f>VLOOKUP(B215,Bookings!B:H,7,FALSE())</f>
        <v>7.25</v>
      </c>
      <c r="K215" s="5" t="str">
        <f t="shared" si="1"/>
        <v>Medium</v>
      </c>
      <c r="L215" s="11">
        <f t="array" ref="L215">IFERROR(INDEX(Bookings!$K:$K,MATCH(A215,Bookings!$A:$A,0)),"")</f>
        <v>11299</v>
      </c>
      <c r="M215" s="5" t="str">
        <f t="shared" si="2"/>
        <v>Medium</v>
      </c>
      <c r="N215" s="5">
        <f t="array" ref="N215">IFERROR(INDEX(Bookings!$I:$I,MATCH(A215,Bookings!$A:$A,0)),"")</f>
        <v>7</v>
      </c>
      <c r="O215" s="5" t="str">
        <f t="shared" si="3"/>
        <v>Last Minute</v>
      </c>
      <c r="P215" s="5" t="str">
        <f t="shared" si="4"/>
        <v>Mumbai -&gt; Delhi</v>
      </c>
    </row>
    <row r="216" ht="15.75" customHeight="1">
      <c r="A216" s="5" t="s">
        <v>910</v>
      </c>
      <c r="B216" s="5" t="s">
        <v>911</v>
      </c>
      <c r="C216" s="5" t="s">
        <v>195</v>
      </c>
      <c r="D216" s="5" t="s">
        <v>43</v>
      </c>
      <c r="E216" s="6" t="str">
        <f t="array" ref="E216">IFERROR(INDEX(Airlines!$B:$B,MATCH(D216,Airlines!$A:$A,0)),"")</f>
        <v>Indigo</v>
      </c>
      <c r="F216" s="6" t="str">
        <f>VLOOKUP(A216,Bookings!$A:$F,6,FALSE())</f>
        <v>Economy</v>
      </c>
      <c r="G216" s="6" t="str">
        <f t="array" ref="G216">IFERROR(INDEX(Flights!$E:$E,MATCH(B216,Flights!$A:$A,0)),"")</f>
        <v>Mumbai</v>
      </c>
      <c r="H216" s="6" t="str">
        <f>VLOOKUP(B216,Flights!A:H,6,FALSE())</f>
        <v>Delhi</v>
      </c>
      <c r="I216" s="6" t="str">
        <f t="array" ref="I216">IFERROR(INDEX(Bookings!$G:$G,MATCH(B216,Bookings!$B:$B,0)),"")</f>
        <v>0</v>
      </c>
      <c r="J216" s="5">
        <f>VLOOKUP(B216,Bookings!B:H,7,FALSE())</f>
        <v>2.08</v>
      </c>
      <c r="K216" s="5" t="str">
        <f t="shared" si="1"/>
        <v>Short</v>
      </c>
      <c r="L216" s="11">
        <f t="array" ref="L216">IFERROR(INDEX(Bookings!$K:$K,MATCH(A216,Bookings!$A:$A,0)),"")</f>
        <v>2339</v>
      </c>
      <c r="M216" s="5" t="str">
        <f t="shared" si="2"/>
        <v>Low</v>
      </c>
      <c r="N216" s="5">
        <f t="array" ref="N216">IFERROR(INDEX(Bookings!$I:$I,MATCH(A216,Bookings!$A:$A,0)),"")</f>
        <v>26</v>
      </c>
      <c r="O216" s="5" t="str">
        <f t="shared" si="3"/>
        <v>Moderate</v>
      </c>
      <c r="P216" s="5" t="str">
        <f t="shared" si="4"/>
        <v>Mumbai -&gt; Delhi</v>
      </c>
    </row>
    <row r="217" ht="15.75" customHeight="1">
      <c r="A217" s="5" t="s">
        <v>913</v>
      </c>
      <c r="B217" s="5" t="s">
        <v>914</v>
      </c>
      <c r="C217" s="5" t="s">
        <v>195</v>
      </c>
      <c r="D217" s="5" t="s">
        <v>29</v>
      </c>
      <c r="E217" s="6" t="str">
        <f t="array" ref="E217">IFERROR(INDEX(Airlines!$B:$B,MATCH(D217,Airlines!$A:$A,0)),"")</f>
        <v>AirAsia</v>
      </c>
      <c r="F217" s="6" t="str">
        <f>VLOOKUP(A217,Bookings!$A:$F,6,FALSE())</f>
        <v>Economy</v>
      </c>
      <c r="G217" s="6" t="str">
        <f t="array" ref="G217">IFERROR(INDEX(Flights!$E:$E,MATCH(B217,Flights!$A:$A,0)),"")</f>
        <v>Mumbai</v>
      </c>
      <c r="H217" s="6" t="str">
        <f>VLOOKUP(B217,Flights!A:H,6,FALSE())</f>
        <v>Delhi</v>
      </c>
      <c r="I217" s="6" t="str">
        <f t="array" ref="I217">IFERROR(INDEX(Bookings!$G:$G,MATCH(B217,Bookings!$B:$B,0)),"")</f>
        <v>1</v>
      </c>
      <c r="J217" s="5">
        <f>VLOOKUP(B217,Bookings!B:H,7,FALSE())</f>
        <v>6.67</v>
      </c>
      <c r="K217" s="5" t="str">
        <f t="shared" si="1"/>
        <v>Medium</v>
      </c>
      <c r="L217" s="11">
        <f t="array" ref="L217">IFERROR(INDEX(Bookings!$K:$K,MATCH(A217,Bookings!$A:$A,0)),"")</f>
        <v>2336</v>
      </c>
      <c r="M217" s="5" t="str">
        <f t="shared" si="2"/>
        <v>Low</v>
      </c>
      <c r="N217" s="5">
        <f t="array" ref="N217">IFERROR(INDEX(Bookings!$I:$I,MATCH(A217,Bookings!$A:$A,0)),"")</f>
        <v>26</v>
      </c>
      <c r="O217" s="5" t="str">
        <f t="shared" si="3"/>
        <v>Moderate</v>
      </c>
      <c r="P217" s="5" t="str">
        <f t="shared" si="4"/>
        <v>Mumbai -&gt; Delhi</v>
      </c>
    </row>
    <row r="218" ht="15.75" customHeight="1">
      <c r="A218" s="5" t="s">
        <v>917</v>
      </c>
      <c r="B218" s="5" t="s">
        <v>918</v>
      </c>
      <c r="C218" s="5" t="s">
        <v>195</v>
      </c>
      <c r="D218" s="5" t="s">
        <v>58</v>
      </c>
      <c r="E218" s="6" t="str">
        <f t="array" ref="E218">IFERROR(INDEX(Airlines!$B:$B,MATCH(D218,Airlines!$A:$A,0)),"")</f>
        <v>Go_First</v>
      </c>
      <c r="F218" s="6" t="str">
        <f>VLOOKUP(A218,Bookings!$A:$F,6,FALSE())</f>
        <v>Economy</v>
      </c>
      <c r="G218" s="6" t="str">
        <f t="array" ref="G218">IFERROR(INDEX(Flights!$E:$E,MATCH(B218,Flights!$A:$A,0)),"")</f>
        <v>Mumbai</v>
      </c>
      <c r="H218" s="6" t="str">
        <f>VLOOKUP(B218,Flights!A:H,6,FALSE())</f>
        <v>Delhi</v>
      </c>
      <c r="I218" s="6" t="str">
        <f t="array" ref="I218">IFERROR(INDEX(Bookings!$G:$G,MATCH(B218,Bookings!$B:$B,0)),"")</f>
        <v>1</v>
      </c>
      <c r="J218" s="5">
        <f>VLOOKUP(B218,Bookings!B:H,7,FALSE())</f>
        <v>9.83</v>
      </c>
      <c r="K218" s="5" t="str">
        <f t="shared" si="1"/>
        <v>Medium</v>
      </c>
      <c r="L218" s="11">
        <f t="array" ref="L218">IFERROR(INDEX(Bookings!$K:$K,MATCH(A218,Bookings!$A:$A,0)),"")</f>
        <v>5805</v>
      </c>
      <c r="M218" s="5" t="str">
        <f t="shared" si="2"/>
        <v>Medium</v>
      </c>
      <c r="N218" s="5" t="str">
        <f t="array" ref="N218">IFERROR(INDEX(Bookings!$I:$I,MATCH(A218,Bookings!$A:$A,0)),"")</f>
        <v/>
      </c>
      <c r="O218" s="5" t="str">
        <f t="shared" si="3"/>
        <v>Last Minute</v>
      </c>
      <c r="P218" s="5" t="str">
        <f t="shared" si="4"/>
        <v>Mumbai -&gt; Delhi</v>
      </c>
    </row>
    <row r="219" ht="15.75" customHeight="1">
      <c r="A219" s="5" t="s">
        <v>920</v>
      </c>
      <c r="B219" s="5" t="s">
        <v>921</v>
      </c>
      <c r="C219" s="5" t="s">
        <v>195</v>
      </c>
      <c r="D219" s="5" t="s">
        <v>43</v>
      </c>
      <c r="E219" s="6" t="str">
        <f t="array" ref="E219">IFERROR(INDEX(Airlines!$B:$B,MATCH(D219,Airlines!$A:$A,0)),"")</f>
        <v>Indigo</v>
      </c>
      <c r="F219" s="6" t="str">
        <f>VLOOKUP(A219,Bookings!$A:$F,6,FALSE())</f>
        <v>Economy</v>
      </c>
      <c r="G219" s="6" t="str">
        <f t="array" ref="G219">IFERROR(INDEX(Flights!$E:$E,MATCH(B219,Flights!$A:$A,0)),"")</f>
        <v>Mumbai</v>
      </c>
      <c r="H219" s="6" t="str">
        <f>VLOOKUP(B219,Flights!A:H,6,FALSE())</f>
        <v>Delhi</v>
      </c>
      <c r="I219" s="6" t="str">
        <f t="array" ref="I219">IFERROR(INDEX(Bookings!$G:$G,MATCH(B219,Bookings!$B:$B,0)),"")</f>
        <v>0</v>
      </c>
      <c r="J219" s="5">
        <f>VLOOKUP(B219,Bookings!B:H,7,FALSE())</f>
        <v>2.17</v>
      </c>
      <c r="K219" s="5" t="str">
        <f t="shared" si="1"/>
        <v>Short</v>
      </c>
      <c r="L219" s="11">
        <f t="array" ref="L219">IFERROR(INDEX(Bookings!$K:$K,MATCH(A219,Bookings!$A:$A,0)),"")</f>
        <v>2738</v>
      </c>
      <c r="M219" s="5" t="str">
        <f t="shared" si="2"/>
        <v>Low</v>
      </c>
      <c r="N219" s="5">
        <f t="array" ref="N219">IFERROR(INDEX(Bookings!$I:$I,MATCH(A219,Bookings!$A:$A,0)),"")</f>
        <v>27</v>
      </c>
      <c r="O219" s="5" t="str">
        <f t="shared" si="3"/>
        <v>Moderate</v>
      </c>
      <c r="P219" s="5" t="str">
        <f t="shared" si="4"/>
        <v>Mumbai -&gt; Delhi</v>
      </c>
    </row>
    <row r="220" ht="15.75" customHeight="1">
      <c r="A220" s="5" t="s">
        <v>924</v>
      </c>
      <c r="B220" s="5" t="s">
        <v>925</v>
      </c>
      <c r="C220" s="5" t="s">
        <v>195</v>
      </c>
      <c r="D220" s="5" t="s">
        <v>45</v>
      </c>
      <c r="E220" s="6" t="str">
        <f t="array" ref="E220">IFERROR(INDEX(Airlines!$B:$B,MATCH(D220,Airlines!$A:$A,0)),"")</f>
        <v>Air_India</v>
      </c>
      <c r="F220" s="6" t="str">
        <f>VLOOKUP(A220,Bookings!$A:$F,6,FALSE())</f>
        <v>Economy</v>
      </c>
      <c r="G220" s="6" t="str">
        <f t="array" ref="G220">IFERROR(INDEX(Flights!$E:$E,MATCH(B220,Flights!$A:$A,0)),"")</f>
        <v>Mumbai</v>
      </c>
      <c r="H220" s="6" t="str">
        <f>VLOOKUP(B220,Flights!A:H,6,FALSE())</f>
        <v>Delhi</v>
      </c>
      <c r="I220" s="6" t="str">
        <f t="array" ref="I220">IFERROR(INDEX(Bookings!$G:$G,MATCH(B220,Bookings!$B:$B,0)),"")</f>
        <v>1</v>
      </c>
      <c r="J220" s="5">
        <f>VLOOKUP(B220,Bookings!B:H,7,FALSE())</f>
        <v>8.58</v>
      </c>
      <c r="K220" s="5" t="str">
        <f t="shared" si="1"/>
        <v>Medium</v>
      </c>
      <c r="L220" s="11">
        <f t="array" ref="L220">IFERROR(INDEX(Bookings!$K:$K,MATCH(A220,Bookings!$A:$A,0)),"")</f>
        <v>5523</v>
      </c>
      <c r="M220" s="5" t="str">
        <f t="shared" si="2"/>
        <v>Medium</v>
      </c>
      <c r="N220" s="5">
        <f t="array" ref="N220">IFERROR(INDEX(Bookings!$I:$I,MATCH(A220,Bookings!$A:$A,0)),"")</f>
        <v>46</v>
      </c>
      <c r="O220" s="5" t="str">
        <f t="shared" si="3"/>
        <v>Advance</v>
      </c>
      <c r="P220" s="5" t="str">
        <f t="shared" si="4"/>
        <v>Mumbai -&gt; Delhi</v>
      </c>
    </row>
    <row r="221" ht="15.75" customHeight="1">
      <c r="A221" s="5" t="s">
        <v>929</v>
      </c>
      <c r="B221" s="5" t="s">
        <v>930</v>
      </c>
      <c r="C221" s="5" t="s">
        <v>195</v>
      </c>
      <c r="D221" s="5" t="s">
        <v>58</v>
      </c>
      <c r="E221" s="6" t="str">
        <f t="array" ref="E221">IFERROR(INDEX(Airlines!$B:$B,MATCH(D221,Airlines!$A:$A,0)),"")</f>
        <v>Go_First</v>
      </c>
      <c r="F221" s="6" t="str">
        <f>VLOOKUP(A221,Bookings!$A:$F,6,FALSE())</f>
        <v>Economy</v>
      </c>
      <c r="G221" s="6" t="str">
        <f t="array" ref="G221">IFERROR(INDEX(Flights!$E:$E,MATCH(B221,Flights!$A:$A,0)),"")</f>
        <v>Mumbai</v>
      </c>
      <c r="H221" s="6" t="str">
        <f>VLOOKUP(B221,Flights!A:H,6,FALSE())</f>
        <v>Delhi</v>
      </c>
      <c r="I221" s="6" t="str">
        <f t="array" ref="I221">IFERROR(INDEX(Bookings!$G:$G,MATCH(B221,Bookings!$B:$B,0)),"")</f>
        <v>1</v>
      </c>
      <c r="J221" s="5">
        <f>VLOOKUP(B221,Bookings!B:H,7,FALSE())</f>
        <v>11.58</v>
      </c>
      <c r="K221" s="5" t="str">
        <f t="shared" si="1"/>
        <v>Long</v>
      </c>
      <c r="L221" s="11">
        <f t="array" ref="L221">IFERROR(INDEX(Bookings!$K:$K,MATCH(A221,Bookings!$A:$A,0)),"")</f>
        <v>5193</v>
      </c>
      <c r="M221" s="5" t="str">
        <f t="shared" si="2"/>
        <v>Medium</v>
      </c>
      <c r="N221" s="5" t="str">
        <f t="array" ref="N221">IFERROR(INDEX(Bookings!$I:$I,MATCH(A221,Bookings!$A:$A,0)),"")</f>
        <v/>
      </c>
      <c r="O221" s="5" t="str">
        <f t="shared" si="3"/>
        <v>Last Minute</v>
      </c>
      <c r="P221" s="5" t="str">
        <f t="shared" si="4"/>
        <v>Mumbai -&gt; Delhi</v>
      </c>
    </row>
    <row r="222" ht="15.75" customHeight="1">
      <c r="A222" s="5" t="s">
        <v>933</v>
      </c>
      <c r="B222" s="5" t="s">
        <v>934</v>
      </c>
      <c r="C222" s="5" t="s">
        <v>195</v>
      </c>
      <c r="D222" s="5" t="s">
        <v>43</v>
      </c>
      <c r="E222" s="6" t="str">
        <f t="array" ref="E222">IFERROR(INDEX(Airlines!$B:$B,MATCH(D222,Airlines!$A:$A,0)),"")</f>
        <v>Indigo</v>
      </c>
      <c r="F222" s="6" t="str">
        <f>VLOOKUP(A222,Bookings!$A:$F,6,FALSE())</f>
        <v>Economy</v>
      </c>
      <c r="G222" s="6" t="str">
        <f t="array" ref="G222">IFERROR(INDEX(Flights!$E:$E,MATCH(B222,Flights!$A:$A,0)),"")</f>
        <v>Mumbai</v>
      </c>
      <c r="H222" s="6" t="str">
        <f>VLOOKUP(B222,Flights!A:H,6,FALSE())</f>
        <v>Delhi</v>
      </c>
      <c r="I222" s="6" t="str">
        <f t="array" ref="I222">IFERROR(INDEX(Bookings!$G:$G,MATCH(B222,Bookings!$B:$B,0)),"")</f>
        <v>0</v>
      </c>
      <c r="J222" s="5">
        <f>VLOOKUP(B222,Bookings!B:H,7,FALSE())</f>
        <v>2.17</v>
      </c>
      <c r="K222" s="5" t="str">
        <f t="shared" si="1"/>
        <v>Short</v>
      </c>
      <c r="L222" s="11">
        <f t="array" ref="L222">IFERROR(INDEX(Bookings!$K:$K,MATCH(A222,Bookings!$A:$A,0)),"")</f>
        <v>2339</v>
      </c>
      <c r="M222" s="5" t="str">
        <f t="shared" si="2"/>
        <v>Low</v>
      </c>
      <c r="N222" s="5">
        <f t="array" ref="N222">IFERROR(INDEX(Bookings!$I:$I,MATCH(A222,Bookings!$A:$A,0)),"")</f>
        <v>46</v>
      </c>
      <c r="O222" s="5" t="str">
        <f t="shared" si="3"/>
        <v>Advance</v>
      </c>
      <c r="P222" s="5" t="str">
        <f t="shared" si="4"/>
        <v>Mumbai -&gt; Delhi</v>
      </c>
    </row>
    <row r="223" ht="15.75" customHeight="1">
      <c r="A223" s="5" t="s">
        <v>936</v>
      </c>
      <c r="B223" s="5" t="s">
        <v>937</v>
      </c>
      <c r="C223" s="5" t="s">
        <v>195</v>
      </c>
      <c r="D223" s="5" t="s">
        <v>43</v>
      </c>
      <c r="E223" s="6" t="str">
        <f t="array" ref="E223">IFERROR(INDEX(Airlines!$B:$B,MATCH(D223,Airlines!$A:$A,0)),"")</f>
        <v>Indigo</v>
      </c>
      <c r="F223" s="6" t="str">
        <f>VLOOKUP(A223,Bookings!$A:$F,6,FALSE())</f>
        <v>Economy</v>
      </c>
      <c r="G223" s="6" t="str">
        <f t="array" ref="G223">IFERROR(INDEX(Flights!$E:$E,MATCH(B223,Flights!$A:$A,0)),"")</f>
        <v>Mumbai</v>
      </c>
      <c r="H223" s="6" t="str">
        <f>VLOOKUP(B223,Flights!A:H,6,FALSE())</f>
        <v>Delhi</v>
      </c>
      <c r="I223" s="6" t="str">
        <f t="array" ref="I223">IFERROR(INDEX(Bookings!$G:$G,MATCH(B223,Bookings!$B:$B,0)),"")</f>
        <v>0</v>
      </c>
      <c r="J223" s="5">
        <f>VLOOKUP(B223,Bookings!B:H,7,FALSE())</f>
        <v>2.25</v>
      </c>
      <c r="K223" s="5" t="str">
        <f t="shared" si="1"/>
        <v>Short</v>
      </c>
      <c r="L223" s="11">
        <f t="array" ref="L223">IFERROR(INDEX(Bookings!$K:$K,MATCH(A223,Bookings!$A:$A,0)),"")</f>
        <v>2738</v>
      </c>
      <c r="M223" s="5" t="str">
        <f t="shared" si="2"/>
        <v>Low</v>
      </c>
      <c r="N223" s="5">
        <f t="array" ref="N223">IFERROR(INDEX(Bookings!$I:$I,MATCH(A223,Bookings!$A:$A,0)),"")</f>
        <v>46</v>
      </c>
      <c r="O223" s="5" t="str">
        <f t="shared" si="3"/>
        <v>Advance</v>
      </c>
      <c r="P223" s="5" t="str">
        <f t="shared" si="4"/>
        <v>Mumbai -&gt; Delhi</v>
      </c>
    </row>
    <row r="224" ht="15.75" customHeight="1">
      <c r="A224" s="5" t="s">
        <v>940</v>
      </c>
      <c r="B224" s="5" t="s">
        <v>941</v>
      </c>
      <c r="C224" s="5" t="s">
        <v>195</v>
      </c>
      <c r="D224" s="5" t="s">
        <v>58</v>
      </c>
      <c r="E224" s="6" t="str">
        <f t="array" ref="E224">IFERROR(INDEX(Airlines!$B:$B,MATCH(D224,Airlines!$A:$A,0)),"")</f>
        <v>Go_First</v>
      </c>
      <c r="F224" s="6" t="str">
        <f>VLOOKUP(A224,Bookings!$A:$F,6,FALSE())</f>
        <v>Economy</v>
      </c>
      <c r="G224" s="6" t="str">
        <f t="array" ref="G224">IFERROR(INDEX(Flights!$E:$E,MATCH(B224,Flights!$A:$A,0)),"")</f>
        <v>Mumbai</v>
      </c>
      <c r="H224" s="6" t="str">
        <f>VLOOKUP(B224,Flights!A:H,6,FALSE())</f>
        <v>Delhi</v>
      </c>
      <c r="I224" s="6" t="str">
        <f t="array" ref="I224">IFERROR(INDEX(Bookings!$G:$G,MATCH(B224,Bookings!$B:$B,0)),"")</f>
        <v>0</v>
      </c>
      <c r="J224" s="5">
        <f>VLOOKUP(B224,Bookings!B:H,7,FALSE())</f>
        <v>2.25</v>
      </c>
      <c r="K224" s="5" t="str">
        <f t="shared" si="1"/>
        <v>Short</v>
      </c>
      <c r="L224" s="11">
        <f t="array" ref="L224">IFERROR(INDEX(Bookings!$K:$K,MATCH(A224,Bookings!$A:$A,0)),"")</f>
        <v>2339</v>
      </c>
      <c r="M224" s="5" t="str">
        <f t="shared" si="2"/>
        <v>Low</v>
      </c>
      <c r="N224" s="5">
        <f t="array" ref="N224">IFERROR(INDEX(Bookings!$I:$I,MATCH(A224,Bookings!$A:$A,0)),"")</f>
        <v>45</v>
      </c>
      <c r="O224" s="5" t="str">
        <f t="shared" si="3"/>
        <v>Advance</v>
      </c>
      <c r="P224" s="5" t="str">
        <f t="shared" si="4"/>
        <v>Mumbai -&gt; Delhi</v>
      </c>
    </row>
    <row r="225" ht="15.75" customHeight="1">
      <c r="A225" s="5" t="s">
        <v>944</v>
      </c>
      <c r="B225" s="5" t="s">
        <v>945</v>
      </c>
      <c r="C225" s="5" t="s">
        <v>195</v>
      </c>
      <c r="D225" s="5" t="s">
        <v>29</v>
      </c>
      <c r="E225" s="6" t="str">
        <f t="array" ref="E225">IFERROR(INDEX(Airlines!$B:$B,MATCH(D225,Airlines!$A:$A,0)),"")</f>
        <v>AirAsia</v>
      </c>
      <c r="F225" s="6" t="str">
        <f>VLOOKUP(A225,Bookings!$A:$F,6,FALSE())</f>
        <v>Economy</v>
      </c>
      <c r="G225" s="6" t="str">
        <f t="array" ref="G225">IFERROR(INDEX(Flights!$E:$E,MATCH(B225,Flights!$A:$A,0)),"")</f>
        <v>Mumbai</v>
      </c>
      <c r="H225" s="6" t="str">
        <f>VLOOKUP(B225,Flights!A:H,6,FALSE())</f>
        <v>Delhi</v>
      </c>
      <c r="I225" s="6" t="str">
        <f t="array" ref="I225">IFERROR(INDEX(Bookings!$G:$G,MATCH(B225,Bookings!$B:$B,0)),"")</f>
        <v>1</v>
      </c>
      <c r="J225" s="5">
        <f>VLOOKUP(B225,Bookings!B:H,7,FALSE())</f>
        <v>12.75</v>
      </c>
      <c r="K225" s="5" t="str">
        <f t="shared" si="1"/>
        <v>Long</v>
      </c>
      <c r="L225" s="11">
        <f t="array" ref="L225">IFERROR(INDEX(Bookings!$K:$K,MATCH(A225,Bookings!$A:$A,0)),"")</f>
        <v>2336</v>
      </c>
      <c r="M225" s="5" t="str">
        <f t="shared" si="2"/>
        <v>Low</v>
      </c>
      <c r="N225" s="5">
        <f t="array" ref="N225">IFERROR(INDEX(Bookings!$I:$I,MATCH(A225,Bookings!$A:$A,0)),"")</f>
        <v>46</v>
      </c>
      <c r="O225" s="5" t="str">
        <f t="shared" si="3"/>
        <v>Advance</v>
      </c>
      <c r="P225" s="5" t="str">
        <f t="shared" si="4"/>
        <v>Mumbai -&gt; Delhi</v>
      </c>
    </row>
    <row r="226" ht="15.75" customHeight="1">
      <c r="A226" s="5" t="s">
        <v>948</v>
      </c>
      <c r="B226" s="5" t="s">
        <v>949</v>
      </c>
      <c r="C226" s="5" t="s">
        <v>195</v>
      </c>
      <c r="D226" s="5" t="s">
        <v>43</v>
      </c>
      <c r="E226" s="6" t="str">
        <f t="array" ref="E226">IFERROR(INDEX(Airlines!$B:$B,MATCH(D226,Airlines!$A:$A,0)),"")</f>
        <v>Indigo</v>
      </c>
      <c r="F226" s="6" t="str">
        <f>VLOOKUP(A226,Bookings!$A:$F,6,FALSE())</f>
        <v>Economy</v>
      </c>
      <c r="G226" s="6" t="str">
        <f t="array" ref="G226">IFERROR(INDEX(Flights!$E:$E,MATCH(B226,Flights!$A:$A,0)),"")</f>
        <v>Mumbai</v>
      </c>
      <c r="H226" s="6" t="str">
        <f>VLOOKUP(B226,Flights!A:H,6,FALSE())</f>
        <v>Delhi</v>
      </c>
      <c r="I226" s="6" t="str">
        <f t="array" ref="I226">IFERROR(INDEX(Bookings!$G:$G,MATCH(B226,Bookings!$B:$B,0)),"")</f>
        <v>1</v>
      </c>
      <c r="J226" s="5">
        <f>VLOOKUP(B226,Bookings!B:H,7,FALSE())</f>
        <v>8.08</v>
      </c>
      <c r="K226" s="5" t="str">
        <f t="shared" si="1"/>
        <v>Medium</v>
      </c>
      <c r="L226" s="11">
        <f t="array" ref="L226">IFERROR(INDEX(Bookings!$K:$K,MATCH(A226,Bookings!$A:$A,0)),"")</f>
        <v>2339</v>
      </c>
      <c r="M226" s="5" t="str">
        <f t="shared" si="2"/>
        <v>Low</v>
      </c>
      <c r="N226" s="5">
        <f t="array" ref="N226">IFERROR(INDEX(Bookings!$I:$I,MATCH(A226,Bookings!$A:$A,0)),"")</f>
        <v>46</v>
      </c>
      <c r="O226" s="5" t="str">
        <f t="shared" si="3"/>
        <v>Advance</v>
      </c>
      <c r="P226" s="5" t="str">
        <f t="shared" si="4"/>
        <v>Mumbai -&gt; Delhi</v>
      </c>
    </row>
    <row r="227" ht="15.75" customHeight="1">
      <c r="A227" s="5" t="s">
        <v>950</v>
      </c>
      <c r="B227" s="5" t="s">
        <v>952</v>
      </c>
      <c r="C227" s="5" t="s">
        <v>195</v>
      </c>
      <c r="D227" s="5" t="s">
        <v>43</v>
      </c>
      <c r="E227" s="6" t="str">
        <f t="array" ref="E227">IFERROR(INDEX(Airlines!$B:$B,MATCH(D227,Airlines!$A:$A,0)),"")</f>
        <v>Indigo</v>
      </c>
      <c r="F227" s="6" t="str">
        <f>VLOOKUP(A227,Bookings!$A:$F,6,FALSE())</f>
        <v>Economy</v>
      </c>
      <c r="G227" s="6" t="str">
        <f t="array" ref="G227">IFERROR(INDEX(Flights!$E:$E,MATCH(B227,Flights!$A:$A,0)),"")</f>
        <v>Mumbai</v>
      </c>
      <c r="H227" s="6" t="str">
        <f>VLOOKUP(B227,Flights!A:H,6,FALSE())</f>
        <v>Delhi</v>
      </c>
      <c r="I227" s="6" t="str">
        <f t="array" ref="I227">IFERROR(INDEX(Bookings!$G:$G,MATCH(B227,Bookings!$B:$B,0)),"")</f>
        <v>1</v>
      </c>
      <c r="J227" s="5">
        <f>VLOOKUP(B227,Bookings!B:H,7,FALSE())</f>
        <v>10.75</v>
      </c>
      <c r="K227" s="5" t="str">
        <f t="shared" si="1"/>
        <v>Long</v>
      </c>
      <c r="L227" s="11">
        <f t="array" ref="L227">IFERROR(INDEX(Bookings!$K:$K,MATCH(A227,Bookings!$A:$A,0)),"")</f>
        <v>2339</v>
      </c>
      <c r="M227" s="5" t="str">
        <f t="shared" si="2"/>
        <v>Low</v>
      </c>
      <c r="N227" s="5">
        <f t="array" ref="N227">IFERROR(INDEX(Bookings!$I:$I,MATCH(A227,Bookings!$A:$A,0)),"")</f>
        <v>46</v>
      </c>
      <c r="O227" s="5" t="str">
        <f t="shared" si="3"/>
        <v>Advance</v>
      </c>
      <c r="P227" s="5" t="str">
        <f t="shared" si="4"/>
        <v>Mumbai -&gt; Delhi</v>
      </c>
    </row>
    <row r="228" ht="15.75" customHeight="1">
      <c r="A228" s="5" t="s">
        <v>954</v>
      </c>
      <c r="B228" s="5" t="s">
        <v>955</v>
      </c>
      <c r="C228" s="5" t="s">
        <v>195</v>
      </c>
      <c r="D228" s="5" t="s">
        <v>45</v>
      </c>
      <c r="E228" s="6" t="str">
        <f t="array" ref="E228">IFERROR(INDEX(Airlines!$B:$B,MATCH(D228,Airlines!$A:$A,0)),"")</f>
        <v>Air_India</v>
      </c>
      <c r="F228" s="6" t="str">
        <f>VLOOKUP(A228,Bookings!$A:$F,6,FALSE())</f>
        <v>Economy</v>
      </c>
      <c r="G228" s="6" t="str">
        <f t="array" ref="G228">IFERROR(INDEX(Flights!$E:$E,MATCH(B228,Flights!$A:$A,0)),"")</f>
        <v>Mumbai</v>
      </c>
      <c r="H228" s="6" t="str">
        <f>VLOOKUP(B228,Flights!A:H,6,FALSE())</f>
        <v>Delhi</v>
      </c>
      <c r="I228" s="6" t="str">
        <f t="array" ref="I228">IFERROR(INDEX(Bookings!$G:$G,MATCH(B228,Bookings!$B:$B,0)),"")</f>
        <v>1</v>
      </c>
      <c r="J228" s="5">
        <f>VLOOKUP(B228,Bookings!B:H,7,FALSE())</f>
        <v>4</v>
      </c>
      <c r="K228" s="5" t="str">
        <f t="shared" si="1"/>
        <v>Short</v>
      </c>
      <c r="L228" s="11">
        <f t="array" ref="L228">IFERROR(INDEX(Bookings!$K:$K,MATCH(A228,Bookings!$A:$A,0)),"")</f>
        <v>4149</v>
      </c>
      <c r="M228" s="5" t="str">
        <f t="shared" si="2"/>
        <v>Low</v>
      </c>
      <c r="N228" s="5">
        <f t="array" ref="N228">IFERROR(INDEX(Bookings!$I:$I,MATCH(A228,Bookings!$A:$A,0)),"")</f>
        <v>45</v>
      </c>
      <c r="O228" s="5" t="str">
        <f t="shared" si="3"/>
        <v>Advance</v>
      </c>
      <c r="P228" s="5" t="str">
        <f t="shared" si="4"/>
        <v>Mumbai -&gt; Delhi</v>
      </c>
    </row>
    <row r="229" ht="15.75" customHeight="1">
      <c r="A229" s="5" t="s">
        <v>958</v>
      </c>
      <c r="B229" s="5" t="s">
        <v>959</v>
      </c>
      <c r="C229" s="5" t="s">
        <v>195</v>
      </c>
      <c r="D229" s="5" t="s">
        <v>45</v>
      </c>
      <c r="E229" s="6" t="str">
        <f t="array" ref="E229">IFERROR(INDEX(Airlines!$B:$B,MATCH(D229,Airlines!$A:$A,0)),"")</f>
        <v>Air_India</v>
      </c>
      <c r="F229" s="6" t="str">
        <f>VLOOKUP(A229,Bookings!$A:$F,6,FALSE())</f>
        <v>Business</v>
      </c>
      <c r="G229" s="6" t="str">
        <f t="array" ref="G229">IFERROR(INDEX(Flights!$E:$E,MATCH(B229,Flights!$A:$A,0)),"")</f>
        <v>Mumbai</v>
      </c>
      <c r="H229" s="6" t="str">
        <f>VLOOKUP(B229,Flights!A:H,6,FALSE())</f>
        <v>Delhi</v>
      </c>
      <c r="I229" s="6" t="str">
        <f t="array" ref="I229">IFERROR(INDEX(Bookings!$G:$G,MATCH(B229,Bookings!$B:$B,0)),"")</f>
        <v>1</v>
      </c>
      <c r="J229" s="5">
        <f>VLOOKUP(B229,Bookings!B:H,7,FALSE())</f>
        <v>11.75</v>
      </c>
      <c r="K229" s="5" t="str">
        <f t="shared" si="1"/>
        <v>Long</v>
      </c>
      <c r="L229" s="11">
        <f t="array" ref="L229">IFERROR(INDEX(Bookings!$K:$K,MATCH(A229,Bookings!$A:$A,0)),"")</f>
        <v>39847</v>
      </c>
      <c r="M229" s="5" t="str">
        <f t="shared" si="2"/>
        <v>High</v>
      </c>
      <c r="N229" s="5">
        <f t="array" ref="N229">IFERROR(INDEX(Bookings!$I:$I,MATCH(A229,Bookings!$A:$A,0)),"")</f>
        <v>48</v>
      </c>
      <c r="O229" s="5" t="str">
        <f t="shared" si="3"/>
        <v>Advance</v>
      </c>
      <c r="P229" s="5" t="str">
        <f t="shared" si="4"/>
        <v>Mumbai -&gt; Delhi</v>
      </c>
    </row>
    <row r="230" ht="15.75" customHeight="1">
      <c r="A230" s="5" t="s">
        <v>962</v>
      </c>
      <c r="B230" s="5" t="s">
        <v>963</v>
      </c>
      <c r="C230" s="5" t="s">
        <v>195</v>
      </c>
      <c r="D230" s="5" t="s">
        <v>58</v>
      </c>
      <c r="E230" s="6" t="str">
        <f t="array" ref="E230">IFERROR(INDEX(Airlines!$B:$B,MATCH(D230,Airlines!$A:$A,0)),"")</f>
        <v>Go_First</v>
      </c>
      <c r="F230" s="6" t="str">
        <f>VLOOKUP(A230,Bookings!$A:$F,6,FALSE())</f>
        <v>Economy</v>
      </c>
      <c r="G230" s="6" t="str">
        <f t="array" ref="G230">IFERROR(INDEX(Flights!$E:$E,MATCH(B230,Flights!$A:$A,0)),"")</f>
        <v>Mumbai</v>
      </c>
      <c r="H230" s="6" t="str">
        <f>VLOOKUP(B230,Flights!A:H,6,FALSE())</f>
        <v>Delhi</v>
      </c>
      <c r="I230" s="6" t="str">
        <f t="array" ref="I230">IFERROR(INDEX(Bookings!$G:$G,MATCH(B230,Bookings!$B:$B,0)),"")</f>
        <v>1</v>
      </c>
      <c r="J230" s="5">
        <f>VLOOKUP(B230,Bookings!B:H,7,FALSE())</f>
        <v>9.17</v>
      </c>
      <c r="K230" s="5" t="str">
        <f t="shared" si="1"/>
        <v>Medium</v>
      </c>
      <c r="L230" s="11">
        <f t="array" ref="L230">IFERROR(INDEX(Bookings!$K:$K,MATCH(A230,Bookings!$A:$A,0)),"")</f>
        <v>5193</v>
      </c>
      <c r="M230" s="5" t="str">
        <f t="shared" si="2"/>
        <v>Medium</v>
      </c>
      <c r="N230" s="5">
        <f t="array" ref="N230">IFERROR(INDEX(Bookings!$I:$I,MATCH(A230,Bookings!$A:$A,0)),"")</f>
        <v>46</v>
      </c>
      <c r="O230" s="5" t="str">
        <f t="shared" si="3"/>
        <v>Advance</v>
      </c>
      <c r="P230" s="5" t="str">
        <f t="shared" si="4"/>
        <v>Mumbai -&gt; Delhi</v>
      </c>
    </row>
    <row r="231" ht="15.75" customHeight="1">
      <c r="A231" s="5" t="s">
        <v>966</v>
      </c>
      <c r="B231" s="5" t="s">
        <v>967</v>
      </c>
      <c r="C231" s="5" t="s">
        <v>195</v>
      </c>
      <c r="D231" s="5" t="s">
        <v>58</v>
      </c>
      <c r="E231" s="6" t="str">
        <f t="array" ref="E231">IFERROR(INDEX(Airlines!$B:$B,MATCH(D231,Airlines!$A:$A,0)),"")</f>
        <v>Go_First</v>
      </c>
      <c r="F231" s="6" t="str">
        <f>VLOOKUP(A231,Bookings!$A:$F,6,FALSE())</f>
        <v>Economy</v>
      </c>
      <c r="G231" s="6" t="str">
        <f t="array" ref="G231">IFERROR(INDEX(Flights!$E:$E,MATCH(B231,Flights!$A:$A,0)),"")</f>
        <v>Mumbai</v>
      </c>
      <c r="H231" s="6" t="str">
        <f>VLOOKUP(B231,Flights!A:H,6,FALSE())</f>
        <v>Delhi</v>
      </c>
      <c r="I231" s="6" t="str">
        <f t="array" ref="I231">IFERROR(INDEX(Bookings!$G:$G,MATCH(B231,Bookings!$B:$B,0)),"")</f>
        <v>1</v>
      </c>
      <c r="J231" s="5">
        <f>VLOOKUP(B231,Bookings!B:H,7,FALSE())</f>
        <v>9.08</v>
      </c>
      <c r="K231" s="5" t="str">
        <f t="shared" si="1"/>
        <v>Medium</v>
      </c>
      <c r="L231" s="11">
        <f t="array" ref="L231">IFERROR(INDEX(Bookings!$K:$K,MATCH(A231,Bookings!$A:$A,0)),"")</f>
        <v>6068</v>
      </c>
      <c r="M231" s="5" t="str">
        <f t="shared" si="2"/>
        <v>Medium</v>
      </c>
      <c r="N231" s="5">
        <f t="array" ref="N231">IFERROR(INDEX(Bookings!$I:$I,MATCH(A231,Bookings!$A:$A,0)),"")</f>
        <v>46</v>
      </c>
      <c r="O231" s="5" t="str">
        <f t="shared" si="3"/>
        <v>Advance</v>
      </c>
      <c r="P231" s="5" t="str">
        <f t="shared" si="4"/>
        <v>Mumbai -&gt; Delhi</v>
      </c>
    </row>
    <row r="232" ht="15.75" customHeight="1">
      <c r="A232" s="5" t="s">
        <v>970</v>
      </c>
      <c r="B232" s="5" t="s">
        <v>972</v>
      </c>
      <c r="C232" s="5" t="s">
        <v>195</v>
      </c>
      <c r="D232" s="5" t="s">
        <v>45</v>
      </c>
      <c r="E232" s="6" t="str">
        <f t="array" ref="E232">IFERROR(INDEX(Airlines!$B:$B,MATCH(D232,Airlines!$A:$A,0)),"")</f>
        <v>Air_India</v>
      </c>
      <c r="F232" s="6" t="str">
        <f>VLOOKUP(A232,Bookings!$A:$F,6,FALSE())</f>
        <v>Economy</v>
      </c>
      <c r="G232" s="6" t="str">
        <f t="array" ref="G232">IFERROR(INDEX(Flights!$E:$E,MATCH(B232,Flights!$A:$A,0)),"")</f>
        <v>Mumbai</v>
      </c>
      <c r="H232" s="6" t="str">
        <f>VLOOKUP(B232,Flights!A:H,6,FALSE())</f>
        <v>Delhi</v>
      </c>
      <c r="I232" s="6" t="str">
        <f t="array" ref="I232">IFERROR(INDEX(Bookings!$G:$G,MATCH(B232,Bookings!$B:$B,0)),"")</f>
        <v>1</v>
      </c>
      <c r="J232" s="5">
        <f>VLOOKUP(B232,Bookings!B:H,7,FALSE())</f>
        <v>4.58</v>
      </c>
      <c r="K232" s="5" t="str">
        <f t="shared" si="1"/>
        <v>Medium</v>
      </c>
      <c r="L232" s="11">
        <f t="array" ref="L232">IFERROR(INDEX(Bookings!$K:$K,MATCH(A232,Bookings!$A:$A,0)),"")</f>
        <v>4221</v>
      </c>
      <c r="M232" s="5" t="str">
        <f t="shared" si="2"/>
        <v>Low</v>
      </c>
      <c r="N232" s="5">
        <f t="array" ref="N232">IFERROR(INDEX(Bookings!$I:$I,MATCH(A232,Bookings!$A:$A,0)),"")</f>
        <v>48</v>
      </c>
      <c r="O232" s="5" t="str">
        <f t="shared" si="3"/>
        <v>Advance</v>
      </c>
      <c r="P232" s="5" t="str">
        <f t="shared" si="4"/>
        <v>Mumbai -&gt; Delhi</v>
      </c>
    </row>
    <row r="233" ht="15.75" customHeight="1">
      <c r="A233" s="5" t="s">
        <v>976</v>
      </c>
      <c r="B233" s="5" t="s">
        <v>977</v>
      </c>
      <c r="C233" s="5" t="s">
        <v>195</v>
      </c>
      <c r="D233" s="5" t="s">
        <v>45</v>
      </c>
      <c r="E233" s="6" t="str">
        <f t="array" ref="E233">IFERROR(INDEX(Airlines!$B:$B,MATCH(D233,Airlines!$A:$A,0)),"")</f>
        <v>Air_India</v>
      </c>
      <c r="F233" s="6" t="str">
        <f>VLOOKUP(A233,Bookings!$A:$F,6,FALSE())</f>
        <v>Economy</v>
      </c>
      <c r="G233" s="6" t="str">
        <f t="array" ref="G233">IFERROR(INDEX(Flights!$E:$E,MATCH(B233,Flights!$A:$A,0)),"")</f>
        <v>Mumbai</v>
      </c>
      <c r="H233" s="6" t="str">
        <f>VLOOKUP(B233,Flights!A:H,6,FALSE())</f>
        <v>Delhi</v>
      </c>
      <c r="I233" s="6" t="str">
        <f t="array" ref="I233">IFERROR(INDEX(Bookings!$G:$G,MATCH(B233,Bookings!$B:$B,0)),"")</f>
        <v>1</v>
      </c>
      <c r="J233" s="5">
        <f>VLOOKUP(B233,Bookings!B:H,7,FALSE())</f>
        <v>25.42</v>
      </c>
      <c r="K233" s="5" t="str">
        <f t="shared" si="1"/>
        <v>Long</v>
      </c>
      <c r="L233" s="11">
        <f t="array" ref="L233">IFERROR(INDEX(Bookings!$K:$K,MATCH(A233,Bookings!$A:$A,0)),"")</f>
        <v>5840</v>
      </c>
      <c r="M233" s="5" t="str">
        <f t="shared" si="2"/>
        <v>Medium</v>
      </c>
      <c r="N233" s="5">
        <f t="array" ref="N233">IFERROR(INDEX(Bookings!$I:$I,MATCH(A233,Bookings!$A:$A,0)),"")</f>
        <v>49</v>
      </c>
      <c r="O233" s="5" t="str">
        <f t="shared" si="3"/>
        <v>Advance</v>
      </c>
      <c r="P233" s="5" t="str">
        <f t="shared" si="4"/>
        <v>Mumbai -&gt; Delhi</v>
      </c>
    </row>
    <row r="234" ht="15.75" customHeight="1">
      <c r="A234" s="5" t="s">
        <v>980</v>
      </c>
      <c r="B234" s="5" t="s">
        <v>981</v>
      </c>
      <c r="C234" s="5" t="s">
        <v>220</v>
      </c>
      <c r="D234" s="5" t="s">
        <v>43</v>
      </c>
      <c r="E234" s="6" t="str">
        <f t="array" ref="E234">IFERROR(INDEX(Airlines!$B:$B,MATCH(D234,Airlines!$A:$A,0)),"")</f>
        <v>Indigo</v>
      </c>
      <c r="F234" s="6" t="str">
        <f>VLOOKUP(A234,Bookings!$A:$F,6,FALSE())</f>
        <v>Economy</v>
      </c>
      <c r="G234" s="6" t="str">
        <f t="array" ref="G234">IFERROR(INDEX(Flights!$E:$E,MATCH(B234,Flights!$A:$A,0)),"")</f>
        <v>Mumbai</v>
      </c>
      <c r="H234" s="6" t="str">
        <f>VLOOKUP(B234,Flights!A:H,6,FALSE())</f>
        <v>Bengaluru</v>
      </c>
      <c r="I234" s="6" t="str">
        <f t="array" ref="I234">IFERROR(INDEX(Bookings!$G:$G,MATCH(B234,Bookings!$B:$B,0)),"")</f>
        <v>0</v>
      </c>
      <c r="J234" s="5">
        <f>VLOOKUP(B234,Bookings!B:H,7,FALSE())</f>
        <v>1.83</v>
      </c>
      <c r="K234" s="5" t="str">
        <f t="shared" si="1"/>
        <v>Short</v>
      </c>
      <c r="L234" s="11">
        <f t="array" ref="L234">IFERROR(INDEX(Bookings!$K:$K,MATCH(A234,Bookings!$A:$A,0)),"")</f>
        <v>2124</v>
      </c>
      <c r="M234" s="5" t="str">
        <f t="shared" si="2"/>
        <v>Low</v>
      </c>
      <c r="N234" s="5">
        <f t="array" ref="N234">IFERROR(INDEX(Bookings!$I:$I,MATCH(A234,Bookings!$A:$A,0)),"")</f>
        <v>38</v>
      </c>
      <c r="O234" s="5" t="str">
        <f t="shared" si="3"/>
        <v>Advance</v>
      </c>
      <c r="P234" s="5" t="str">
        <f t="shared" si="4"/>
        <v>Mumbai -&gt; Bengaluru</v>
      </c>
    </row>
    <row r="235" ht="15.75" customHeight="1">
      <c r="A235" s="5" t="s">
        <v>984</v>
      </c>
      <c r="B235" s="5" t="s">
        <v>985</v>
      </c>
      <c r="C235" s="5" t="s">
        <v>220</v>
      </c>
      <c r="D235" s="5" t="s">
        <v>20</v>
      </c>
      <c r="E235" s="6" t="str">
        <f t="array" ref="E235">IFERROR(INDEX(Airlines!$B:$B,MATCH(D235,Airlines!$A:$A,0)),"")</f>
        <v>Vistara</v>
      </c>
      <c r="F235" s="6" t="str">
        <f>VLOOKUP(A235,Bookings!$A:$F,6,FALSE())</f>
        <v>Economy</v>
      </c>
      <c r="G235" s="6" t="str">
        <f t="array" ref="G235">IFERROR(INDEX(Flights!$E:$E,MATCH(B235,Flights!$A:$A,0)),"")</f>
        <v>Mumbai</v>
      </c>
      <c r="H235" s="6" t="str">
        <f>VLOOKUP(B235,Flights!A:H,6,FALSE())</f>
        <v>Bengaluru</v>
      </c>
      <c r="I235" s="6" t="str">
        <f t="array" ref="I235">IFERROR(INDEX(Bookings!$G:$G,MATCH(B235,Bookings!$B:$B,0)),"")</f>
        <v>1</v>
      </c>
      <c r="J235" s="5">
        <f>VLOOKUP(B235,Bookings!B:H,7,FALSE())</f>
        <v>25.25</v>
      </c>
      <c r="K235" s="5" t="str">
        <f t="shared" si="1"/>
        <v>Long</v>
      </c>
      <c r="L235" s="11">
        <f t="array" ref="L235">IFERROR(INDEX(Bookings!$K:$K,MATCH(A235,Bookings!$A:$A,0)),"")</f>
        <v>11129</v>
      </c>
      <c r="M235" s="5" t="str">
        <f t="shared" si="2"/>
        <v>Medium</v>
      </c>
      <c r="N235" s="5">
        <f t="array" ref="N235">IFERROR(INDEX(Bookings!$I:$I,MATCH(A235,Bookings!$A:$A,0)),"")</f>
        <v>3</v>
      </c>
      <c r="O235" s="5" t="str">
        <f t="shared" si="3"/>
        <v>Last Minute</v>
      </c>
      <c r="P235" s="5" t="str">
        <f t="shared" si="4"/>
        <v>Mumbai -&gt; Bengaluru</v>
      </c>
    </row>
    <row r="236" ht="15.75" customHeight="1">
      <c r="A236" s="5" t="s">
        <v>988</v>
      </c>
      <c r="B236" s="5" t="s">
        <v>990</v>
      </c>
      <c r="C236" s="5" t="s">
        <v>220</v>
      </c>
      <c r="D236" s="5" t="s">
        <v>43</v>
      </c>
      <c r="E236" s="6" t="str">
        <f t="array" ref="E236">IFERROR(INDEX(Airlines!$B:$B,MATCH(D236,Airlines!$A:$A,0)),"")</f>
        <v>Indigo</v>
      </c>
      <c r="F236" s="6" t="str">
        <f>VLOOKUP(A236,Bookings!$A:$F,6,FALSE())</f>
        <v>Economy</v>
      </c>
      <c r="G236" s="6" t="str">
        <f t="array" ref="G236">IFERROR(INDEX(Flights!$E:$E,MATCH(B236,Flights!$A:$A,0)),"")</f>
        <v>Mumbai</v>
      </c>
      <c r="H236" s="6" t="str">
        <f>VLOOKUP(B236,Flights!A:H,6,FALSE())</f>
        <v>Bengaluru</v>
      </c>
      <c r="I236" s="6" t="str">
        <f t="array" ref="I236">IFERROR(INDEX(Bookings!$G:$G,MATCH(B236,Bookings!$B:$B,0)),"")</f>
        <v>1</v>
      </c>
      <c r="J236" s="5">
        <f>VLOOKUP(B236,Bookings!B:H,7,FALSE())</f>
        <v>7.08</v>
      </c>
      <c r="K236" s="5" t="str">
        <f t="shared" si="1"/>
        <v>Medium</v>
      </c>
      <c r="L236" s="11">
        <f t="array" ref="L236">IFERROR(INDEX(Bookings!$K:$K,MATCH(A236,Bookings!$A:$A,0)),"")</f>
        <v>4056</v>
      </c>
      <c r="M236" s="5" t="str">
        <f t="shared" si="2"/>
        <v>Low</v>
      </c>
      <c r="N236" s="5">
        <f t="array" ref="N236">IFERROR(INDEX(Bookings!$I:$I,MATCH(A236,Bookings!$A:$A,0)),"")</f>
        <v>38</v>
      </c>
      <c r="O236" s="5" t="str">
        <f t="shared" si="3"/>
        <v>Advance</v>
      </c>
      <c r="P236" s="5" t="str">
        <f t="shared" si="4"/>
        <v>Mumbai -&gt; Bengaluru</v>
      </c>
    </row>
    <row r="237" ht="15.75" customHeight="1">
      <c r="A237" s="5" t="s">
        <v>999</v>
      </c>
      <c r="B237" s="5" t="s">
        <v>1000</v>
      </c>
      <c r="C237" s="5" t="s">
        <v>220</v>
      </c>
      <c r="D237" s="5" t="s">
        <v>43</v>
      </c>
      <c r="E237" s="6" t="str">
        <f t="array" ref="E237">IFERROR(INDEX(Airlines!$B:$B,MATCH(D237,Airlines!$A:$A,0)),"")</f>
        <v>Indigo</v>
      </c>
      <c r="F237" s="6" t="str">
        <f>VLOOKUP(A237,Bookings!$A:$F,6,FALSE())</f>
        <v>Economy</v>
      </c>
      <c r="G237" s="6" t="str">
        <f t="array" ref="G237">IFERROR(INDEX(Flights!$E:$E,MATCH(B237,Flights!$A:$A,0)),"")</f>
        <v>Mumbai</v>
      </c>
      <c r="H237" s="6" t="str">
        <f>VLOOKUP(B237,Flights!A:H,6,FALSE())</f>
        <v>Bengaluru</v>
      </c>
      <c r="I237" s="6" t="str">
        <f t="array" ref="I237">IFERROR(INDEX(Bookings!$G:$G,MATCH(B237,Bookings!$B:$B,0)),"")</f>
        <v>1</v>
      </c>
      <c r="J237" s="5">
        <f>VLOOKUP(B237,Bookings!B:H,7,FALSE())</f>
        <v>6</v>
      </c>
      <c r="K237" s="5" t="str">
        <f t="shared" si="1"/>
        <v>Medium</v>
      </c>
      <c r="L237" s="11">
        <f t="array" ref="L237">IFERROR(INDEX(Bookings!$K:$K,MATCH(A237,Bookings!$A:$A,0)),"")</f>
        <v>14238</v>
      </c>
      <c r="M237" s="5" t="str">
        <f t="shared" si="2"/>
        <v>Medium</v>
      </c>
      <c r="N237" s="5">
        <f t="array" ref="N237">IFERROR(INDEX(Bookings!$I:$I,MATCH(A237,Bookings!$A:$A,0)),"")</f>
        <v>1</v>
      </c>
      <c r="O237" s="5" t="str">
        <f t="shared" si="3"/>
        <v>Last Minute</v>
      </c>
      <c r="P237" s="5" t="str">
        <f t="shared" si="4"/>
        <v>Mumbai -&gt; Bengaluru</v>
      </c>
    </row>
    <row r="238" ht="15.75" customHeight="1">
      <c r="A238" s="5" t="s">
        <v>1004</v>
      </c>
      <c r="B238" s="5" t="s">
        <v>1005</v>
      </c>
      <c r="C238" s="5" t="s">
        <v>220</v>
      </c>
      <c r="D238" s="5" t="s">
        <v>58</v>
      </c>
      <c r="E238" s="6" t="str">
        <f t="array" ref="E238">IFERROR(INDEX(Airlines!$B:$B,MATCH(D238,Airlines!$A:$A,0)),"")</f>
        <v>Go_First</v>
      </c>
      <c r="F238" s="6" t="str">
        <f>VLOOKUP(A238,Bookings!$A:$F,6,FALSE())</f>
        <v>Economy</v>
      </c>
      <c r="G238" s="6" t="str">
        <f t="array" ref="G238">IFERROR(INDEX(Flights!$E:$E,MATCH(B238,Flights!$A:$A,0)),"")</f>
        <v>Mumbai</v>
      </c>
      <c r="H238" s="6" t="str">
        <f>VLOOKUP(B238,Flights!A:H,6,FALSE())</f>
        <v>Bengaluru</v>
      </c>
      <c r="I238" s="6" t="str">
        <f t="array" ref="I238">IFERROR(INDEX(Bookings!$G:$G,MATCH(B238,Bookings!$B:$B,0)),"")</f>
        <v>1</v>
      </c>
      <c r="J238" s="5">
        <f>VLOOKUP(B238,Bookings!B:H,7,FALSE())</f>
        <v>13.42</v>
      </c>
      <c r="K238" s="5" t="str">
        <f t="shared" si="1"/>
        <v>Long</v>
      </c>
      <c r="L238" s="11">
        <f t="array" ref="L238">IFERROR(INDEX(Bookings!$K:$K,MATCH(A238,Bookings!$A:$A,0)),"")</f>
        <v>6728</v>
      </c>
      <c r="M238" s="5" t="str">
        <f t="shared" si="2"/>
        <v>Medium</v>
      </c>
      <c r="N238" s="5">
        <f t="array" ref="N238">IFERROR(INDEX(Bookings!$I:$I,MATCH(A238,Bookings!$A:$A,0)),"")</f>
        <v>39</v>
      </c>
      <c r="O238" s="5" t="str">
        <f t="shared" si="3"/>
        <v>Advance</v>
      </c>
      <c r="P238" s="5" t="str">
        <f t="shared" si="4"/>
        <v>Mumbai -&gt; Bengaluru</v>
      </c>
    </row>
    <row r="239" ht="15.75" customHeight="1">
      <c r="A239" s="5" t="s">
        <v>1016</v>
      </c>
      <c r="B239" s="5" t="s">
        <v>1019</v>
      </c>
      <c r="C239" s="5" t="s">
        <v>220</v>
      </c>
      <c r="D239" s="5" t="s">
        <v>43</v>
      </c>
      <c r="E239" s="6" t="str">
        <f t="array" ref="E239">IFERROR(INDEX(Airlines!$B:$B,MATCH(D239,Airlines!$A:$A,0)),"")</f>
        <v>Indigo</v>
      </c>
      <c r="F239" s="6" t="str">
        <f>VLOOKUP(A239,Bookings!$A:$F,6,FALSE())</f>
        <v>Economy</v>
      </c>
      <c r="G239" s="6" t="str">
        <f t="array" ref="G239">IFERROR(INDEX(Flights!$E:$E,MATCH(B239,Flights!$A:$A,0)),"")</f>
        <v>Mumbai</v>
      </c>
      <c r="H239" s="6" t="str">
        <f>VLOOKUP(B239,Flights!A:H,6,FALSE())</f>
        <v>Bengaluru</v>
      </c>
      <c r="I239" s="6" t="str">
        <f t="array" ref="I239">IFERROR(INDEX(Bookings!$G:$G,MATCH(B239,Bookings!$B:$B,0)),"")</f>
        <v>0</v>
      </c>
      <c r="J239" s="5">
        <f>VLOOKUP(B239,Bookings!B:H,7,FALSE())</f>
        <v>1.67</v>
      </c>
      <c r="K239" s="5" t="str">
        <f t="shared" si="1"/>
        <v>Short</v>
      </c>
      <c r="L239" s="11">
        <f t="array" ref="L239">IFERROR(INDEX(Bookings!$K:$K,MATCH(A239,Bookings!$A:$A,0)),"")</f>
        <v>2124</v>
      </c>
      <c r="M239" s="5" t="str">
        <f t="shared" si="2"/>
        <v>Low</v>
      </c>
      <c r="N239" s="5">
        <f t="array" ref="N239">IFERROR(INDEX(Bookings!$I:$I,MATCH(A239,Bookings!$A:$A,0)),"")</f>
        <v>16</v>
      </c>
      <c r="O239" s="5" t="str">
        <f t="shared" si="3"/>
        <v>Moderate</v>
      </c>
      <c r="P239" s="5" t="str">
        <f t="shared" si="4"/>
        <v>Mumbai -&gt; Bengaluru</v>
      </c>
    </row>
    <row r="240" ht="15.75" customHeight="1">
      <c r="A240" s="5" t="s">
        <v>1037</v>
      </c>
      <c r="B240" s="5" t="s">
        <v>1038</v>
      </c>
      <c r="C240" s="5" t="s">
        <v>220</v>
      </c>
      <c r="D240" s="5" t="s">
        <v>45</v>
      </c>
      <c r="E240" s="6" t="str">
        <f t="array" ref="E240">IFERROR(INDEX(Airlines!$B:$B,MATCH(D240,Airlines!$A:$A,0)),"")</f>
        <v>Air_India</v>
      </c>
      <c r="F240" s="6" t="str">
        <f>VLOOKUP(A240,Bookings!$A:$F,6,FALSE())</f>
        <v>Economy</v>
      </c>
      <c r="G240" s="6" t="str">
        <f t="array" ref="G240">IFERROR(INDEX(Flights!$E:$E,MATCH(B240,Flights!$A:$A,0)),"")</f>
        <v>Mumbai</v>
      </c>
      <c r="H240" s="6" t="str">
        <f>VLOOKUP(B240,Flights!A:H,6,FALSE())</f>
        <v>Bengaluru</v>
      </c>
      <c r="I240" s="6" t="str">
        <f t="array" ref="I240">IFERROR(INDEX(Bookings!$G:$G,MATCH(B240,Bookings!$B:$B,0)),"")</f>
        <v>1</v>
      </c>
      <c r="J240" s="5">
        <f>VLOOKUP(B240,Bookings!B:H,7,FALSE())</f>
        <v>18.08</v>
      </c>
      <c r="K240" s="5" t="str">
        <f t="shared" si="1"/>
        <v>Long</v>
      </c>
      <c r="L240" s="11">
        <f t="array" ref="L240">IFERROR(INDEX(Bookings!$K:$K,MATCH(A240,Bookings!$A:$A,0)),"")</f>
        <v>3623</v>
      </c>
      <c r="M240" s="5" t="str">
        <f t="shared" si="2"/>
        <v>Low</v>
      </c>
      <c r="N240" s="5" t="str">
        <f t="array" ref="N240">IFERROR(INDEX(Bookings!$I:$I,MATCH(A240,Bookings!$A:$A,0)),"")</f>
        <v/>
      </c>
      <c r="O240" s="5" t="str">
        <f t="shared" si="3"/>
        <v>Last Minute</v>
      </c>
      <c r="P240" s="5" t="str">
        <f t="shared" si="4"/>
        <v>Mumbai -&gt; Bengaluru</v>
      </c>
    </row>
    <row r="241" ht="15.75" customHeight="1">
      <c r="A241" s="5" t="s">
        <v>1051</v>
      </c>
      <c r="B241" s="5" t="s">
        <v>1053</v>
      </c>
      <c r="C241" s="5" t="s">
        <v>220</v>
      </c>
      <c r="D241" s="5" t="s">
        <v>45</v>
      </c>
      <c r="E241" s="6" t="str">
        <f t="array" ref="E241">IFERROR(INDEX(Airlines!$B:$B,MATCH(D241,Airlines!$A:$A,0)),"")</f>
        <v>Air_India</v>
      </c>
      <c r="F241" s="6" t="str">
        <f>VLOOKUP(A241,Bookings!$A:$F,6,FALSE())</f>
        <v>Economy</v>
      </c>
      <c r="G241" s="6" t="str">
        <f t="array" ref="G241">IFERROR(INDEX(Flights!$E:$E,MATCH(B241,Flights!$A:$A,0)),"")</f>
        <v>Mumbai</v>
      </c>
      <c r="H241" s="6" t="str">
        <f>VLOOKUP(B241,Flights!A:H,6,FALSE())</f>
        <v>Bengaluru</v>
      </c>
      <c r="I241" s="6" t="str">
        <f t="array" ref="I241">IFERROR(INDEX(Bookings!$G:$G,MATCH(B241,Bookings!$B:$B,0)),"")</f>
        <v>1</v>
      </c>
      <c r="J241" s="5">
        <f>VLOOKUP(B241,Bookings!B:H,7,FALSE())</f>
        <v>29.17</v>
      </c>
      <c r="K241" s="5" t="str">
        <f t="shared" si="1"/>
        <v>Long</v>
      </c>
      <c r="L241" s="11">
        <f t="array" ref="L241">IFERROR(INDEX(Bookings!$K:$K,MATCH(A241,Bookings!$A:$A,0)),"")</f>
        <v>9201</v>
      </c>
      <c r="M241" s="5" t="str">
        <f t="shared" si="2"/>
        <v>Medium</v>
      </c>
      <c r="N241" s="5">
        <f t="array" ref="N241">IFERROR(INDEX(Bookings!$I:$I,MATCH(A241,Bookings!$A:$A,0)),"")</f>
        <v>9</v>
      </c>
      <c r="O241" s="5" t="str">
        <f t="shared" si="3"/>
        <v>Short Notice</v>
      </c>
      <c r="P241" s="5" t="str">
        <f t="shared" si="4"/>
        <v>Mumbai -&gt; Bengaluru</v>
      </c>
    </row>
    <row r="242" ht="15.75" customHeight="1">
      <c r="A242" s="5" t="s">
        <v>1064</v>
      </c>
      <c r="B242" s="5" t="s">
        <v>1065</v>
      </c>
      <c r="C242" s="5" t="s">
        <v>220</v>
      </c>
      <c r="D242" s="5" t="s">
        <v>45</v>
      </c>
      <c r="E242" s="6" t="str">
        <f t="array" ref="E242">IFERROR(INDEX(Airlines!$B:$B,MATCH(D242,Airlines!$A:$A,0)),"")</f>
        <v>Air_India</v>
      </c>
      <c r="F242" s="6" t="str">
        <f>VLOOKUP(A242,Bookings!$A:$F,6,FALSE())</f>
        <v>Economy</v>
      </c>
      <c r="G242" s="6" t="str">
        <f t="array" ref="G242">IFERROR(INDEX(Flights!$E:$E,MATCH(B242,Flights!$A:$A,0)),"")</f>
        <v>Mumbai</v>
      </c>
      <c r="H242" s="6" t="str">
        <f>VLOOKUP(B242,Flights!A:H,6,FALSE())</f>
        <v>Bengaluru</v>
      </c>
      <c r="I242" s="6" t="str">
        <f t="array" ref="I242">IFERROR(INDEX(Bookings!$G:$G,MATCH(B242,Bookings!$B:$B,0)),"")</f>
        <v>1</v>
      </c>
      <c r="J242" s="5">
        <f>VLOOKUP(B242,Bookings!B:H,7,FALSE())</f>
        <v>23.33</v>
      </c>
      <c r="K242" s="5" t="str">
        <f t="shared" si="1"/>
        <v>Long</v>
      </c>
      <c r="L242" s="11">
        <f t="array" ref="L242">IFERROR(INDEX(Bookings!$K:$K,MATCH(A242,Bookings!$A:$A,0)),"")</f>
        <v>11469</v>
      </c>
      <c r="M242" s="5" t="str">
        <f t="shared" si="2"/>
        <v>Medium</v>
      </c>
      <c r="N242" s="5">
        <f t="array" ref="N242">IFERROR(INDEX(Bookings!$I:$I,MATCH(A242,Bookings!$A:$A,0)),"")</f>
        <v>12</v>
      </c>
      <c r="O242" s="5" t="str">
        <f t="shared" si="3"/>
        <v>Short Notice</v>
      </c>
      <c r="P242" s="5" t="str">
        <f t="shared" si="4"/>
        <v>Mumbai -&gt; Bengaluru</v>
      </c>
    </row>
    <row r="243" ht="15.75" customHeight="1">
      <c r="A243" s="5" t="s">
        <v>1067</v>
      </c>
      <c r="B243" s="5" t="s">
        <v>1069</v>
      </c>
      <c r="C243" s="5" t="s">
        <v>220</v>
      </c>
      <c r="D243" s="5" t="s">
        <v>43</v>
      </c>
      <c r="E243" s="6" t="str">
        <f t="array" ref="E243">IFERROR(INDEX(Airlines!$B:$B,MATCH(D243,Airlines!$A:$A,0)),"")</f>
        <v>Indigo</v>
      </c>
      <c r="F243" s="6" t="str">
        <f>VLOOKUP(A243,Bookings!$A:$F,6,FALSE())</f>
        <v>Economy</v>
      </c>
      <c r="G243" s="6" t="str">
        <f t="array" ref="G243">IFERROR(INDEX(Flights!$E:$E,MATCH(B243,Flights!$A:$A,0)),"")</f>
        <v>Mumbai</v>
      </c>
      <c r="H243" s="6" t="str">
        <f>VLOOKUP(B243,Flights!A:H,6,FALSE())</f>
        <v>Bengaluru</v>
      </c>
      <c r="I243" s="6" t="str">
        <f t="array" ref="I243">IFERROR(INDEX(Bookings!$G:$G,MATCH(B243,Bookings!$B:$B,0)),"")</f>
        <v>1</v>
      </c>
      <c r="J243" s="5">
        <f>VLOOKUP(B243,Bookings!B:H,7,FALSE())</f>
        <v>10.33</v>
      </c>
      <c r="K243" s="5" t="str">
        <f t="shared" si="1"/>
        <v>Long</v>
      </c>
      <c r="L243" s="11">
        <f t="array" ref="L243">IFERROR(INDEX(Bookings!$K:$K,MATCH(A243,Bookings!$A:$A,0)),"")</f>
        <v>11041</v>
      </c>
      <c r="M243" s="5" t="str">
        <f t="shared" si="2"/>
        <v>Medium</v>
      </c>
      <c r="N243" s="5">
        <f t="array" ref="N243">IFERROR(INDEX(Bookings!$I:$I,MATCH(A243,Bookings!$A:$A,0)),"")</f>
        <v>3</v>
      </c>
      <c r="O243" s="5" t="str">
        <f t="shared" si="3"/>
        <v>Last Minute</v>
      </c>
      <c r="P243" s="5" t="str">
        <f t="shared" si="4"/>
        <v>Mumbai -&gt; Bengaluru</v>
      </c>
    </row>
    <row r="244" ht="15.75" customHeight="1">
      <c r="A244" s="5" t="s">
        <v>1072</v>
      </c>
      <c r="B244" s="5" t="s">
        <v>1073</v>
      </c>
      <c r="C244" s="5" t="s">
        <v>220</v>
      </c>
      <c r="D244" s="5" t="s">
        <v>58</v>
      </c>
      <c r="E244" s="6" t="str">
        <f t="array" ref="E244">IFERROR(INDEX(Airlines!$B:$B,MATCH(D244,Airlines!$A:$A,0)),"")</f>
        <v>Go_First</v>
      </c>
      <c r="F244" s="6" t="str">
        <f>VLOOKUP(A244,Bookings!$A:$F,6,FALSE())</f>
        <v>Economy</v>
      </c>
      <c r="G244" s="6" t="str">
        <f t="array" ref="G244">IFERROR(INDEX(Flights!$E:$E,MATCH(B244,Flights!$A:$A,0)),"")</f>
        <v>Mumbai</v>
      </c>
      <c r="H244" s="6" t="str">
        <f>VLOOKUP(B244,Flights!A:H,6,FALSE())</f>
        <v>Bengaluru</v>
      </c>
      <c r="I244" s="6" t="str">
        <f t="array" ref="I244">IFERROR(INDEX(Bookings!$G:$G,MATCH(B244,Bookings!$B:$B,0)),"")</f>
        <v>1</v>
      </c>
      <c r="J244" s="5">
        <f>VLOOKUP(B244,Bookings!B:H,7,FALSE())</f>
        <v>3.67</v>
      </c>
      <c r="K244" s="5" t="str">
        <f t="shared" si="1"/>
        <v>Short</v>
      </c>
      <c r="L244" s="11">
        <f t="array" ref="L244">IFERROR(INDEX(Bookings!$K:$K,MATCH(A244,Bookings!$A:$A,0)),"")</f>
        <v>5102</v>
      </c>
      <c r="M244" s="5" t="str">
        <f t="shared" si="2"/>
        <v>Medium</v>
      </c>
      <c r="N244" s="5">
        <f t="array" ref="N244">IFERROR(INDEX(Bookings!$I:$I,MATCH(A244,Bookings!$A:$A,0)),"")</f>
        <v>24</v>
      </c>
      <c r="O244" s="5" t="str">
        <f t="shared" si="3"/>
        <v>Moderate</v>
      </c>
      <c r="P244" s="5" t="str">
        <f t="shared" si="4"/>
        <v>Mumbai -&gt; Bengaluru</v>
      </c>
    </row>
    <row r="245" ht="15.75" customHeight="1">
      <c r="A245" s="5" t="s">
        <v>1076</v>
      </c>
      <c r="B245" s="5" t="s">
        <v>1077</v>
      </c>
      <c r="C245" s="5" t="s">
        <v>220</v>
      </c>
      <c r="D245" s="5" t="s">
        <v>58</v>
      </c>
      <c r="E245" s="6" t="str">
        <f t="array" ref="E245">IFERROR(INDEX(Airlines!$B:$B,MATCH(D245,Airlines!$A:$A,0)),"")</f>
        <v>Go_First</v>
      </c>
      <c r="F245" s="6" t="str">
        <f>VLOOKUP(A245,Bookings!$A:$F,6,FALSE())</f>
        <v>Economy</v>
      </c>
      <c r="G245" s="6" t="str">
        <f t="array" ref="G245">IFERROR(INDEX(Flights!$E:$E,MATCH(B245,Flights!$A:$A,0)),"")</f>
        <v>Mumbai</v>
      </c>
      <c r="H245" s="6" t="str">
        <f>VLOOKUP(B245,Flights!A:H,6,FALSE())</f>
        <v>Bengaluru</v>
      </c>
      <c r="I245" s="6" t="str">
        <f t="array" ref="I245">IFERROR(INDEX(Bookings!$G:$G,MATCH(B245,Bookings!$B:$B,0)),"")</f>
        <v>1</v>
      </c>
      <c r="J245" s="5">
        <f>VLOOKUP(B245,Bookings!B:H,7,FALSE())</f>
        <v>8.17</v>
      </c>
      <c r="K245" s="5" t="str">
        <f t="shared" si="1"/>
        <v>Medium</v>
      </c>
      <c r="L245" s="11">
        <f t="array" ref="L245">IFERROR(INDEX(Bookings!$K:$K,MATCH(A245,Bookings!$A:$A,0)),"")</f>
        <v>22639</v>
      </c>
      <c r="M245" s="5" t="str">
        <f t="shared" si="2"/>
        <v>High</v>
      </c>
      <c r="N245" s="5">
        <f t="array" ref="N245">IFERROR(INDEX(Bookings!$I:$I,MATCH(A245,Bookings!$A:$A,0)),"")</f>
        <v>2</v>
      </c>
      <c r="O245" s="5" t="str">
        <f t="shared" si="3"/>
        <v>Last Minute</v>
      </c>
      <c r="P245" s="5" t="str">
        <f t="shared" si="4"/>
        <v>Mumbai -&gt; Bengaluru</v>
      </c>
    </row>
    <row r="246" ht="15.75" customHeight="1">
      <c r="A246" s="5" t="s">
        <v>1080</v>
      </c>
      <c r="B246" s="5" t="s">
        <v>1081</v>
      </c>
      <c r="C246" s="5" t="s">
        <v>220</v>
      </c>
      <c r="D246" s="5" t="s">
        <v>45</v>
      </c>
      <c r="E246" s="6" t="str">
        <f t="array" ref="E246">IFERROR(INDEX(Airlines!$B:$B,MATCH(D246,Airlines!$A:$A,0)),"")</f>
        <v>Air_India</v>
      </c>
      <c r="F246" s="6" t="str">
        <f>VLOOKUP(A246,Bookings!$A:$F,6,FALSE())</f>
        <v>Economy</v>
      </c>
      <c r="G246" s="6" t="str">
        <f t="array" ref="G246">IFERROR(INDEX(Flights!$E:$E,MATCH(B246,Flights!$A:$A,0)),"")</f>
        <v>Mumbai</v>
      </c>
      <c r="H246" s="6" t="str">
        <f>VLOOKUP(B246,Flights!A:H,6,FALSE())</f>
        <v>Bengaluru</v>
      </c>
      <c r="I246" s="6" t="str">
        <f t="array" ref="I246">IFERROR(INDEX(Bookings!$G:$G,MATCH(B246,Bookings!$B:$B,0)),"")</f>
        <v>1</v>
      </c>
      <c r="J246" s="5">
        <f>VLOOKUP(B246,Bookings!B:H,7,FALSE())</f>
        <v>25.08</v>
      </c>
      <c r="K246" s="5" t="str">
        <f t="shared" si="1"/>
        <v>Long</v>
      </c>
      <c r="L246" s="11">
        <f t="array" ref="L246">IFERROR(INDEX(Bookings!$K:$K,MATCH(A246,Bookings!$A:$A,0)),"")</f>
        <v>9201</v>
      </c>
      <c r="M246" s="5" t="str">
        <f t="shared" si="2"/>
        <v>Medium</v>
      </c>
      <c r="N246" s="5">
        <f t="array" ref="N246">IFERROR(INDEX(Bookings!$I:$I,MATCH(A246,Bookings!$A:$A,0)),"")</f>
        <v>3</v>
      </c>
      <c r="O246" s="5" t="str">
        <f t="shared" si="3"/>
        <v>Last Minute</v>
      </c>
      <c r="P246" s="5" t="str">
        <f t="shared" si="4"/>
        <v>Mumbai -&gt; Bengaluru</v>
      </c>
    </row>
    <row r="247" ht="15.75" customHeight="1">
      <c r="A247" s="5" t="s">
        <v>1083</v>
      </c>
      <c r="B247" s="5" t="s">
        <v>1084</v>
      </c>
      <c r="C247" s="5" t="s">
        <v>220</v>
      </c>
      <c r="D247" s="5" t="s">
        <v>45</v>
      </c>
      <c r="E247" s="6" t="str">
        <f t="array" ref="E247">IFERROR(INDEX(Airlines!$B:$B,MATCH(D247,Airlines!$A:$A,0)),"")</f>
        <v>Air_India</v>
      </c>
      <c r="F247" s="6" t="str">
        <f>VLOOKUP(A247,Bookings!$A:$F,6,FALSE())</f>
        <v>Economy</v>
      </c>
      <c r="G247" s="6" t="str">
        <f t="array" ref="G247">IFERROR(INDEX(Flights!$E:$E,MATCH(B247,Flights!$A:$A,0)),"")</f>
        <v>Mumbai</v>
      </c>
      <c r="H247" s="6" t="str">
        <f>VLOOKUP(B247,Flights!A:H,6,FALSE())</f>
        <v>Bengaluru</v>
      </c>
      <c r="I247" s="6" t="str">
        <f t="array" ref="I247">IFERROR(INDEX(Bookings!$G:$G,MATCH(B247,Bookings!$B:$B,0)),"")</f>
        <v>1</v>
      </c>
      <c r="J247" s="5">
        <f>VLOOKUP(B247,Bookings!B:H,7,FALSE())</f>
        <v>8.58</v>
      </c>
      <c r="K247" s="5" t="str">
        <f t="shared" si="1"/>
        <v>Medium</v>
      </c>
      <c r="L247" s="11">
        <f t="array" ref="L247">IFERROR(INDEX(Bookings!$K:$K,MATCH(A247,Bookings!$A:$A,0)),"")</f>
        <v>6502</v>
      </c>
      <c r="M247" s="5" t="str">
        <f t="shared" si="2"/>
        <v>Medium</v>
      </c>
      <c r="N247" s="5">
        <f t="array" ref="N247">IFERROR(INDEX(Bookings!$I:$I,MATCH(A247,Bookings!$A:$A,0)),"")</f>
        <v>34</v>
      </c>
      <c r="O247" s="5" t="str">
        <f t="shared" si="3"/>
        <v>Advance</v>
      </c>
      <c r="P247" s="5" t="str">
        <f t="shared" si="4"/>
        <v>Mumbai -&gt; Bengaluru</v>
      </c>
    </row>
    <row r="248" ht="15.75" customHeight="1">
      <c r="A248" s="5" t="s">
        <v>1087</v>
      </c>
      <c r="B248" s="5" t="s">
        <v>1089</v>
      </c>
      <c r="C248" s="5" t="s">
        <v>220</v>
      </c>
      <c r="D248" s="5" t="s">
        <v>45</v>
      </c>
      <c r="E248" s="6" t="str">
        <f t="array" ref="E248">IFERROR(INDEX(Airlines!$B:$B,MATCH(D248,Airlines!$A:$A,0)),"")</f>
        <v>Air_India</v>
      </c>
      <c r="F248" s="6" t="str">
        <f>VLOOKUP(A248,Bookings!$A:$F,6,FALSE())</f>
        <v>Economy</v>
      </c>
      <c r="G248" s="6" t="str">
        <f t="array" ref="G248">IFERROR(INDEX(Flights!$E:$E,MATCH(B248,Flights!$A:$A,0)),"")</f>
        <v>Mumbai</v>
      </c>
      <c r="H248" s="6" t="str">
        <f>VLOOKUP(B248,Flights!A:H,6,FALSE())</f>
        <v>Bengaluru</v>
      </c>
      <c r="I248" s="6" t="str">
        <f t="array" ref="I248">IFERROR(INDEX(Bookings!$G:$G,MATCH(B248,Bookings!$B:$B,0)),"")</f>
        <v>1</v>
      </c>
      <c r="J248" s="5">
        <f>VLOOKUP(B248,Bookings!B:H,7,FALSE())</f>
        <v>16.83</v>
      </c>
      <c r="K248" s="5" t="str">
        <f t="shared" si="1"/>
        <v>Long</v>
      </c>
      <c r="L248" s="11">
        <f t="array" ref="L248">IFERROR(INDEX(Bookings!$K:$K,MATCH(A248,Bookings!$A:$A,0)),"")</f>
        <v>13766</v>
      </c>
      <c r="M248" s="5" t="str">
        <f t="shared" si="2"/>
        <v>Medium</v>
      </c>
      <c r="N248" s="5">
        <f t="array" ref="N248">IFERROR(INDEX(Bookings!$I:$I,MATCH(A248,Bookings!$A:$A,0)),"")</f>
        <v>9</v>
      </c>
      <c r="O248" s="5" t="str">
        <f t="shared" si="3"/>
        <v>Short Notice</v>
      </c>
      <c r="P248" s="5" t="str">
        <f t="shared" si="4"/>
        <v>Mumbai -&gt; Bengaluru</v>
      </c>
    </row>
    <row r="249" ht="15.75" customHeight="1">
      <c r="A249" s="5" t="s">
        <v>1092</v>
      </c>
      <c r="B249" s="5" t="s">
        <v>1093</v>
      </c>
      <c r="C249" s="5" t="s">
        <v>220</v>
      </c>
      <c r="D249" s="5" t="s">
        <v>20</v>
      </c>
      <c r="E249" s="6" t="str">
        <f t="array" ref="E249">IFERROR(INDEX(Airlines!$B:$B,MATCH(D249,Airlines!$A:$A,0)),"")</f>
        <v>Vistara</v>
      </c>
      <c r="F249" s="6" t="str">
        <f>VLOOKUP(A249,Bookings!$A:$F,6,FALSE())</f>
        <v>Business</v>
      </c>
      <c r="G249" s="6" t="str">
        <f t="array" ref="G249">IFERROR(INDEX(Flights!$E:$E,MATCH(B249,Flights!$A:$A,0)),"")</f>
        <v>Mumbai</v>
      </c>
      <c r="H249" s="6" t="str">
        <f>VLOOKUP(B249,Flights!A:H,6,FALSE())</f>
        <v>Bengaluru</v>
      </c>
      <c r="I249" s="6" t="str">
        <f t="array" ref="I249">IFERROR(INDEX(Bookings!$G:$G,MATCH(B249,Bookings!$B:$B,0)),"")</f>
        <v>1</v>
      </c>
      <c r="J249" s="5">
        <f>VLOOKUP(B249,Bookings!B:H,7,FALSE())</f>
        <v>11</v>
      </c>
      <c r="K249" s="5" t="str">
        <f t="shared" si="1"/>
        <v>Long</v>
      </c>
      <c r="L249" s="11">
        <f t="array" ref="L249">IFERROR(INDEX(Bookings!$K:$K,MATCH(A249,Bookings!$A:$A,0)),"")</f>
        <v>54608</v>
      </c>
      <c r="M249" s="5" t="str">
        <f t="shared" si="2"/>
        <v>High</v>
      </c>
      <c r="N249" s="5">
        <f t="array" ref="N249">IFERROR(INDEX(Bookings!$I:$I,MATCH(A249,Bookings!$A:$A,0)),"")</f>
        <v>21</v>
      </c>
      <c r="O249" s="5" t="str">
        <f t="shared" si="3"/>
        <v>Moderate</v>
      </c>
      <c r="P249" s="5" t="str">
        <f t="shared" si="4"/>
        <v>Mumbai -&gt; Bengaluru</v>
      </c>
    </row>
    <row r="250" ht="15.75" customHeight="1">
      <c r="A250" s="5" t="s">
        <v>1095</v>
      </c>
      <c r="B250" s="5" t="s">
        <v>1096</v>
      </c>
      <c r="C250" s="5" t="s">
        <v>220</v>
      </c>
      <c r="D250" s="5" t="s">
        <v>20</v>
      </c>
      <c r="E250" s="6" t="str">
        <f t="array" ref="E250">IFERROR(INDEX(Airlines!$B:$B,MATCH(D250,Airlines!$A:$A,0)),"")</f>
        <v>Vistara</v>
      </c>
      <c r="F250" s="6" t="str">
        <f>VLOOKUP(A250,Bookings!$A:$F,6,FALSE())</f>
        <v>Economy</v>
      </c>
      <c r="G250" s="6" t="str">
        <f t="array" ref="G250">IFERROR(INDEX(Flights!$E:$E,MATCH(B250,Flights!$A:$A,0)),"")</f>
        <v>Mumbai</v>
      </c>
      <c r="H250" s="6" t="str">
        <f>VLOOKUP(B250,Flights!A:H,6,FALSE())</f>
        <v>Bengaluru</v>
      </c>
      <c r="I250" s="6" t="str">
        <f t="array" ref="I250">IFERROR(INDEX(Bookings!$G:$G,MATCH(B250,Bookings!$B:$B,0)),"")</f>
        <v>2+</v>
      </c>
      <c r="J250" s="5">
        <f>VLOOKUP(B250,Bookings!B:H,7,FALSE())</f>
        <v>26.17</v>
      </c>
      <c r="K250" s="5" t="str">
        <f t="shared" si="1"/>
        <v>Long</v>
      </c>
      <c r="L250" s="11">
        <f t="array" ref="L250">IFERROR(INDEX(Bookings!$K:$K,MATCH(A250,Bookings!$A:$A,0)),"")</f>
        <v>12015</v>
      </c>
      <c r="M250" s="5" t="str">
        <f t="shared" si="2"/>
        <v>Medium</v>
      </c>
      <c r="N250" s="5">
        <f t="array" ref="N250">IFERROR(INDEX(Bookings!$I:$I,MATCH(A250,Bookings!$A:$A,0)),"")</f>
        <v>26</v>
      </c>
      <c r="O250" s="5" t="str">
        <f t="shared" si="3"/>
        <v>Moderate</v>
      </c>
      <c r="P250" s="5" t="str">
        <f t="shared" si="4"/>
        <v>Mumbai -&gt; Bengaluru</v>
      </c>
    </row>
    <row r="251" ht="15.75" customHeight="1">
      <c r="A251" s="5" t="s">
        <v>1098</v>
      </c>
      <c r="B251" s="5" t="s">
        <v>1099</v>
      </c>
      <c r="C251" s="5" t="s">
        <v>220</v>
      </c>
      <c r="D251" s="5" t="s">
        <v>20</v>
      </c>
      <c r="E251" s="6" t="str">
        <f t="array" ref="E251">IFERROR(INDEX(Airlines!$B:$B,MATCH(D251,Airlines!$A:$A,0)),"")</f>
        <v>Vistara</v>
      </c>
      <c r="F251" s="6" t="str">
        <f>VLOOKUP(A251,Bookings!$A:$F,6,FALSE())</f>
        <v>Business</v>
      </c>
      <c r="G251" s="6" t="str">
        <f t="array" ref="G251">IFERROR(INDEX(Flights!$E:$E,MATCH(B251,Flights!$A:$A,0)),"")</f>
        <v>Mumbai</v>
      </c>
      <c r="H251" s="6" t="str">
        <f>VLOOKUP(B251,Flights!A:H,6,FALSE())</f>
        <v>Bengaluru</v>
      </c>
      <c r="I251" s="6" t="str">
        <f t="array" ref="I251">IFERROR(INDEX(Bookings!$G:$G,MATCH(B251,Bookings!$B:$B,0)),"")</f>
        <v>1</v>
      </c>
      <c r="J251" s="5">
        <f>VLOOKUP(B251,Bookings!B:H,7,FALSE())</f>
        <v>12.25</v>
      </c>
      <c r="K251" s="5" t="str">
        <f t="shared" si="1"/>
        <v>Long</v>
      </c>
      <c r="L251" s="11">
        <f t="array" ref="L251">IFERROR(INDEX(Bookings!$K:$K,MATCH(A251,Bookings!$A:$A,0)),"")</f>
        <v>48213</v>
      </c>
      <c r="M251" s="5" t="str">
        <f t="shared" si="2"/>
        <v>High</v>
      </c>
      <c r="N251" s="5">
        <f t="array" ref="N251">IFERROR(INDEX(Bookings!$I:$I,MATCH(A251,Bookings!$A:$A,0)),"")</f>
        <v>25</v>
      </c>
      <c r="O251" s="5" t="str">
        <f t="shared" si="3"/>
        <v>Moderate</v>
      </c>
      <c r="P251" s="5" t="str">
        <f t="shared" si="4"/>
        <v>Mumbai -&gt; Bengaluru</v>
      </c>
    </row>
    <row r="252" ht="15.75" customHeight="1">
      <c r="A252" s="5" t="s">
        <v>1102</v>
      </c>
      <c r="B252" s="5" t="s">
        <v>1103</v>
      </c>
      <c r="C252" s="5" t="s">
        <v>220</v>
      </c>
      <c r="D252" s="5" t="s">
        <v>20</v>
      </c>
      <c r="E252" s="6" t="str">
        <f t="array" ref="E252">IFERROR(INDEX(Airlines!$B:$B,MATCH(D252,Airlines!$A:$A,0)),"")</f>
        <v>Vistara</v>
      </c>
      <c r="F252" s="6" t="str">
        <f>VLOOKUP(A252,Bookings!$A:$F,6,FALSE())</f>
        <v>Economy</v>
      </c>
      <c r="G252" s="6" t="str">
        <f t="array" ref="G252">IFERROR(INDEX(Flights!$E:$E,MATCH(B252,Flights!$A:$A,0)),"")</f>
        <v>Mumbai</v>
      </c>
      <c r="H252" s="6" t="str">
        <f>VLOOKUP(B252,Flights!A:H,6,FALSE())</f>
        <v>Bengaluru</v>
      </c>
      <c r="I252" s="6" t="str">
        <f t="array" ref="I252">IFERROR(INDEX(Bookings!$G:$G,MATCH(B252,Bookings!$B:$B,0)),"")</f>
        <v>1</v>
      </c>
      <c r="J252" s="5">
        <f>VLOOKUP(B252,Bookings!B:H,7,FALSE())</f>
        <v>29.83</v>
      </c>
      <c r="K252" s="5" t="str">
        <f t="shared" si="1"/>
        <v>Long</v>
      </c>
      <c r="L252" s="11">
        <f t="array" ref="L252">IFERROR(INDEX(Bookings!$K:$K,MATCH(A252,Bookings!$A:$A,0)),"")</f>
        <v>16662</v>
      </c>
      <c r="M252" s="5" t="str">
        <f t="shared" si="2"/>
        <v>High</v>
      </c>
      <c r="N252" s="5">
        <f t="array" ref="N252">IFERROR(INDEX(Bookings!$I:$I,MATCH(A252,Bookings!$A:$A,0)),"")</f>
        <v>8</v>
      </c>
      <c r="O252" s="5" t="str">
        <f t="shared" si="3"/>
        <v>Short Notice</v>
      </c>
      <c r="P252" s="5" t="str">
        <f t="shared" si="4"/>
        <v>Mumbai -&gt; Bengaluru</v>
      </c>
    </row>
    <row r="253" ht="15.75" customHeight="1">
      <c r="A253" s="5" t="s">
        <v>1106</v>
      </c>
      <c r="B253" s="5" t="s">
        <v>1107</v>
      </c>
      <c r="C253" s="5" t="s">
        <v>220</v>
      </c>
      <c r="D253" s="5" t="s">
        <v>43</v>
      </c>
      <c r="E253" s="6" t="str">
        <f t="array" ref="E253">IFERROR(INDEX(Airlines!$B:$B,MATCH(D253,Airlines!$A:$A,0)),"")</f>
        <v>Indigo</v>
      </c>
      <c r="F253" s="6" t="str">
        <f>VLOOKUP(A253,Bookings!$A:$F,6,FALSE())</f>
        <v>Economy</v>
      </c>
      <c r="G253" s="6" t="str">
        <f t="array" ref="G253">IFERROR(INDEX(Flights!$E:$E,MATCH(B253,Flights!$A:$A,0)),"")</f>
        <v>Mumbai</v>
      </c>
      <c r="H253" s="6" t="str">
        <f>VLOOKUP(B253,Flights!A:H,6,FALSE())</f>
        <v>Bengaluru</v>
      </c>
      <c r="I253" s="6" t="str">
        <f t="array" ref="I253">IFERROR(INDEX(Bookings!$G:$G,MATCH(B253,Bookings!$B:$B,0)),"")</f>
        <v>1</v>
      </c>
      <c r="J253" s="5">
        <f>VLOOKUP(B253,Bookings!B:H,7,FALSE())</f>
        <v>5.67</v>
      </c>
      <c r="K253" s="5" t="str">
        <f t="shared" si="1"/>
        <v>Medium</v>
      </c>
      <c r="L253" s="11">
        <f t="array" ref="L253">IFERROR(INDEX(Bookings!$K:$K,MATCH(A253,Bookings!$A:$A,0)),"")</f>
        <v>2124</v>
      </c>
      <c r="M253" s="5" t="str">
        <f t="shared" si="2"/>
        <v>Low</v>
      </c>
      <c r="N253" s="5">
        <f t="array" ref="N253">IFERROR(INDEX(Bookings!$I:$I,MATCH(A253,Bookings!$A:$A,0)),"")</f>
        <v>39</v>
      </c>
      <c r="O253" s="5" t="str">
        <f t="shared" si="3"/>
        <v>Advance</v>
      </c>
      <c r="P253" s="5" t="str">
        <f t="shared" si="4"/>
        <v>Mumbai -&gt; Bengaluru</v>
      </c>
    </row>
    <row r="254" ht="15.75" customHeight="1">
      <c r="A254" s="5" t="s">
        <v>1109</v>
      </c>
      <c r="B254" s="5" t="s">
        <v>1110</v>
      </c>
      <c r="C254" s="5" t="s">
        <v>220</v>
      </c>
      <c r="D254" s="5" t="s">
        <v>20</v>
      </c>
      <c r="E254" s="6" t="str">
        <f t="array" ref="E254">IFERROR(INDEX(Airlines!$B:$B,MATCH(D254,Airlines!$A:$A,0)),"")</f>
        <v>Vistara</v>
      </c>
      <c r="F254" s="6" t="str">
        <f>VLOOKUP(A254,Bookings!$A:$F,6,FALSE())</f>
        <v>Economy</v>
      </c>
      <c r="G254" s="6" t="str">
        <f t="array" ref="G254">IFERROR(INDEX(Flights!$E:$E,MATCH(B254,Flights!$A:$A,0)),"")</f>
        <v>Mumbai</v>
      </c>
      <c r="H254" s="6" t="str">
        <f>VLOOKUP(B254,Flights!A:H,6,FALSE())</f>
        <v>Bengaluru</v>
      </c>
      <c r="I254" s="6" t="str">
        <f t="array" ref="I254">IFERROR(INDEX(Bookings!$G:$G,MATCH(B254,Bookings!$B:$B,0)),"")</f>
        <v>1</v>
      </c>
      <c r="J254" s="5">
        <f>VLOOKUP(B254,Bookings!B:H,7,FALSE())</f>
        <v>9.08</v>
      </c>
      <c r="K254" s="5" t="str">
        <f t="shared" si="1"/>
        <v>Medium</v>
      </c>
      <c r="L254" s="11">
        <f t="array" ref="L254">IFERROR(INDEX(Bookings!$K:$K,MATCH(A254,Bookings!$A:$A,0)),"")</f>
        <v>14478</v>
      </c>
      <c r="M254" s="5" t="str">
        <f t="shared" si="2"/>
        <v>Medium</v>
      </c>
      <c r="N254" s="5">
        <f t="array" ref="N254">IFERROR(INDEX(Bookings!$I:$I,MATCH(A254,Bookings!$A:$A,0)),"")</f>
        <v>7</v>
      </c>
      <c r="O254" s="5" t="str">
        <f t="shared" si="3"/>
        <v>Last Minute</v>
      </c>
      <c r="P254" s="5" t="str">
        <f t="shared" si="4"/>
        <v>Mumbai -&gt; Bengaluru</v>
      </c>
    </row>
    <row r="255" ht="15.75" customHeight="1">
      <c r="A255" s="5" t="s">
        <v>1113</v>
      </c>
      <c r="B255" s="5" t="s">
        <v>1114</v>
      </c>
      <c r="C255" s="5" t="s">
        <v>220</v>
      </c>
      <c r="D255" s="5" t="s">
        <v>20</v>
      </c>
      <c r="E255" s="6" t="str">
        <f t="array" ref="E255">IFERROR(INDEX(Airlines!$B:$B,MATCH(D255,Airlines!$A:$A,0)),"")</f>
        <v>Vistara</v>
      </c>
      <c r="F255" s="6" t="str">
        <f>VLOOKUP(A255,Bookings!$A:$F,6,FALSE())</f>
        <v>Economy</v>
      </c>
      <c r="G255" s="6" t="str">
        <f t="array" ref="G255">IFERROR(INDEX(Flights!$E:$E,MATCH(B255,Flights!$A:$A,0)),"")</f>
        <v>Mumbai</v>
      </c>
      <c r="H255" s="6" t="str">
        <f>VLOOKUP(B255,Flights!A:H,6,FALSE())</f>
        <v>Bengaluru</v>
      </c>
      <c r="I255" s="6" t="str">
        <f t="array" ref="I255">IFERROR(INDEX(Bookings!$G:$G,MATCH(B255,Bookings!$B:$B,0)),"")</f>
        <v>2+</v>
      </c>
      <c r="J255" s="5">
        <f>VLOOKUP(B255,Bookings!B:H,7,FALSE())</f>
        <v>26.33</v>
      </c>
      <c r="K255" s="5" t="str">
        <f t="shared" si="1"/>
        <v>Long</v>
      </c>
      <c r="L255" s="11">
        <f t="array" ref="L255">IFERROR(INDEX(Bookings!$K:$K,MATCH(A255,Bookings!$A:$A,0)),"")</f>
        <v>17943</v>
      </c>
      <c r="M255" s="5" t="str">
        <f t="shared" si="2"/>
        <v>High</v>
      </c>
      <c r="N255" s="5">
        <f t="array" ref="N255">IFERROR(INDEX(Bookings!$I:$I,MATCH(A255,Bookings!$A:$A,0)),"")</f>
        <v>9</v>
      </c>
      <c r="O255" s="5" t="str">
        <f t="shared" si="3"/>
        <v>Short Notice</v>
      </c>
      <c r="P255" s="5" t="str">
        <f t="shared" si="4"/>
        <v>Mumbai -&gt; Bengaluru</v>
      </c>
    </row>
    <row r="256" ht="15.75" customHeight="1">
      <c r="A256" s="5" t="s">
        <v>1117</v>
      </c>
      <c r="B256" s="5" t="s">
        <v>1119</v>
      </c>
      <c r="C256" s="5" t="s">
        <v>220</v>
      </c>
      <c r="D256" s="5" t="s">
        <v>20</v>
      </c>
      <c r="E256" s="6" t="str">
        <f t="array" ref="E256">IFERROR(INDEX(Airlines!$B:$B,MATCH(D256,Airlines!$A:$A,0)),"")</f>
        <v>Vistara</v>
      </c>
      <c r="F256" s="6" t="str">
        <f>VLOOKUP(A256,Bookings!$A:$F,6,FALSE())</f>
        <v>Economy</v>
      </c>
      <c r="G256" s="6" t="str">
        <f t="array" ref="G256">IFERROR(INDEX(Flights!$E:$E,MATCH(B256,Flights!$A:$A,0)),"")</f>
        <v>Mumbai</v>
      </c>
      <c r="H256" s="6" t="str">
        <f>VLOOKUP(B256,Flights!A:H,6,FALSE())</f>
        <v>Bengaluru</v>
      </c>
      <c r="I256" s="6" t="str">
        <f t="array" ref="I256">IFERROR(INDEX(Bookings!$G:$G,MATCH(B256,Bookings!$B:$B,0)),"")</f>
        <v>2+</v>
      </c>
      <c r="J256" s="5">
        <f>VLOOKUP(B256,Bookings!B:H,7,FALSE())</f>
        <v>10.25</v>
      </c>
      <c r="K256" s="5" t="str">
        <f t="shared" si="1"/>
        <v>Long</v>
      </c>
      <c r="L256" s="11">
        <f t="array" ref="L256">IFERROR(INDEX(Bookings!$K:$K,MATCH(A256,Bookings!$A:$A,0)),"")</f>
        <v>19077</v>
      </c>
      <c r="M256" s="5" t="str">
        <f t="shared" si="2"/>
        <v>High</v>
      </c>
      <c r="N256" s="5" t="str">
        <f t="array" ref="N256">IFERROR(INDEX(Bookings!$I:$I,MATCH(A256,Bookings!$A:$A,0)),"")</f>
        <v/>
      </c>
      <c r="O256" s="5" t="str">
        <f t="shared" si="3"/>
        <v>Last Minute</v>
      </c>
      <c r="P256" s="5" t="str">
        <f t="shared" si="4"/>
        <v>Mumbai -&gt; Bengaluru</v>
      </c>
    </row>
    <row r="257" ht="15.75" customHeight="1">
      <c r="A257" s="5" t="s">
        <v>1122</v>
      </c>
      <c r="B257" s="5" t="s">
        <v>1123</v>
      </c>
      <c r="C257" s="5" t="s">
        <v>220</v>
      </c>
      <c r="D257" s="5" t="s">
        <v>29</v>
      </c>
      <c r="E257" s="6" t="str">
        <f t="array" ref="E257">IFERROR(INDEX(Airlines!$B:$B,MATCH(D257,Airlines!$A:$A,0)),"")</f>
        <v>AirAsia</v>
      </c>
      <c r="F257" s="6" t="str">
        <f>VLOOKUP(A257,Bookings!$A:$F,6,FALSE())</f>
        <v>Economy</v>
      </c>
      <c r="G257" s="6" t="str">
        <f t="array" ref="G257">IFERROR(INDEX(Flights!$E:$E,MATCH(B257,Flights!$A:$A,0)),"")</f>
        <v>Mumbai</v>
      </c>
      <c r="H257" s="6" t="str">
        <f>VLOOKUP(B257,Flights!A:H,6,FALSE())</f>
        <v>Bengaluru</v>
      </c>
      <c r="I257" s="6" t="str">
        <f t="array" ref="I257">IFERROR(INDEX(Bookings!$G:$G,MATCH(B257,Bookings!$B:$B,0)),"")</f>
        <v>1</v>
      </c>
      <c r="J257" s="5">
        <f>VLOOKUP(B257,Bookings!B:H,7,FALSE())</f>
        <v>7.5</v>
      </c>
      <c r="K257" s="5" t="str">
        <f t="shared" si="1"/>
        <v>Medium</v>
      </c>
      <c r="L257" s="11">
        <f t="array" ref="L257">IFERROR(INDEX(Bookings!$K:$K,MATCH(A257,Bookings!$A:$A,0)),"")</f>
        <v>2074</v>
      </c>
      <c r="M257" s="5" t="str">
        <f t="shared" si="2"/>
        <v>Low</v>
      </c>
      <c r="N257" s="5">
        <f t="array" ref="N257">IFERROR(INDEX(Bookings!$I:$I,MATCH(A257,Bookings!$A:$A,0)),"")</f>
        <v>48</v>
      </c>
      <c r="O257" s="5" t="str">
        <f t="shared" si="3"/>
        <v>Advance</v>
      </c>
      <c r="P257" s="5" t="str">
        <f t="shared" si="4"/>
        <v>Mumbai -&gt; Bengaluru</v>
      </c>
    </row>
    <row r="258" ht="15.75" customHeight="1">
      <c r="A258" s="5" t="s">
        <v>1127</v>
      </c>
      <c r="B258" s="5" t="s">
        <v>1128</v>
      </c>
      <c r="C258" s="5" t="s">
        <v>220</v>
      </c>
      <c r="D258" s="5" t="s">
        <v>20</v>
      </c>
      <c r="E258" s="6" t="str">
        <f t="array" ref="E258">IFERROR(INDEX(Airlines!$B:$B,MATCH(D258,Airlines!$A:$A,0)),"")</f>
        <v>Vistara</v>
      </c>
      <c r="F258" s="6" t="str">
        <f>VLOOKUP(A258,Bookings!$A:$F,6,FALSE())</f>
        <v>Economy</v>
      </c>
      <c r="G258" s="6" t="str">
        <f t="array" ref="G258">IFERROR(INDEX(Flights!$E:$E,MATCH(B258,Flights!$A:$A,0)),"")</f>
        <v>Mumbai</v>
      </c>
      <c r="H258" s="6" t="str">
        <f>VLOOKUP(B258,Flights!A:H,6,FALSE())</f>
        <v>Bengaluru</v>
      </c>
      <c r="I258" s="6" t="str">
        <f t="array" ref="I258">IFERROR(INDEX(Bookings!$G:$G,MATCH(B258,Bookings!$B:$B,0)),"")</f>
        <v>2+</v>
      </c>
      <c r="J258" s="5">
        <f>VLOOKUP(B258,Bookings!B:H,7,FALSE())</f>
        <v>12.25</v>
      </c>
      <c r="K258" s="5" t="str">
        <f t="shared" si="1"/>
        <v>Long</v>
      </c>
      <c r="L258" s="11">
        <f t="array" ref="L258">IFERROR(INDEX(Bookings!$K:$K,MATCH(A258,Bookings!$A:$A,0)),"")</f>
        <v>14763</v>
      </c>
      <c r="M258" s="5" t="str">
        <f t="shared" si="2"/>
        <v>Medium</v>
      </c>
      <c r="N258" s="5">
        <f t="array" ref="N258">IFERROR(INDEX(Bookings!$I:$I,MATCH(A258,Bookings!$A:$A,0)),"")</f>
        <v>11</v>
      </c>
      <c r="O258" s="5" t="str">
        <f t="shared" si="3"/>
        <v>Short Notice</v>
      </c>
      <c r="P258" s="5" t="str">
        <f t="shared" si="4"/>
        <v>Mumbai -&gt; Bengaluru</v>
      </c>
    </row>
    <row r="259" ht="15.75" customHeight="1">
      <c r="A259" s="5" t="s">
        <v>1133</v>
      </c>
      <c r="B259" s="5" t="s">
        <v>1134</v>
      </c>
      <c r="C259" s="5" t="s">
        <v>220</v>
      </c>
      <c r="D259" s="5" t="s">
        <v>58</v>
      </c>
      <c r="E259" s="6" t="str">
        <f t="array" ref="E259">IFERROR(INDEX(Airlines!$B:$B,MATCH(D259,Airlines!$A:$A,0)),"")</f>
        <v>Go_First</v>
      </c>
      <c r="F259" s="6" t="str">
        <f>VLOOKUP(A259,Bookings!$A:$F,6,FALSE())</f>
        <v>Economy</v>
      </c>
      <c r="G259" s="6" t="str">
        <f t="array" ref="G259">IFERROR(INDEX(Flights!$E:$E,MATCH(B259,Flights!$A:$A,0)),"")</f>
        <v>Mumbai</v>
      </c>
      <c r="H259" s="6" t="str">
        <f>VLOOKUP(B259,Flights!A:H,6,FALSE())</f>
        <v>Bengaluru</v>
      </c>
      <c r="I259" s="6" t="str">
        <f t="array" ref="I259">IFERROR(INDEX(Bookings!$G:$G,MATCH(B259,Bookings!$B:$B,0)),"")</f>
        <v>1</v>
      </c>
      <c r="J259" s="5">
        <f>VLOOKUP(B259,Bookings!B:H,7,FALSE())</f>
        <v>16.17</v>
      </c>
      <c r="K259" s="5" t="str">
        <f t="shared" si="1"/>
        <v>Long</v>
      </c>
      <c r="L259" s="11">
        <f t="array" ref="L259">IFERROR(INDEX(Bookings!$K:$K,MATCH(A259,Bookings!$A:$A,0)),"")</f>
        <v>5102</v>
      </c>
      <c r="M259" s="5" t="str">
        <f t="shared" si="2"/>
        <v>Medium</v>
      </c>
      <c r="N259" s="5" t="str">
        <f t="array" ref="N259">IFERROR(INDEX(Bookings!$I:$I,MATCH(A259,Bookings!$A:$A,0)),"")</f>
        <v/>
      </c>
      <c r="O259" s="5" t="str">
        <f t="shared" si="3"/>
        <v>Last Minute</v>
      </c>
      <c r="P259" s="5" t="str">
        <f t="shared" si="4"/>
        <v>Mumbai -&gt; Bengaluru</v>
      </c>
    </row>
    <row r="260" ht="15.75" customHeight="1">
      <c r="A260" s="5" t="s">
        <v>1137</v>
      </c>
      <c r="B260" s="5" t="s">
        <v>1139</v>
      </c>
      <c r="C260" s="5" t="s">
        <v>220</v>
      </c>
      <c r="D260" s="5" t="s">
        <v>45</v>
      </c>
      <c r="E260" s="6" t="str">
        <f t="array" ref="E260">IFERROR(INDEX(Airlines!$B:$B,MATCH(D260,Airlines!$A:$A,0)),"")</f>
        <v>Air_India</v>
      </c>
      <c r="F260" s="6" t="str">
        <f>VLOOKUP(A260,Bookings!$A:$F,6,FALSE())</f>
        <v>Economy</v>
      </c>
      <c r="G260" s="6" t="str">
        <f t="array" ref="G260">IFERROR(INDEX(Flights!$E:$E,MATCH(B260,Flights!$A:$A,0)),"")</f>
        <v>Mumbai</v>
      </c>
      <c r="H260" s="6" t="str">
        <f>VLOOKUP(B260,Flights!A:H,6,FALSE())</f>
        <v>Bengaluru</v>
      </c>
      <c r="I260" s="6" t="str">
        <f t="array" ref="I260">IFERROR(INDEX(Bookings!$G:$G,MATCH(B260,Bookings!$B:$B,0)),"")</f>
        <v>2+</v>
      </c>
      <c r="J260" s="5">
        <f>VLOOKUP(B260,Bookings!B:H,7,FALSE())</f>
        <v>16</v>
      </c>
      <c r="K260" s="5" t="str">
        <f t="shared" si="1"/>
        <v>Long</v>
      </c>
      <c r="L260" s="11">
        <f t="array" ref="L260">IFERROR(INDEX(Bookings!$K:$K,MATCH(A260,Bookings!$A:$A,0)),"")</f>
        <v>9256</v>
      </c>
      <c r="M260" s="5" t="str">
        <f t="shared" si="2"/>
        <v>Medium</v>
      </c>
      <c r="N260" s="5">
        <f t="array" ref="N260">IFERROR(INDEX(Bookings!$I:$I,MATCH(A260,Bookings!$A:$A,0)),"")</f>
        <v>20</v>
      </c>
      <c r="O260" s="5" t="str">
        <f t="shared" si="3"/>
        <v>Moderate</v>
      </c>
      <c r="P260" s="5" t="str">
        <f t="shared" si="4"/>
        <v>Mumbai -&gt; Bengaluru</v>
      </c>
    </row>
    <row r="261" ht="15.75" customHeight="1">
      <c r="A261" s="5" t="s">
        <v>1145</v>
      </c>
      <c r="B261" s="5" t="s">
        <v>1146</v>
      </c>
      <c r="C261" s="5" t="s">
        <v>220</v>
      </c>
      <c r="D261" s="5" t="s">
        <v>20</v>
      </c>
      <c r="E261" s="6" t="str">
        <f t="array" ref="E261">IFERROR(INDEX(Airlines!$B:$B,MATCH(D261,Airlines!$A:$A,0)),"")</f>
        <v>Vistara</v>
      </c>
      <c r="F261" s="6" t="str">
        <f>VLOOKUP(A261,Bookings!$A:$F,6,FALSE())</f>
        <v>Economy</v>
      </c>
      <c r="G261" s="6" t="str">
        <f t="array" ref="G261">IFERROR(INDEX(Flights!$E:$E,MATCH(B261,Flights!$A:$A,0)),"")</f>
        <v>Mumbai</v>
      </c>
      <c r="H261" s="6" t="str">
        <f>VLOOKUP(B261,Flights!A:H,6,FALSE())</f>
        <v>Bengaluru</v>
      </c>
      <c r="I261" s="6" t="str">
        <f t="array" ref="I261">IFERROR(INDEX(Bookings!$G:$G,MATCH(B261,Bookings!$B:$B,0)),"")</f>
        <v>1</v>
      </c>
      <c r="J261" s="5">
        <f>VLOOKUP(B261,Bookings!B:H,7,FALSE())</f>
        <v>8.5</v>
      </c>
      <c r="K261" s="5" t="str">
        <f t="shared" si="1"/>
        <v>Medium</v>
      </c>
      <c r="L261" s="11">
        <f t="array" ref="L261">IFERROR(INDEX(Bookings!$K:$K,MATCH(A261,Bookings!$A:$A,0)),"")</f>
        <v>9141</v>
      </c>
      <c r="M261" s="5" t="str">
        <f t="shared" si="2"/>
        <v>Medium</v>
      </c>
      <c r="N261" s="5">
        <f t="array" ref="N261">IFERROR(INDEX(Bookings!$I:$I,MATCH(A261,Bookings!$A:$A,0)),"")</f>
        <v>40</v>
      </c>
      <c r="O261" s="5" t="str">
        <f t="shared" si="3"/>
        <v>Advance</v>
      </c>
      <c r="P261" s="5" t="str">
        <f t="shared" si="4"/>
        <v>Mumbai -&gt; Bengaluru</v>
      </c>
    </row>
    <row r="262" ht="15.75" customHeight="1">
      <c r="A262" s="5" t="s">
        <v>1152</v>
      </c>
      <c r="B262" s="5" t="s">
        <v>1153</v>
      </c>
      <c r="C262" s="5" t="s">
        <v>220</v>
      </c>
      <c r="D262" s="5" t="s">
        <v>58</v>
      </c>
      <c r="E262" s="6" t="str">
        <f t="array" ref="E262">IFERROR(INDEX(Airlines!$B:$B,MATCH(D262,Airlines!$A:$A,0)),"")</f>
        <v>Go_First</v>
      </c>
      <c r="F262" s="6" t="str">
        <f>VLOOKUP(A262,Bookings!$A:$F,6,FALSE())</f>
        <v>Economy</v>
      </c>
      <c r="G262" s="6" t="str">
        <f t="array" ref="G262">IFERROR(INDEX(Flights!$E:$E,MATCH(B262,Flights!$A:$A,0)),"")</f>
        <v>Mumbai</v>
      </c>
      <c r="H262" s="6" t="str">
        <f>VLOOKUP(B262,Flights!A:H,6,FALSE())</f>
        <v>Bengaluru</v>
      </c>
      <c r="I262" s="6" t="str">
        <f t="array" ref="I262">IFERROR(INDEX(Bookings!$G:$G,MATCH(B262,Bookings!$B:$B,0)),"")</f>
        <v>1</v>
      </c>
      <c r="J262" s="5">
        <f>VLOOKUP(B262,Bookings!B:H,7,FALSE())</f>
        <v>9.92</v>
      </c>
      <c r="K262" s="5" t="str">
        <f t="shared" si="1"/>
        <v>Medium</v>
      </c>
      <c r="L262" s="11">
        <f t="array" ref="L262">IFERROR(INDEX(Bookings!$K:$K,MATCH(A262,Bookings!$A:$A,0)),"")</f>
        <v>6319</v>
      </c>
      <c r="M262" s="5" t="str">
        <f t="shared" si="2"/>
        <v>Medium</v>
      </c>
      <c r="N262" s="5">
        <f t="array" ref="N262">IFERROR(INDEX(Bookings!$I:$I,MATCH(A262,Bookings!$A:$A,0)),"")</f>
        <v>44</v>
      </c>
      <c r="O262" s="5" t="str">
        <f t="shared" si="3"/>
        <v>Advance</v>
      </c>
      <c r="P262" s="5" t="str">
        <f t="shared" si="4"/>
        <v>Mumbai -&gt; Bengaluru</v>
      </c>
    </row>
    <row r="263" ht="15.75" customHeight="1">
      <c r="A263" s="5" t="s">
        <v>1158</v>
      </c>
      <c r="B263" s="5" t="s">
        <v>1159</v>
      </c>
      <c r="C263" s="5" t="s">
        <v>220</v>
      </c>
      <c r="D263" s="5" t="s">
        <v>58</v>
      </c>
      <c r="E263" s="6" t="str">
        <f t="array" ref="E263">IFERROR(INDEX(Airlines!$B:$B,MATCH(D263,Airlines!$A:$A,0)),"")</f>
        <v>Go_First</v>
      </c>
      <c r="F263" s="6" t="str">
        <f>VLOOKUP(A263,Bookings!$A:$F,6,FALSE())</f>
        <v>Economy</v>
      </c>
      <c r="G263" s="6" t="str">
        <f t="array" ref="G263">IFERROR(INDEX(Flights!$E:$E,MATCH(B263,Flights!$A:$A,0)),"")</f>
        <v>Mumbai</v>
      </c>
      <c r="H263" s="6" t="str">
        <f>VLOOKUP(B263,Flights!A:H,6,FALSE())</f>
        <v>Bengaluru</v>
      </c>
      <c r="I263" s="6" t="str">
        <f t="array" ref="I263">IFERROR(INDEX(Bookings!$G:$G,MATCH(B263,Bookings!$B:$B,0)),"")</f>
        <v>0</v>
      </c>
      <c r="J263" s="5">
        <f>VLOOKUP(B263,Bookings!B:H,7,FALSE())</f>
        <v>1.83</v>
      </c>
      <c r="K263" s="5" t="str">
        <f t="shared" si="1"/>
        <v>Short</v>
      </c>
      <c r="L263" s="11">
        <f t="array" ref="L263">IFERROR(INDEX(Bookings!$K:$K,MATCH(A263,Bookings!$A:$A,0)),"")</f>
        <v>2124</v>
      </c>
      <c r="M263" s="5" t="str">
        <f t="shared" si="2"/>
        <v>Low</v>
      </c>
      <c r="N263" s="5">
        <f t="array" ref="N263">IFERROR(INDEX(Bookings!$I:$I,MATCH(A263,Bookings!$A:$A,0)),"")</f>
        <v>46</v>
      </c>
      <c r="O263" s="5" t="str">
        <f t="shared" si="3"/>
        <v>Advance</v>
      </c>
      <c r="P263" s="5" t="str">
        <f t="shared" si="4"/>
        <v>Mumbai -&gt; Bengaluru</v>
      </c>
    </row>
    <row r="264" ht="15.75" customHeight="1">
      <c r="A264" s="5" t="s">
        <v>1162</v>
      </c>
      <c r="B264" s="5" t="s">
        <v>1163</v>
      </c>
      <c r="C264" s="5" t="s">
        <v>220</v>
      </c>
      <c r="D264" s="5" t="s">
        <v>43</v>
      </c>
      <c r="E264" s="6" t="str">
        <f t="array" ref="E264">IFERROR(INDEX(Airlines!$B:$B,MATCH(D264,Airlines!$A:$A,0)),"")</f>
        <v>Indigo</v>
      </c>
      <c r="F264" s="6" t="str">
        <f>VLOOKUP(A264,Bookings!$A:$F,6,FALSE())</f>
        <v>Economy</v>
      </c>
      <c r="G264" s="6" t="str">
        <f t="array" ref="G264">IFERROR(INDEX(Flights!$E:$E,MATCH(B264,Flights!$A:$A,0)),"")</f>
        <v>Mumbai</v>
      </c>
      <c r="H264" s="6" t="str">
        <f>VLOOKUP(B264,Flights!A:H,6,FALSE())</f>
        <v>Bengaluru</v>
      </c>
      <c r="I264" s="6" t="str">
        <f t="array" ref="I264">IFERROR(INDEX(Bookings!$G:$G,MATCH(B264,Bookings!$B:$B,0)),"")</f>
        <v>1</v>
      </c>
      <c r="J264" s="5">
        <f>VLOOKUP(B264,Bookings!B:H,7,FALSE())</f>
        <v>6.67</v>
      </c>
      <c r="K264" s="5" t="str">
        <f t="shared" si="1"/>
        <v>Medium</v>
      </c>
      <c r="L264" s="11">
        <f t="array" ref="L264">IFERROR(INDEX(Bookings!$K:$K,MATCH(A264,Bookings!$A:$A,0)),"")</f>
        <v>7336</v>
      </c>
      <c r="M264" s="5" t="str">
        <f t="shared" si="2"/>
        <v>Medium</v>
      </c>
      <c r="N264" s="5">
        <f t="array" ref="N264">IFERROR(INDEX(Bookings!$I:$I,MATCH(A264,Bookings!$A:$A,0)),"")</f>
        <v>46</v>
      </c>
      <c r="O264" s="5" t="str">
        <f t="shared" si="3"/>
        <v>Advance</v>
      </c>
      <c r="P264" s="5" t="str">
        <f t="shared" si="4"/>
        <v>Mumbai -&gt; Bengaluru</v>
      </c>
    </row>
    <row r="265" ht="15.75" customHeight="1">
      <c r="A265" s="5" t="s">
        <v>1167</v>
      </c>
      <c r="B265" s="5" t="s">
        <v>1168</v>
      </c>
      <c r="C265" s="5" t="s">
        <v>220</v>
      </c>
      <c r="D265" s="5" t="s">
        <v>43</v>
      </c>
      <c r="E265" s="6" t="str">
        <f t="array" ref="E265">IFERROR(INDEX(Airlines!$B:$B,MATCH(D265,Airlines!$A:$A,0)),"")</f>
        <v>Indigo</v>
      </c>
      <c r="F265" s="6" t="str">
        <f>VLOOKUP(A265,Bookings!$A:$F,6,FALSE())</f>
        <v>Economy</v>
      </c>
      <c r="G265" s="6" t="str">
        <f t="array" ref="G265">IFERROR(INDEX(Flights!$E:$E,MATCH(B265,Flights!$A:$A,0)),"")</f>
        <v>Mumbai</v>
      </c>
      <c r="H265" s="6" t="str">
        <f>VLOOKUP(B265,Flights!A:H,6,FALSE())</f>
        <v>Bengaluru</v>
      </c>
      <c r="I265" s="6" t="str">
        <f t="array" ref="I265">IFERROR(INDEX(Bookings!$G:$G,MATCH(B265,Bookings!$B:$B,0)),"")</f>
        <v>1</v>
      </c>
      <c r="J265" s="5">
        <f>VLOOKUP(B265,Bookings!B:H,7,FALSE())</f>
        <v>5</v>
      </c>
      <c r="K265" s="5" t="str">
        <f t="shared" si="1"/>
        <v>Medium</v>
      </c>
      <c r="L265" s="11">
        <f t="array" ref="L265">IFERROR(INDEX(Bookings!$K:$K,MATCH(A265,Bookings!$A:$A,0)),"")</f>
        <v>2124</v>
      </c>
      <c r="M265" s="5" t="str">
        <f t="shared" si="2"/>
        <v>Low</v>
      </c>
      <c r="N265" s="5">
        <f t="array" ref="N265">IFERROR(INDEX(Bookings!$I:$I,MATCH(A265,Bookings!$A:$A,0)),"")</f>
        <v>46</v>
      </c>
      <c r="O265" s="5" t="str">
        <f t="shared" si="3"/>
        <v>Advance</v>
      </c>
      <c r="P265" s="5" t="str">
        <f t="shared" si="4"/>
        <v>Mumbai -&gt; Bengaluru</v>
      </c>
    </row>
    <row r="266" ht="15.75" customHeight="1">
      <c r="A266" s="5" t="s">
        <v>1171</v>
      </c>
      <c r="B266" s="5" t="s">
        <v>1172</v>
      </c>
      <c r="C266" s="5" t="s">
        <v>220</v>
      </c>
      <c r="D266" s="5" t="s">
        <v>43</v>
      </c>
      <c r="E266" s="6" t="str">
        <f t="array" ref="E266">IFERROR(INDEX(Airlines!$B:$B,MATCH(D266,Airlines!$A:$A,0)),"")</f>
        <v>Indigo</v>
      </c>
      <c r="F266" s="6" t="str">
        <f>VLOOKUP(A266,Bookings!$A:$F,6,FALSE())</f>
        <v>Economy</v>
      </c>
      <c r="G266" s="6" t="str">
        <f t="array" ref="G266">IFERROR(INDEX(Flights!$E:$E,MATCH(B266,Flights!$A:$A,0)),"")</f>
        <v>Mumbai</v>
      </c>
      <c r="H266" s="6" t="str">
        <f>VLOOKUP(B266,Flights!A:H,6,FALSE())</f>
        <v>Bengaluru</v>
      </c>
      <c r="I266" s="6" t="str">
        <f t="array" ref="I266">IFERROR(INDEX(Bookings!$G:$G,MATCH(B266,Bookings!$B:$B,0)),"")</f>
        <v>1</v>
      </c>
      <c r="J266" s="5">
        <f>VLOOKUP(B266,Bookings!B:H,7,FALSE())</f>
        <v>6.92</v>
      </c>
      <c r="K266" s="5" t="str">
        <f t="shared" si="1"/>
        <v>Medium</v>
      </c>
      <c r="L266" s="11">
        <f t="array" ref="L266">IFERROR(INDEX(Bookings!$K:$K,MATCH(A266,Bookings!$A:$A,0)),"")</f>
        <v>2124</v>
      </c>
      <c r="M266" s="5" t="str">
        <f t="shared" si="2"/>
        <v>Low</v>
      </c>
      <c r="N266" s="5">
        <f t="array" ref="N266">IFERROR(INDEX(Bookings!$I:$I,MATCH(A266,Bookings!$A:$A,0)),"")</f>
        <v>46</v>
      </c>
      <c r="O266" s="5" t="str">
        <f t="shared" si="3"/>
        <v>Advance</v>
      </c>
      <c r="P266" s="5" t="str">
        <f t="shared" si="4"/>
        <v>Mumbai -&gt; Bengaluru</v>
      </c>
    </row>
    <row r="267" ht="15.75" customHeight="1">
      <c r="A267" s="5" t="s">
        <v>1175</v>
      </c>
      <c r="B267" s="5" t="s">
        <v>1176</v>
      </c>
      <c r="C267" s="5" t="s">
        <v>220</v>
      </c>
      <c r="D267" s="5" t="s">
        <v>45</v>
      </c>
      <c r="E267" s="6" t="str">
        <f t="array" ref="E267">IFERROR(INDEX(Airlines!$B:$B,MATCH(D267,Airlines!$A:$A,0)),"")</f>
        <v>Air_India</v>
      </c>
      <c r="F267" s="6" t="str">
        <f>VLOOKUP(A267,Bookings!$A:$F,6,FALSE())</f>
        <v>Economy</v>
      </c>
      <c r="G267" s="6" t="str">
        <f t="array" ref="G267">IFERROR(INDEX(Flights!$E:$E,MATCH(B267,Flights!$A:$A,0)),"")</f>
        <v>Mumbai</v>
      </c>
      <c r="H267" s="6" t="str">
        <f>VLOOKUP(B267,Flights!A:H,6,FALSE())</f>
        <v>Bengaluru</v>
      </c>
      <c r="I267" s="6" t="str">
        <f t="array" ref="I267">IFERROR(INDEX(Bookings!$G:$G,MATCH(B267,Bookings!$B:$B,0)),"")</f>
        <v>1</v>
      </c>
      <c r="J267" s="5">
        <f>VLOOKUP(B267,Bookings!B:H,7,FALSE())</f>
        <v>20.25</v>
      </c>
      <c r="K267" s="5" t="str">
        <f t="shared" si="1"/>
        <v>Long</v>
      </c>
      <c r="L267" s="11">
        <f t="array" ref="L267">IFERROR(INDEX(Bookings!$K:$K,MATCH(A267,Bookings!$A:$A,0)),"")</f>
        <v>5774</v>
      </c>
      <c r="M267" s="5" t="str">
        <f t="shared" si="2"/>
        <v>Medium</v>
      </c>
      <c r="N267" s="5">
        <f t="array" ref="N267">IFERROR(INDEX(Bookings!$I:$I,MATCH(A267,Bookings!$A:$A,0)),"")</f>
        <v>45</v>
      </c>
      <c r="O267" s="5" t="str">
        <f t="shared" si="3"/>
        <v>Advance</v>
      </c>
      <c r="P267" s="5" t="str">
        <f t="shared" si="4"/>
        <v>Mumbai -&gt; Bengaluru</v>
      </c>
    </row>
    <row r="268" ht="15.75" customHeight="1">
      <c r="A268" s="5" t="s">
        <v>1180</v>
      </c>
      <c r="B268" s="5" t="s">
        <v>1181</v>
      </c>
      <c r="C268" s="5" t="s">
        <v>220</v>
      </c>
      <c r="D268" s="5" t="s">
        <v>20</v>
      </c>
      <c r="E268" s="6" t="str">
        <f t="array" ref="E268">IFERROR(INDEX(Airlines!$B:$B,MATCH(D268,Airlines!$A:$A,0)),"")</f>
        <v>Vistara</v>
      </c>
      <c r="F268" s="6" t="str">
        <f>VLOOKUP(A268,Bookings!$A:$F,6,FALSE())</f>
        <v>Economy</v>
      </c>
      <c r="G268" s="6" t="str">
        <f t="array" ref="G268">IFERROR(INDEX(Flights!$E:$E,MATCH(B268,Flights!$A:$A,0)),"")</f>
        <v>Mumbai</v>
      </c>
      <c r="H268" s="6" t="str">
        <f>VLOOKUP(B268,Flights!A:H,6,FALSE())</f>
        <v>Bengaluru</v>
      </c>
      <c r="I268" s="6" t="str">
        <f t="array" ref="I268">IFERROR(INDEX(Bookings!$G:$G,MATCH(B268,Bookings!$B:$B,0)),"")</f>
        <v>1</v>
      </c>
      <c r="J268" s="5">
        <f>VLOOKUP(B268,Bookings!B:H,7,FALSE())</f>
        <v>27.5</v>
      </c>
      <c r="K268" s="5" t="str">
        <f t="shared" si="1"/>
        <v>Long</v>
      </c>
      <c r="L268" s="11">
        <f t="array" ref="L268">IFERROR(INDEX(Bookings!$K:$K,MATCH(A268,Bookings!$A:$A,0)),"")</f>
        <v>8867</v>
      </c>
      <c r="M268" s="5" t="str">
        <f t="shared" si="2"/>
        <v>Medium</v>
      </c>
      <c r="N268" s="5">
        <f t="array" ref="N268">IFERROR(INDEX(Bookings!$I:$I,MATCH(A268,Bookings!$A:$A,0)),"")</f>
        <v>45</v>
      </c>
      <c r="O268" s="5" t="str">
        <f t="shared" si="3"/>
        <v>Advance</v>
      </c>
      <c r="P268" s="5" t="str">
        <f t="shared" si="4"/>
        <v>Mumbai -&gt; Bengaluru</v>
      </c>
    </row>
    <row r="269" ht="15.75" customHeight="1">
      <c r="A269" s="5" t="s">
        <v>1183</v>
      </c>
      <c r="B269" s="5" t="s">
        <v>1184</v>
      </c>
      <c r="C269" s="5" t="s">
        <v>220</v>
      </c>
      <c r="D269" s="5" t="s">
        <v>45</v>
      </c>
      <c r="E269" s="6" t="str">
        <f t="array" ref="E269">IFERROR(INDEX(Airlines!$B:$B,MATCH(D269,Airlines!$A:$A,0)),"")</f>
        <v>Air_India</v>
      </c>
      <c r="F269" s="6" t="str">
        <f>VLOOKUP(A269,Bookings!$A:$F,6,FALSE())</f>
        <v>Economy</v>
      </c>
      <c r="G269" s="6" t="str">
        <f t="array" ref="G269">IFERROR(INDEX(Flights!$E:$E,MATCH(B269,Flights!$A:$A,0)),"")</f>
        <v>Mumbai</v>
      </c>
      <c r="H269" s="6" t="str">
        <f>VLOOKUP(B269,Flights!A:H,6,FALSE())</f>
        <v>Bengaluru</v>
      </c>
      <c r="I269" s="6" t="str">
        <f t="array" ref="I269">IFERROR(INDEX(Bookings!$G:$G,MATCH(B269,Bookings!$B:$B,0)),"")</f>
        <v>2+</v>
      </c>
      <c r="J269" s="5">
        <f>VLOOKUP(B269,Bookings!B:H,7,FALSE())</f>
        <v>13.92</v>
      </c>
      <c r="K269" s="5" t="str">
        <f t="shared" si="1"/>
        <v>Long</v>
      </c>
      <c r="L269" s="11">
        <f t="array" ref="L269">IFERROR(INDEX(Bookings!$K:$K,MATCH(A269,Bookings!$A:$A,0)),"")</f>
        <v>6502</v>
      </c>
      <c r="M269" s="5" t="str">
        <f t="shared" si="2"/>
        <v>Medium</v>
      </c>
      <c r="N269" s="5">
        <f t="array" ref="N269">IFERROR(INDEX(Bookings!$I:$I,MATCH(A269,Bookings!$A:$A,0)),"")</f>
        <v>46</v>
      </c>
      <c r="O269" s="5" t="str">
        <f t="shared" si="3"/>
        <v>Advance</v>
      </c>
      <c r="P269" s="5" t="str">
        <f t="shared" si="4"/>
        <v>Mumbai -&gt; Bengaluru</v>
      </c>
    </row>
    <row r="270" ht="15.75" customHeight="1">
      <c r="A270" s="5" t="s">
        <v>1186</v>
      </c>
      <c r="B270" s="5" t="s">
        <v>1188</v>
      </c>
      <c r="C270" s="5" t="s">
        <v>220</v>
      </c>
      <c r="D270" s="5" t="s">
        <v>45</v>
      </c>
      <c r="E270" s="6" t="str">
        <f t="array" ref="E270">IFERROR(INDEX(Airlines!$B:$B,MATCH(D270,Airlines!$A:$A,0)),"")</f>
        <v>Air_India</v>
      </c>
      <c r="F270" s="6" t="str">
        <f>VLOOKUP(A270,Bookings!$A:$F,6,FALSE())</f>
        <v>Economy</v>
      </c>
      <c r="G270" s="6" t="str">
        <f t="array" ref="G270">IFERROR(INDEX(Flights!$E:$E,MATCH(B270,Flights!$A:$A,0)),"")</f>
        <v>Mumbai</v>
      </c>
      <c r="H270" s="6" t="str">
        <f>VLOOKUP(B270,Flights!A:H,6,FALSE())</f>
        <v>Bengaluru</v>
      </c>
      <c r="I270" s="6" t="str">
        <f t="array" ref="I270">IFERROR(INDEX(Bookings!$G:$G,MATCH(B270,Bookings!$B:$B,0)),"")</f>
        <v>2+</v>
      </c>
      <c r="J270" s="5">
        <f>VLOOKUP(B270,Bookings!B:H,7,FALSE())</f>
        <v>17.08</v>
      </c>
      <c r="K270" s="5" t="str">
        <f t="shared" si="1"/>
        <v>Long</v>
      </c>
      <c r="L270" s="11">
        <f t="array" ref="L270">IFERROR(INDEX(Bookings!$K:$K,MATCH(A270,Bookings!$A:$A,0)),"")</f>
        <v>6502</v>
      </c>
      <c r="M270" s="5" t="str">
        <f t="shared" si="2"/>
        <v>Medium</v>
      </c>
      <c r="N270" s="5">
        <f t="array" ref="N270">IFERROR(INDEX(Bookings!$I:$I,MATCH(A270,Bookings!$A:$A,0)),"")</f>
        <v>46</v>
      </c>
      <c r="O270" s="5" t="str">
        <f t="shared" si="3"/>
        <v>Advance</v>
      </c>
      <c r="P270" s="5" t="str">
        <f t="shared" si="4"/>
        <v>Mumbai -&gt; Bengaluru</v>
      </c>
    </row>
    <row r="271" ht="15.75" customHeight="1">
      <c r="A271" s="5" t="s">
        <v>1190</v>
      </c>
      <c r="B271" s="5" t="s">
        <v>1192</v>
      </c>
      <c r="C271" s="5" t="s">
        <v>220</v>
      </c>
      <c r="D271" s="5" t="s">
        <v>45</v>
      </c>
      <c r="E271" s="6" t="str">
        <f t="array" ref="E271">IFERROR(INDEX(Airlines!$B:$B,MATCH(D271,Airlines!$A:$A,0)),"")</f>
        <v>Air_India</v>
      </c>
      <c r="F271" s="6" t="str">
        <f>VLOOKUP(A271,Bookings!$A:$F,6,FALSE())</f>
        <v>Economy</v>
      </c>
      <c r="G271" s="6" t="str">
        <f t="array" ref="G271">IFERROR(INDEX(Flights!$E:$E,MATCH(B271,Flights!$A:$A,0)),"")</f>
        <v>Mumbai</v>
      </c>
      <c r="H271" s="6" t="str">
        <f>VLOOKUP(B271,Flights!A:H,6,FALSE())</f>
        <v>Bengaluru</v>
      </c>
      <c r="I271" s="6" t="str">
        <f t="array" ref="I271">IFERROR(INDEX(Bookings!$G:$G,MATCH(B271,Bookings!$B:$B,0)),"")</f>
        <v>2+</v>
      </c>
      <c r="J271" s="5">
        <f>VLOOKUP(B271,Bookings!B:H,7,FALSE())</f>
        <v>18.08</v>
      </c>
      <c r="K271" s="5" t="str">
        <f t="shared" si="1"/>
        <v>Long</v>
      </c>
      <c r="L271" s="11">
        <f t="array" ref="L271">IFERROR(INDEX(Bookings!$K:$K,MATCH(A271,Bookings!$A:$A,0)),"")</f>
        <v>6502</v>
      </c>
      <c r="M271" s="5" t="str">
        <f t="shared" si="2"/>
        <v>Medium</v>
      </c>
      <c r="N271" s="5">
        <f t="array" ref="N271">IFERROR(INDEX(Bookings!$I:$I,MATCH(A271,Bookings!$A:$A,0)),"")</f>
        <v>46</v>
      </c>
      <c r="O271" s="5" t="str">
        <f t="shared" si="3"/>
        <v>Advance</v>
      </c>
      <c r="P271" s="5" t="str">
        <f t="shared" si="4"/>
        <v>Mumbai -&gt; Bengaluru</v>
      </c>
    </row>
    <row r="272" ht="15.75" customHeight="1">
      <c r="A272" s="5" t="s">
        <v>1194</v>
      </c>
      <c r="B272" s="5" t="s">
        <v>1195</v>
      </c>
      <c r="C272" s="5" t="s">
        <v>220</v>
      </c>
      <c r="D272" s="5" t="s">
        <v>58</v>
      </c>
      <c r="E272" s="6" t="str">
        <f t="array" ref="E272">IFERROR(INDEX(Airlines!$B:$B,MATCH(D272,Airlines!$A:$A,0)),"")</f>
        <v>Go_First</v>
      </c>
      <c r="F272" s="6" t="str">
        <f>VLOOKUP(A272,Bookings!$A:$F,6,FALSE())</f>
        <v>Economy</v>
      </c>
      <c r="G272" s="6" t="str">
        <f t="array" ref="G272">IFERROR(INDEX(Flights!$E:$E,MATCH(B272,Flights!$A:$A,0)),"")</f>
        <v>Mumbai</v>
      </c>
      <c r="H272" s="6" t="str">
        <f>VLOOKUP(B272,Flights!A:H,6,FALSE())</f>
        <v>Bengaluru</v>
      </c>
      <c r="I272" s="6" t="str">
        <f t="array" ref="I272">IFERROR(INDEX(Bookings!$G:$G,MATCH(B272,Bookings!$B:$B,0)),"")</f>
        <v>1</v>
      </c>
      <c r="J272" s="5">
        <f>VLOOKUP(B272,Bookings!B:H,7,FALSE())</f>
        <v>7.5</v>
      </c>
      <c r="K272" s="5" t="str">
        <f t="shared" si="1"/>
        <v>Medium</v>
      </c>
      <c r="L272" s="11">
        <f t="array" ref="L272">IFERROR(INDEX(Bookings!$K:$K,MATCH(A272,Bookings!$A:$A,0)),"")</f>
        <v>7542</v>
      </c>
      <c r="M272" s="5" t="str">
        <f t="shared" si="2"/>
        <v>Medium</v>
      </c>
      <c r="N272" s="5">
        <f t="array" ref="N272">IFERROR(INDEX(Bookings!$I:$I,MATCH(A272,Bookings!$A:$A,0)),"")</f>
        <v>47</v>
      </c>
      <c r="O272" s="5" t="str">
        <f t="shared" si="3"/>
        <v>Advance</v>
      </c>
      <c r="P272" s="5" t="str">
        <f t="shared" si="4"/>
        <v>Mumbai -&gt; Bengaluru</v>
      </c>
    </row>
    <row r="273" ht="15.75" customHeight="1">
      <c r="A273" s="5" t="s">
        <v>1198</v>
      </c>
      <c r="B273" s="5" t="s">
        <v>1199</v>
      </c>
      <c r="C273" s="5" t="s">
        <v>251</v>
      </c>
      <c r="D273" s="5" t="s">
        <v>58</v>
      </c>
      <c r="E273" s="6" t="str">
        <f t="array" ref="E273">IFERROR(INDEX(Airlines!$B:$B,MATCH(D273,Airlines!$A:$A,0)),"")</f>
        <v>Go_First</v>
      </c>
      <c r="F273" s="6" t="str">
        <f>VLOOKUP(A273,Bookings!$A:$F,6,FALSE())</f>
        <v>Economy</v>
      </c>
      <c r="G273" s="6" t="str">
        <f t="array" ref="G273">IFERROR(INDEX(Flights!$E:$E,MATCH(B273,Flights!$A:$A,0)),"")</f>
        <v>Mumbai</v>
      </c>
      <c r="H273" s="6" t="str">
        <f>VLOOKUP(B273,Flights!A:H,6,FALSE())</f>
        <v>Kolkata</v>
      </c>
      <c r="I273" s="6" t="str">
        <f t="array" ref="I273">IFERROR(INDEX(Bookings!$G:$G,MATCH(B273,Bookings!$B:$B,0)),"")</f>
        <v>1</v>
      </c>
      <c r="J273" s="5">
        <f>VLOOKUP(B273,Bookings!B:H,7,FALSE())</f>
        <v>14</v>
      </c>
      <c r="K273" s="5" t="str">
        <f t="shared" si="1"/>
        <v>Long</v>
      </c>
      <c r="L273" s="11">
        <f t="array" ref="L273">IFERROR(INDEX(Bookings!$K:$K,MATCH(A273,Bookings!$A:$A,0)),"")</f>
        <v>5817</v>
      </c>
      <c r="M273" s="5" t="str">
        <f t="shared" si="2"/>
        <v>Medium</v>
      </c>
      <c r="N273" s="5">
        <f t="array" ref="N273">IFERROR(INDEX(Bookings!$I:$I,MATCH(A273,Bookings!$A:$A,0)),"")</f>
        <v>27</v>
      </c>
      <c r="O273" s="5" t="str">
        <f t="shared" si="3"/>
        <v>Moderate</v>
      </c>
      <c r="P273" s="5" t="str">
        <f t="shared" si="4"/>
        <v>Mumbai -&gt; Kolkata</v>
      </c>
    </row>
    <row r="274" ht="15.75" customHeight="1">
      <c r="A274" s="5" t="s">
        <v>1201</v>
      </c>
      <c r="B274" s="5" t="s">
        <v>1202</v>
      </c>
      <c r="C274" s="5" t="s">
        <v>251</v>
      </c>
      <c r="D274" s="5" t="s">
        <v>20</v>
      </c>
      <c r="E274" s="6" t="str">
        <f t="array" ref="E274">IFERROR(INDEX(Airlines!$B:$B,MATCH(D274,Airlines!$A:$A,0)),"")</f>
        <v>Vistara</v>
      </c>
      <c r="F274" s="6" t="str">
        <f>VLOOKUP(A274,Bookings!$A:$F,6,FALSE())</f>
        <v>Economy</v>
      </c>
      <c r="G274" s="6" t="str">
        <f t="array" ref="G274">IFERROR(INDEX(Flights!$E:$E,MATCH(B274,Flights!$A:$A,0)),"")</f>
        <v>Mumbai</v>
      </c>
      <c r="H274" s="6" t="str">
        <f>VLOOKUP(B274,Flights!A:H,6,FALSE())</f>
        <v>Kolkata</v>
      </c>
      <c r="I274" s="6" t="str">
        <f t="array" ref="I274">IFERROR(INDEX(Bookings!$G:$G,MATCH(B274,Bookings!$B:$B,0)),"")</f>
        <v>1</v>
      </c>
      <c r="J274" s="5">
        <f>VLOOKUP(B274,Bookings!B:H,7,FALSE())</f>
        <v>22.33</v>
      </c>
      <c r="K274" s="5" t="str">
        <f t="shared" si="1"/>
        <v>Long</v>
      </c>
      <c r="L274" s="11">
        <f t="array" ref="L274">IFERROR(INDEX(Bookings!$K:$K,MATCH(A274,Bookings!$A:$A,0)),"")</f>
        <v>5949</v>
      </c>
      <c r="M274" s="5" t="str">
        <f t="shared" si="2"/>
        <v>Medium</v>
      </c>
      <c r="N274" s="5">
        <f t="array" ref="N274">IFERROR(INDEX(Bookings!$I:$I,MATCH(A274,Bookings!$A:$A,0)),"")</f>
        <v>41</v>
      </c>
      <c r="O274" s="5" t="str">
        <f t="shared" si="3"/>
        <v>Advance</v>
      </c>
      <c r="P274" s="5" t="str">
        <f t="shared" si="4"/>
        <v>Mumbai -&gt; Kolkata</v>
      </c>
    </row>
    <row r="275" ht="15.75" customHeight="1">
      <c r="A275" s="5" t="s">
        <v>1204</v>
      </c>
      <c r="B275" s="5" t="s">
        <v>1206</v>
      </c>
      <c r="C275" s="5" t="s">
        <v>251</v>
      </c>
      <c r="D275" s="5" t="s">
        <v>45</v>
      </c>
      <c r="E275" s="6" t="str">
        <f t="array" ref="E275">IFERROR(INDEX(Airlines!$B:$B,MATCH(D275,Airlines!$A:$A,0)),"")</f>
        <v>Air_India</v>
      </c>
      <c r="F275" s="6" t="str">
        <f>VLOOKUP(A275,Bookings!$A:$F,6,FALSE())</f>
        <v>Economy</v>
      </c>
      <c r="G275" s="6" t="str">
        <f t="array" ref="G275">IFERROR(INDEX(Flights!$E:$E,MATCH(B275,Flights!$A:$A,0)),"")</f>
        <v>Mumbai</v>
      </c>
      <c r="H275" s="6" t="str">
        <f>VLOOKUP(B275,Flights!A:H,6,FALSE())</f>
        <v>Kolkata</v>
      </c>
      <c r="I275" s="6" t="str">
        <f t="array" ref="I275">IFERROR(INDEX(Bookings!$G:$G,MATCH(B275,Bookings!$B:$B,0)),"")</f>
        <v>1</v>
      </c>
      <c r="J275" s="5">
        <f>VLOOKUP(B275,Bookings!B:H,7,FALSE())</f>
        <v>22.58</v>
      </c>
      <c r="K275" s="5" t="str">
        <f t="shared" si="1"/>
        <v>Long</v>
      </c>
      <c r="L275" s="11">
        <f t="array" ref="L275">IFERROR(INDEX(Bookings!$K:$K,MATCH(A275,Bookings!$A:$A,0)),"")</f>
        <v>12007</v>
      </c>
      <c r="M275" s="5" t="str">
        <f t="shared" si="2"/>
        <v>Medium</v>
      </c>
      <c r="N275" s="5">
        <f t="array" ref="N275">IFERROR(INDEX(Bookings!$I:$I,MATCH(A275,Bookings!$A:$A,0)),"")</f>
        <v>13</v>
      </c>
      <c r="O275" s="5" t="str">
        <f t="shared" si="3"/>
        <v>Short Notice</v>
      </c>
      <c r="P275" s="5" t="str">
        <f t="shared" si="4"/>
        <v>Mumbai -&gt; Kolkata</v>
      </c>
    </row>
    <row r="276" ht="15.75" customHeight="1">
      <c r="A276" s="5" t="s">
        <v>1208</v>
      </c>
      <c r="B276" s="5" t="s">
        <v>1209</v>
      </c>
      <c r="C276" s="5" t="s">
        <v>251</v>
      </c>
      <c r="D276" s="5" t="s">
        <v>43</v>
      </c>
      <c r="E276" s="6" t="str">
        <f t="array" ref="E276">IFERROR(INDEX(Airlines!$B:$B,MATCH(D276,Airlines!$A:$A,0)),"")</f>
        <v>Indigo</v>
      </c>
      <c r="F276" s="6" t="str">
        <f>VLOOKUP(A276,Bookings!$A:$F,6,FALSE())</f>
        <v>Economy</v>
      </c>
      <c r="G276" s="6" t="str">
        <f t="array" ref="G276">IFERROR(INDEX(Flights!$E:$E,MATCH(B276,Flights!$A:$A,0)),"")</f>
        <v>Mumbai</v>
      </c>
      <c r="H276" s="6" t="str">
        <f>VLOOKUP(B276,Flights!A:H,6,FALSE())</f>
        <v>Kolkata</v>
      </c>
      <c r="I276" s="6" t="str">
        <f t="array" ref="I276">IFERROR(INDEX(Bookings!$G:$G,MATCH(B276,Bookings!$B:$B,0)),"")</f>
        <v>1</v>
      </c>
      <c r="J276" s="5">
        <f>VLOOKUP(B276,Bookings!B:H,7,FALSE())</f>
        <v>6.33</v>
      </c>
      <c r="K276" s="5" t="str">
        <f t="shared" si="1"/>
        <v>Medium</v>
      </c>
      <c r="L276" s="11">
        <f t="array" ref="L276">IFERROR(INDEX(Bookings!$K:$K,MATCH(A276,Bookings!$A:$A,0)),"")</f>
        <v>20066</v>
      </c>
      <c r="M276" s="5" t="str">
        <f t="shared" si="2"/>
        <v>High</v>
      </c>
      <c r="N276" s="5">
        <f t="array" ref="N276">IFERROR(INDEX(Bookings!$I:$I,MATCH(A276,Bookings!$A:$A,0)),"")</f>
        <v>1</v>
      </c>
      <c r="O276" s="5" t="str">
        <f t="shared" si="3"/>
        <v>Last Minute</v>
      </c>
      <c r="P276" s="5" t="str">
        <f t="shared" si="4"/>
        <v>Mumbai -&gt; Kolkata</v>
      </c>
    </row>
    <row r="277" ht="15.75" customHeight="1">
      <c r="A277" s="5" t="s">
        <v>1211</v>
      </c>
      <c r="B277" s="5" t="s">
        <v>1212</v>
      </c>
      <c r="C277" s="5" t="s">
        <v>251</v>
      </c>
      <c r="D277" s="5" t="s">
        <v>43</v>
      </c>
      <c r="E277" s="6" t="str">
        <f t="array" ref="E277">IFERROR(INDEX(Airlines!$B:$B,MATCH(D277,Airlines!$A:$A,0)),"")</f>
        <v>Indigo</v>
      </c>
      <c r="F277" s="6" t="str">
        <f>VLOOKUP(A277,Bookings!$A:$F,6,FALSE())</f>
        <v>Economy</v>
      </c>
      <c r="G277" s="6" t="str">
        <f t="array" ref="G277">IFERROR(INDEX(Flights!$E:$E,MATCH(B277,Flights!$A:$A,0)),"")</f>
        <v>Mumbai</v>
      </c>
      <c r="H277" s="6" t="str">
        <f>VLOOKUP(B277,Flights!A:H,6,FALSE())</f>
        <v>Kolkata</v>
      </c>
      <c r="I277" s="6" t="str">
        <f t="array" ref="I277">IFERROR(INDEX(Bookings!$G:$G,MATCH(B277,Bookings!$B:$B,0)),"")</f>
        <v>1</v>
      </c>
      <c r="J277" s="5">
        <f>VLOOKUP(B277,Bookings!B:H,7,FALSE())</f>
        <v>8.5</v>
      </c>
      <c r="K277" s="5" t="str">
        <f t="shared" si="1"/>
        <v>Medium</v>
      </c>
      <c r="L277" s="11">
        <f t="array" ref="L277">IFERROR(INDEX(Bookings!$K:$K,MATCH(A277,Bookings!$A:$A,0)),"")</f>
        <v>10826</v>
      </c>
      <c r="M277" s="5" t="str">
        <f t="shared" si="2"/>
        <v>Medium</v>
      </c>
      <c r="N277" s="5">
        <f t="array" ref="N277">IFERROR(INDEX(Bookings!$I:$I,MATCH(A277,Bookings!$A:$A,0)),"")</f>
        <v>14</v>
      </c>
      <c r="O277" s="5" t="str">
        <f t="shared" si="3"/>
        <v>Short Notice</v>
      </c>
      <c r="P277" s="5" t="str">
        <f t="shared" si="4"/>
        <v>Mumbai -&gt; Kolkata</v>
      </c>
    </row>
    <row r="278" ht="15.75" customHeight="1">
      <c r="A278" s="5" t="s">
        <v>1217</v>
      </c>
      <c r="B278" s="5" t="s">
        <v>1218</v>
      </c>
      <c r="C278" s="5" t="s">
        <v>251</v>
      </c>
      <c r="D278" s="5" t="s">
        <v>43</v>
      </c>
      <c r="E278" s="6" t="str">
        <f t="array" ref="E278">IFERROR(INDEX(Airlines!$B:$B,MATCH(D278,Airlines!$A:$A,0)),"")</f>
        <v>Indigo</v>
      </c>
      <c r="F278" s="6" t="str">
        <f>VLOOKUP(A278,Bookings!$A:$F,6,FALSE())</f>
        <v>Economy</v>
      </c>
      <c r="G278" s="6" t="str">
        <f t="array" ref="G278">IFERROR(INDEX(Flights!$E:$E,MATCH(B278,Flights!$A:$A,0)),"")</f>
        <v>Mumbai</v>
      </c>
      <c r="H278" s="6" t="str">
        <f>VLOOKUP(B278,Flights!A:H,6,FALSE())</f>
        <v>Kolkata</v>
      </c>
      <c r="I278" s="6" t="str">
        <f t="array" ref="I278">IFERROR(INDEX(Bookings!$G:$G,MATCH(B278,Bookings!$B:$B,0)),"")</f>
        <v>1</v>
      </c>
      <c r="J278" s="5">
        <f>VLOOKUP(B278,Bookings!B:H,7,FALSE())</f>
        <v>6.58</v>
      </c>
      <c r="K278" s="5" t="str">
        <f t="shared" si="1"/>
        <v>Medium</v>
      </c>
      <c r="L278" s="11">
        <f t="array" ref="L278">IFERROR(INDEX(Bookings!$K:$K,MATCH(A278,Bookings!$A:$A,0)),"")</f>
        <v>23686</v>
      </c>
      <c r="M278" s="5" t="str">
        <f t="shared" si="2"/>
        <v>High</v>
      </c>
      <c r="N278" s="5">
        <f t="array" ref="N278">IFERROR(INDEX(Bookings!$I:$I,MATCH(A278,Bookings!$A:$A,0)),"")</f>
        <v>1</v>
      </c>
      <c r="O278" s="5" t="str">
        <f t="shared" si="3"/>
        <v>Last Minute</v>
      </c>
      <c r="P278" s="5" t="str">
        <f t="shared" si="4"/>
        <v>Mumbai -&gt; Kolkata</v>
      </c>
    </row>
    <row r="279" ht="15.75" customHeight="1">
      <c r="A279" s="5" t="s">
        <v>1222</v>
      </c>
      <c r="B279" s="5" t="s">
        <v>1223</v>
      </c>
      <c r="C279" s="5" t="s">
        <v>251</v>
      </c>
      <c r="D279" s="5" t="s">
        <v>20</v>
      </c>
      <c r="E279" s="6" t="str">
        <f t="array" ref="E279">IFERROR(INDEX(Airlines!$B:$B,MATCH(D279,Airlines!$A:$A,0)),"")</f>
        <v>Vistara</v>
      </c>
      <c r="F279" s="6" t="str">
        <f>VLOOKUP(A279,Bookings!$A:$F,6,FALSE())</f>
        <v>Economy</v>
      </c>
      <c r="G279" s="6" t="str">
        <f t="array" ref="G279">IFERROR(INDEX(Flights!$E:$E,MATCH(B279,Flights!$A:$A,0)),"")</f>
        <v>Mumbai</v>
      </c>
      <c r="H279" s="6" t="str">
        <f>VLOOKUP(B279,Flights!A:H,6,FALSE())</f>
        <v>Kolkata</v>
      </c>
      <c r="I279" s="6" t="str">
        <f t="array" ref="I279">IFERROR(INDEX(Bookings!$G:$G,MATCH(B279,Bookings!$B:$B,0)),"")</f>
        <v>1</v>
      </c>
      <c r="J279" s="5">
        <f>VLOOKUP(B279,Bookings!B:H,7,FALSE())</f>
        <v>7.67</v>
      </c>
      <c r="K279" s="5" t="str">
        <f t="shared" si="1"/>
        <v>Medium</v>
      </c>
      <c r="L279" s="11">
        <f t="array" ref="L279">IFERROR(INDEX(Bookings!$K:$K,MATCH(A279,Bookings!$A:$A,0)),"")</f>
        <v>7336</v>
      </c>
      <c r="M279" s="5" t="str">
        <f t="shared" si="2"/>
        <v>Medium</v>
      </c>
      <c r="N279" s="5">
        <f t="array" ref="N279">IFERROR(INDEX(Bookings!$I:$I,MATCH(A279,Bookings!$A:$A,0)),"")</f>
        <v>48</v>
      </c>
      <c r="O279" s="5" t="str">
        <f t="shared" si="3"/>
        <v>Advance</v>
      </c>
      <c r="P279" s="5" t="str">
        <f t="shared" si="4"/>
        <v>Mumbai -&gt; Kolkata</v>
      </c>
    </row>
    <row r="280" ht="15.75" customHeight="1">
      <c r="A280" s="5" t="s">
        <v>1227</v>
      </c>
      <c r="B280" s="5" t="s">
        <v>1228</v>
      </c>
      <c r="C280" s="5" t="s">
        <v>251</v>
      </c>
      <c r="D280" s="5" t="s">
        <v>20</v>
      </c>
      <c r="E280" s="6" t="str">
        <f t="array" ref="E280">IFERROR(INDEX(Airlines!$B:$B,MATCH(D280,Airlines!$A:$A,0)),"")</f>
        <v>Vistara</v>
      </c>
      <c r="F280" s="6" t="str">
        <f>VLOOKUP(A280,Bookings!$A:$F,6,FALSE())</f>
        <v>Economy</v>
      </c>
      <c r="G280" s="6" t="str">
        <f t="array" ref="G280">IFERROR(INDEX(Flights!$E:$E,MATCH(B280,Flights!$A:$A,0)),"")</f>
        <v>Mumbai</v>
      </c>
      <c r="H280" s="6" t="str">
        <f>VLOOKUP(B280,Flights!A:H,6,FALSE())</f>
        <v>Kolkata</v>
      </c>
      <c r="I280" s="6" t="str">
        <f t="array" ref="I280">IFERROR(INDEX(Bookings!$G:$G,MATCH(B280,Bookings!$B:$B,0)),"")</f>
        <v>2+</v>
      </c>
      <c r="J280" s="5">
        <f>VLOOKUP(B280,Bookings!B:H,7,FALSE())</f>
        <v>7.42</v>
      </c>
      <c r="K280" s="5" t="str">
        <f t="shared" si="1"/>
        <v>Medium</v>
      </c>
      <c r="L280" s="11">
        <f t="array" ref="L280">IFERROR(INDEX(Bookings!$K:$K,MATCH(A280,Bookings!$A:$A,0)),"")</f>
        <v>9506</v>
      </c>
      <c r="M280" s="5" t="str">
        <f t="shared" si="2"/>
        <v>Medium</v>
      </c>
      <c r="N280" s="5">
        <f t="array" ref="N280">IFERROR(INDEX(Bookings!$I:$I,MATCH(A280,Bookings!$A:$A,0)),"")</f>
        <v>48</v>
      </c>
      <c r="O280" s="5" t="str">
        <f t="shared" si="3"/>
        <v>Advance</v>
      </c>
      <c r="P280" s="5" t="str">
        <f t="shared" si="4"/>
        <v>Mumbai -&gt; Kolkata</v>
      </c>
    </row>
    <row r="281" ht="15.75" customHeight="1">
      <c r="A281" s="5" t="s">
        <v>1230</v>
      </c>
      <c r="B281" s="5" t="s">
        <v>1231</v>
      </c>
      <c r="C281" s="5" t="s">
        <v>251</v>
      </c>
      <c r="D281" s="5" t="s">
        <v>45</v>
      </c>
      <c r="E281" s="6" t="str">
        <f t="array" ref="E281">IFERROR(INDEX(Airlines!$B:$B,MATCH(D281,Airlines!$A:$A,0)),"")</f>
        <v>Air_India</v>
      </c>
      <c r="F281" s="6" t="str">
        <f>VLOOKUP(A281,Bookings!$A:$F,6,FALSE())</f>
        <v>Economy</v>
      </c>
      <c r="G281" s="6" t="str">
        <f t="array" ref="G281">IFERROR(INDEX(Flights!$E:$E,MATCH(B281,Flights!$A:$A,0)),"")</f>
        <v>Mumbai</v>
      </c>
      <c r="H281" s="6" t="str">
        <f>VLOOKUP(B281,Flights!A:H,6,FALSE())</f>
        <v>Kolkata</v>
      </c>
      <c r="I281" s="6" t="str">
        <f t="array" ref="I281">IFERROR(INDEX(Bookings!$G:$G,MATCH(B281,Bookings!$B:$B,0)),"")</f>
        <v>1</v>
      </c>
      <c r="J281" s="5">
        <f>VLOOKUP(B281,Bookings!B:H,7,FALSE())</f>
        <v>25</v>
      </c>
      <c r="K281" s="5" t="str">
        <f t="shared" si="1"/>
        <v>Long</v>
      </c>
      <c r="L281" s="11">
        <f t="array" ref="L281">IFERROR(INDEX(Bookings!$K:$K,MATCH(A281,Bookings!$A:$A,0)),"")</f>
        <v>11928</v>
      </c>
      <c r="M281" s="5" t="str">
        <f t="shared" si="2"/>
        <v>Medium</v>
      </c>
      <c r="N281" s="5">
        <f t="array" ref="N281">IFERROR(INDEX(Bookings!$I:$I,MATCH(A281,Bookings!$A:$A,0)),"")</f>
        <v>2</v>
      </c>
      <c r="O281" s="5" t="str">
        <f t="shared" si="3"/>
        <v>Last Minute</v>
      </c>
      <c r="P281" s="5" t="str">
        <f t="shared" si="4"/>
        <v>Mumbai -&gt; Kolkata</v>
      </c>
    </row>
    <row r="282" ht="15.75" customHeight="1">
      <c r="A282" s="5" t="s">
        <v>1233</v>
      </c>
      <c r="B282" s="5" t="s">
        <v>1235</v>
      </c>
      <c r="C282" s="5" t="s">
        <v>251</v>
      </c>
      <c r="D282" s="5" t="s">
        <v>20</v>
      </c>
      <c r="E282" s="6" t="str">
        <f t="array" ref="E282">IFERROR(INDEX(Airlines!$B:$B,MATCH(D282,Airlines!$A:$A,0)),"")</f>
        <v>Vistara</v>
      </c>
      <c r="F282" s="6" t="str">
        <f>VLOOKUP(A282,Bookings!$A:$F,6,FALSE())</f>
        <v>Business</v>
      </c>
      <c r="G282" s="6" t="str">
        <f t="array" ref="G282">IFERROR(INDEX(Flights!$E:$E,MATCH(B282,Flights!$A:$A,0)),"")</f>
        <v>Mumbai</v>
      </c>
      <c r="H282" s="6" t="str">
        <f>VLOOKUP(B282,Flights!A:H,6,FALSE())</f>
        <v>Kolkata</v>
      </c>
      <c r="I282" s="6" t="str">
        <f t="array" ref="I282">IFERROR(INDEX(Bookings!$G:$G,MATCH(B282,Bookings!$B:$B,0)),"")</f>
        <v>1</v>
      </c>
      <c r="J282" s="5">
        <f>VLOOKUP(B282,Bookings!B:H,7,FALSE())</f>
        <v>13.83</v>
      </c>
      <c r="K282" s="5" t="str">
        <f t="shared" si="1"/>
        <v>Long</v>
      </c>
      <c r="L282" s="11">
        <f t="array" ref="L282">IFERROR(INDEX(Bookings!$K:$K,MATCH(A282,Bookings!$A:$A,0)),"")</f>
        <v>64285</v>
      </c>
      <c r="M282" s="5" t="str">
        <f t="shared" si="2"/>
        <v>High</v>
      </c>
      <c r="N282" s="5">
        <f t="array" ref="N282">IFERROR(INDEX(Bookings!$I:$I,MATCH(A282,Bookings!$A:$A,0)),"")</f>
        <v>39</v>
      </c>
      <c r="O282" s="5" t="str">
        <f t="shared" si="3"/>
        <v>Advance</v>
      </c>
      <c r="P282" s="5" t="str">
        <f t="shared" si="4"/>
        <v>Mumbai -&gt; Kolkata</v>
      </c>
    </row>
    <row r="283" ht="15.75" customHeight="1">
      <c r="A283" s="5" t="s">
        <v>1238</v>
      </c>
      <c r="B283" s="5" t="s">
        <v>1239</v>
      </c>
      <c r="C283" s="5" t="s">
        <v>251</v>
      </c>
      <c r="D283" s="5" t="s">
        <v>72</v>
      </c>
      <c r="E283" s="6" t="str">
        <f t="array" ref="E283">IFERROR(INDEX(Airlines!$B:$B,MATCH(D283,Airlines!$A:$A,0)),"")</f>
        <v>Spicejet</v>
      </c>
      <c r="F283" s="6" t="str">
        <f>VLOOKUP(A283,Bookings!$A:$F,6,FALSE())</f>
        <v>Economy</v>
      </c>
      <c r="G283" s="6" t="str">
        <f t="array" ref="G283">IFERROR(INDEX(Flights!$E:$E,MATCH(B283,Flights!$A:$A,0)),"")</f>
        <v>Mumbai</v>
      </c>
      <c r="H283" s="6" t="str">
        <f>VLOOKUP(B283,Flights!A:H,6,FALSE())</f>
        <v>Kolkata</v>
      </c>
      <c r="I283" s="6" t="str">
        <f t="array" ref="I283">IFERROR(INDEX(Bookings!$G:$G,MATCH(B283,Bookings!$B:$B,0)),"")</f>
        <v>1</v>
      </c>
      <c r="J283" s="5">
        <f>VLOOKUP(B283,Bookings!B:H,7,FALSE())</f>
        <v>26.75</v>
      </c>
      <c r="K283" s="5" t="str">
        <f t="shared" si="1"/>
        <v>Long</v>
      </c>
      <c r="L283" s="11">
        <f t="array" ref="L283">IFERROR(INDEX(Bookings!$K:$K,MATCH(A283,Bookings!$A:$A,0)),"")</f>
        <v>7412</v>
      </c>
      <c r="M283" s="5" t="str">
        <f t="shared" si="2"/>
        <v>Medium</v>
      </c>
      <c r="N283" s="5">
        <f t="array" ref="N283">IFERROR(INDEX(Bookings!$I:$I,MATCH(A283,Bookings!$A:$A,0)),"")</f>
        <v>3</v>
      </c>
      <c r="O283" s="5" t="str">
        <f t="shared" si="3"/>
        <v>Last Minute</v>
      </c>
      <c r="P283" s="5" t="str">
        <f t="shared" si="4"/>
        <v>Mumbai -&gt; Kolkata</v>
      </c>
    </row>
    <row r="284" ht="15.75" customHeight="1">
      <c r="A284" s="5" t="s">
        <v>1241</v>
      </c>
      <c r="B284" s="5" t="s">
        <v>1242</v>
      </c>
      <c r="C284" s="5" t="s">
        <v>251</v>
      </c>
      <c r="D284" s="5" t="s">
        <v>43</v>
      </c>
      <c r="E284" s="6" t="str">
        <f t="array" ref="E284">IFERROR(INDEX(Airlines!$B:$B,MATCH(D284,Airlines!$A:$A,0)),"")</f>
        <v>Indigo</v>
      </c>
      <c r="F284" s="6" t="str">
        <f>VLOOKUP(A284,Bookings!$A:$F,6,FALSE())</f>
        <v>Economy</v>
      </c>
      <c r="G284" s="6" t="str">
        <f t="array" ref="G284">IFERROR(INDEX(Flights!$E:$E,MATCH(B284,Flights!$A:$A,0)),"")</f>
        <v>Mumbai</v>
      </c>
      <c r="H284" s="6" t="str">
        <f>VLOOKUP(B284,Flights!A:H,6,FALSE())</f>
        <v>Kolkata</v>
      </c>
      <c r="I284" s="6" t="str">
        <f t="array" ref="I284">IFERROR(INDEX(Bookings!$G:$G,MATCH(B284,Bookings!$B:$B,0)),"")</f>
        <v>1</v>
      </c>
      <c r="J284" s="5">
        <f>VLOOKUP(B284,Bookings!B:H,7,FALSE())</f>
        <v>9.92</v>
      </c>
      <c r="K284" s="5" t="str">
        <f t="shared" si="1"/>
        <v>Medium</v>
      </c>
      <c r="L284" s="11">
        <f t="array" ref="L284">IFERROR(INDEX(Bookings!$K:$K,MATCH(A284,Bookings!$A:$A,0)),"")</f>
        <v>14921</v>
      </c>
      <c r="M284" s="5" t="str">
        <f t="shared" si="2"/>
        <v>Medium</v>
      </c>
      <c r="N284" s="5">
        <f t="array" ref="N284">IFERROR(INDEX(Bookings!$I:$I,MATCH(A284,Bookings!$A:$A,0)),"")</f>
        <v>5</v>
      </c>
      <c r="O284" s="5" t="str">
        <f t="shared" si="3"/>
        <v>Last Minute</v>
      </c>
      <c r="P284" s="5" t="str">
        <f t="shared" si="4"/>
        <v>Mumbai -&gt; Kolkata</v>
      </c>
    </row>
    <row r="285" ht="15.75" customHeight="1">
      <c r="A285" s="5" t="s">
        <v>1245</v>
      </c>
      <c r="B285" s="5" t="s">
        <v>1246</v>
      </c>
      <c r="C285" s="5" t="s">
        <v>251</v>
      </c>
      <c r="D285" s="5" t="s">
        <v>20</v>
      </c>
      <c r="E285" s="6" t="str">
        <f t="array" ref="E285">IFERROR(INDEX(Airlines!$B:$B,MATCH(D285,Airlines!$A:$A,0)),"")</f>
        <v>Vistara</v>
      </c>
      <c r="F285" s="6" t="str">
        <f>VLOOKUP(A285,Bookings!$A:$F,6,FALSE())</f>
        <v>Economy</v>
      </c>
      <c r="G285" s="6" t="str">
        <f t="array" ref="G285">IFERROR(INDEX(Flights!$E:$E,MATCH(B285,Flights!$A:$A,0)),"")</f>
        <v>Mumbai</v>
      </c>
      <c r="H285" s="6" t="str">
        <f>VLOOKUP(B285,Flights!A:H,6,FALSE())</f>
        <v>Kolkata</v>
      </c>
      <c r="I285" s="6" t="str">
        <f t="array" ref="I285">IFERROR(INDEX(Bookings!$G:$G,MATCH(B285,Bookings!$B:$B,0)),"")</f>
        <v>1</v>
      </c>
      <c r="J285" s="5">
        <f>VLOOKUP(B285,Bookings!B:H,7,FALSE())</f>
        <v>11.67</v>
      </c>
      <c r="K285" s="5" t="str">
        <f t="shared" si="1"/>
        <v>Long</v>
      </c>
      <c r="L285" s="11">
        <f t="array" ref="L285">IFERROR(INDEX(Bookings!$K:$K,MATCH(A285,Bookings!$A:$A,0)),"")</f>
        <v>14343</v>
      </c>
      <c r="M285" s="5" t="str">
        <f t="shared" si="2"/>
        <v>Medium</v>
      </c>
      <c r="N285" s="5">
        <f t="array" ref="N285">IFERROR(INDEX(Bookings!$I:$I,MATCH(A285,Bookings!$A:$A,0)),"")</f>
        <v>7</v>
      </c>
      <c r="O285" s="5" t="str">
        <f t="shared" si="3"/>
        <v>Last Minute</v>
      </c>
      <c r="P285" s="5" t="str">
        <f t="shared" si="4"/>
        <v>Mumbai -&gt; Kolkata</v>
      </c>
    </row>
    <row r="286" ht="15.75" customHeight="1">
      <c r="A286" s="5" t="s">
        <v>1250</v>
      </c>
      <c r="B286" s="5" t="s">
        <v>1251</v>
      </c>
      <c r="C286" s="5" t="s">
        <v>251</v>
      </c>
      <c r="D286" s="5" t="s">
        <v>20</v>
      </c>
      <c r="E286" s="6" t="str">
        <f t="array" ref="E286">IFERROR(INDEX(Airlines!$B:$B,MATCH(D286,Airlines!$A:$A,0)),"")</f>
        <v>Vistara</v>
      </c>
      <c r="F286" s="6" t="str">
        <f>VLOOKUP(A286,Bookings!$A:$F,6,FALSE())</f>
        <v>Economy</v>
      </c>
      <c r="G286" s="6" t="str">
        <f t="array" ref="G286">IFERROR(INDEX(Flights!$E:$E,MATCH(B286,Flights!$A:$A,0)),"")</f>
        <v>Mumbai</v>
      </c>
      <c r="H286" s="6" t="str">
        <f>VLOOKUP(B286,Flights!A:H,6,FALSE())</f>
        <v>Kolkata</v>
      </c>
      <c r="I286" s="6">
        <f t="array" ref="I286">IFERROR(INDEX(Bookings!$G:$G,MATCH(B286,Bookings!$B:$B,0)),"")</f>
        <v>1</v>
      </c>
      <c r="J286" s="5">
        <f>VLOOKUP(B286,Bookings!B:H,7,FALSE())</f>
        <v>23.83</v>
      </c>
      <c r="K286" s="5" t="str">
        <f t="shared" si="1"/>
        <v>Long</v>
      </c>
      <c r="L286" s="11">
        <f t="array" ref="L286">IFERROR(INDEX(Bookings!$K:$K,MATCH(A286,Bookings!$A:$A,0)),"")</f>
        <v>5949</v>
      </c>
      <c r="M286" s="5" t="str">
        <f t="shared" si="2"/>
        <v>Medium</v>
      </c>
      <c r="N286" s="5">
        <f t="array" ref="N286">IFERROR(INDEX(Bookings!$I:$I,MATCH(A286,Bookings!$A:$A,0)),"")</f>
        <v>43</v>
      </c>
      <c r="O286" s="5" t="str">
        <f t="shared" si="3"/>
        <v>Advance</v>
      </c>
      <c r="P286" s="5" t="str">
        <f t="shared" si="4"/>
        <v>Mumbai -&gt; Kolkata</v>
      </c>
    </row>
    <row r="287" ht="15.75" customHeight="1">
      <c r="A287" s="5" t="s">
        <v>1253</v>
      </c>
      <c r="B287" s="5" t="s">
        <v>1254</v>
      </c>
      <c r="C287" s="5" t="s">
        <v>251</v>
      </c>
      <c r="D287" s="5" t="s">
        <v>20</v>
      </c>
      <c r="E287" s="6" t="str">
        <f t="array" ref="E287">IFERROR(INDEX(Airlines!$B:$B,MATCH(D287,Airlines!$A:$A,0)),"")</f>
        <v>Vistara</v>
      </c>
      <c r="F287" s="6" t="str">
        <f>VLOOKUP(A287,Bookings!$A:$F,6,FALSE())</f>
        <v>Economy</v>
      </c>
      <c r="G287" s="6" t="str">
        <f t="array" ref="G287">IFERROR(INDEX(Flights!$E:$E,MATCH(B287,Flights!$A:$A,0)),"")</f>
        <v>Mumbai</v>
      </c>
      <c r="H287" s="6" t="str">
        <f>VLOOKUP(B287,Flights!A:H,6,FALSE())</f>
        <v>Kolkata</v>
      </c>
      <c r="I287" s="6" t="str">
        <f t="array" ref="I287">IFERROR(INDEX(Bookings!$G:$G,MATCH(B287,Bookings!$B:$B,0)),"")</f>
        <v>1</v>
      </c>
      <c r="J287" s="5">
        <f>VLOOKUP(B287,Bookings!B:H,7,FALSE())</f>
        <v>20.17</v>
      </c>
      <c r="K287" s="5" t="str">
        <f t="shared" si="1"/>
        <v>Long</v>
      </c>
      <c r="L287" s="11">
        <f t="array" ref="L287">IFERROR(INDEX(Bookings!$K:$K,MATCH(A287,Bookings!$A:$A,0)),"")</f>
        <v>5949</v>
      </c>
      <c r="M287" s="5" t="str">
        <f t="shared" si="2"/>
        <v>Medium</v>
      </c>
      <c r="N287" s="5">
        <f t="array" ref="N287">IFERROR(INDEX(Bookings!$I:$I,MATCH(A287,Bookings!$A:$A,0)),"")</f>
        <v>16</v>
      </c>
      <c r="O287" s="5" t="str">
        <f t="shared" si="3"/>
        <v>Moderate</v>
      </c>
      <c r="P287" s="5" t="str">
        <f t="shared" si="4"/>
        <v>Mumbai -&gt; Kolkata</v>
      </c>
    </row>
    <row r="288" ht="15.75" customHeight="1">
      <c r="A288" s="5" t="s">
        <v>1256</v>
      </c>
      <c r="B288" s="5" t="s">
        <v>1257</v>
      </c>
      <c r="C288" s="5" t="s">
        <v>251</v>
      </c>
      <c r="D288" s="5" t="s">
        <v>72</v>
      </c>
      <c r="E288" s="6" t="str">
        <f t="array" ref="E288">IFERROR(INDEX(Airlines!$B:$B,MATCH(D288,Airlines!$A:$A,0)),"")</f>
        <v>Spicejet</v>
      </c>
      <c r="F288" s="6" t="str">
        <f>VLOOKUP(A288,Bookings!$A:$F,6,FALSE())</f>
        <v>Economy</v>
      </c>
      <c r="G288" s="6" t="str">
        <f t="array" ref="G288">IFERROR(INDEX(Flights!$E:$E,MATCH(B288,Flights!$A:$A,0)),"")</f>
        <v>Mumbai</v>
      </c>
      <c r="H288" s="6" t="str">
        <f>VLOOKUP(B288,Flights!A:H,6,FALSE())</f>
        <v>Kolkata</v>
      </c>
      <c r="I288" s="6" t="str">
        <f t="array" ref="I288">IFERROR(INDEX(Bookings!$G:$G,MATCH(B288,Bookings!$B:$B,0)),"")</f>
        <v>1</v>
      </c>
      <c r="J288" s="5">
        <f>VLOOKUP(B288,Bookings!B:H,7,FALSE())</f>
        <v>15.5</v>
      </c>
      <c r="K288" s="5" t="str">
        <f t="shared" si="1"/>
        <v>Long</v>
      </c>
      <c r="L288" s="11">
        <f t="array" ref="L288">IFERROR(INDEX(Bookings!$K:$K,MATCH(A288,Bookings!$A:$A,0)),"")</f>
        <v>5398</v>
      </c>
      <c r="M288" s="5" t="str">
        <f t="shared" si="2"/>
        <v>Medium</v>
      </c>
      <c r="N288" s="5">
        <f t="array" ref="N288">IFERROR(INDEX(Bookings!$I:$I,MATCH(A288,Bookings!$A:$A,0)),"")</f>
        <v>43</v>
      </c>
      <c r="O288" s="5" t="str">
        <f t="shared" si="3"/>
        <v>Advance</v>
      </c>
      <c r="P288" s="5" t="str">
        <f t="shared" si="4"/>
        <v>Mumbai -&gt; Kolkata</v>
      </c>
    </row>
    <row r="289" ht="15.75" customHeight="1">
      <c r="A289" s="5" t="s">
        <v>1261</v>
      </c>
      <c r="B289" s="5" t="s">
        <v>1262</v>
      </c>
      <c r="C289" s="5" t="s">
        <v>251</v>
      </c>
      <c r="D289" s="5" t="s">
        <v>43</v>
      </c>
      <c r="E289" s="6" t="str">
        <f t="array" ref="E289">IFERROR(INDEX(Airlines!$B:$B,MATCH(D289,Airlines!$A:$A,0)),"")</f>
        <v>Indigo</v>
      </c>
      <c r="F289" s="6" t="str">
        <f>VLOOKUP(A289,Bookings!$A:$F,6,FALSE())</f>
        <v>Economy</v>
      </c>
      <c r="G289" s="6" t="str">
        <f t="array" ref="G289">IFERROR(INDEX(Flights!$E:$E,MATCH(B289,Flights!$A:$A,0)),"")</f>
        <v>Mumbai</v>
      </c>
      <c r="H289" s="6" t="str">
        <f>VLOOKUP(B289,Flights!A:H,6,FALSE())</f>
        <v>Kolkata</v>
      </c>
      <c r="I289" s="6" t="str">
        <f t="array" ref="I289">IFERROR(INDEX(Bookings!$G:$G,MATCH(B289,Bookings!$B:$B,0)),"")</f>
        <v>1</v>
      </c>
      <c r="J289" s="5">
        <f>VLOOKUP(B289,Bookings!B:H,7,FALSE())</f>
        <v>8.08</v>
      </c>
      <c r="K289" s="5" t="str">
        <f t="shared" si="1"/>
        <v>Medium</v>
      </c>
      <c r="L289" s="11">
        <f t="array" ref="L289">IFERROR(INDEX(Bookings!$K:$K,MATCH(A289,Bookings!$A:$A,0)),"")</f>
        <v>4772</v>
      </c>
      <c r="M289" s="5" t="str">
        <f t="shared" si="2"/>
        <v>Medium</v>
      </c>
      <c r="N289" s="5">
        <f t="array" ref="N289">IFERROR(INDEX(Bookings!$I:$I,MATCH(A289,Bookings!$A:$A,0)),"")</f>
        <v>23</v>
      </c>
      <c r="O289" s="5" t="str">
        <f t="shared" si="3"/>
        <v>Moderate</v>
      </c>
      <c r="P289" s="5" t="str">
        <f t="shared" si="4"/>
        <v>Mumbai -&gt; Kolkata</v>
      </c>
    </row>
    <row r="290" ht="15.75" customHeight="1">
      <c r="A290" s="5" t="s">
        <v>1264</v>
      </c>
      <c r="B290" s="5" t="s">
        <v>1265</v>
      </c>
      <c r="C290" s="5" t="s">
        <v>251</v>
      </c>
      <c r="D290" s="5" t="s">
        <v>20</v>
      </c>
      <c r="E290" s="6" t="str">
        <f t="array" ref="E290">IFERROR(INDEX(Airlines!$B:$B,MATCH(D290,Airlines!$A:$A,0)),"")</f>
        <v>Vistara</v>
      </c>
      <c r="F290" s="6" t="str">
        <f>VLOOKUP(A290,Bookings!$A:$F,6,FALSE())</f>
        <v>Economy</v>
      </c>
      <c r="G290" s="6" t="str">
        <f t="array" ref="G290">IFERROR(INDEX(Flights!$E:$E,MATCH(B290,Flights!$A:$A,0)),"")</f>
        <v>Mumbai</v>
      </c>
      <c r="H290" s="6" t="str">
        <f>VLOOKUP(B290,Flights!A:H,6,FALSE())</f>
        <v>Kolkata</v>
      </c>
      <c r="I290" s="6" t="str">
        <f t="array" ref="I290">IFERROR(INDEX(Bookings!$G:$G,MATCH(B290,Bookings!$B:$B,0)),"")</f>
        <v>1</v>
      </c>
      <c r="J290" s="5">
        <f>VLOOKUP(B290,Bookings!B:H,7,FALSE())</f>
        <v>10.83</v>
      </c>
      <c r="K290" s="5" t="str">
        <f t="shared" si="1"/>
        <v>Long</v>
      </c>
      <c r="L290" s="11">
        <f t="array" ref="L290">IFERROR(INDEX(Bookings!$K:$K,MATCH(A290,Bookings!$A:$A,0)),"")</f>
        <v>5949</v>
      </c>
      <c r="M290" s="5" t="str">
        <f t="shared" si="2"/>
        <v>Medium</v>
      </c>
      <c r="N290" s="5">
        <f t="array" ref="N290">IFERROR(INDEX(Bookings!$I:$I,MATCH(A290,Bookings!$A:$A,0)),"")</f>
        <v>47</v>
      </c>
      <c r="O290" s="5" t="str">
        <f t="shared" si="3"/>
        <v>Advance</v>
      </c>
      <c r="P290" s="5" t="str">
        <f t="shared" si="4"/>
        <v>Mumbai -&gt; Kolkata</v>
      </c>
    </row>
    <row r="291" ht="15.75" customHeight="1">
      <c r="A291" s="5" t="s">
        <v>1267</v>
      </c>
      <c r="B291" s="5" t="s">
        <v>1269</v>
      </c>
      <c r="C291" s="5" t="s">
        <v>251</v>
      </c>
      <c r="D291" s="5" t="s">
        <v>20</v>
      </c>
      <c r="E291" s="6" t="str">
        <f t="array" ref="E291">IFERROR(INDEX(Airlines!$B:$B,MATCH(D291,Airlines!$A:$A,0)),"")</f>
        <v>Vistara</v>
      </c>
      <c r="F291" s="6" t="str">
        <f>VLOOKUP(A291,Bookings!$A:$F,6,FALSE())</f>
        <v>Economy</v>
      </c>
      <c r="G291" s="6" t="str">
        <f t="array" ref="G291">IFERROR(INDEX(Flights!$E:$E,MATCH(B291,Flights!$A:$A,0)),"")</f>
        <v>Mumbai</v>
      </c>
      <c r="H291" s="6" t="str">
        <f>VLOOKUP(B291,Flights!A:H,6,FALSE())</f>
        <v>Kolkata</v>
      </c>
      <c r="I291" s="6" t="str">
        <f t="array" ref="I291">IFERROR(INDEX(Bookings!$G:$G,MATCH(B291,Bookings!$B:$B,0)),"")</f>
        <v>1</v>
      </c>
      <c r="J291" s="5">
        <f>VLOOKUP(B291,Bookings!B:H,7,FALSE())</f>
        <v>16.75</v>
      </c>
      <c r="K291" s="5" t="str">
        <f t="shared" si="1"/>
        <v>Long</v>
      </c>
      <c r="L291" s="11">
        <f t="array" ref="L291">IFERROR(INDEX(Bookings!$K:$K,MATCH(A291,Bookings!$A:$A,0)),"")</f>
        <v>9879</v>
      </c>
      <c r="M291" s="5" t="str">
        <f t="shared" si="2"/>
        <v>Medium</v>
      </c>
      <c r="N291" s="5">
        <f t="array" ref="N291">IFERROR(INDEX(Bookings!$I:$I,MATCH(A291,Bookings!$A:$A,0)),"")</f>
        <v>13</v>
      </c>
      <c r="O291" s="5" t="str">
        <f t="shared" si="3"/>
        <v>Short Notice</v>
      </c>
      <c r="P291" s="5" t="str">
        <f t="shared" si="4"/>
        <v>Mumbai -&gt; Kolkata</v>
      </c>
    </row>
    <row r="292" ht="15.75" customHeight="1">
      <c r="A292" s="5" t="s">
        <v>1271</v>
      </c>
      <c r="B292" s="5" t="s">
        <v>1273</v>
      </c>
      <c r="C292" s="5" t="s">
        <v>251</v>
      </c>
      <c r="D292" s="5" t="s">
        <v>20</v>
      </c>
      <c r="E292" s="6" t="str">
        <f t="array" ref="E292">IFERROR(INDEX(Airlines!$B:$B,MATCH(D292,Airlines!$A:$A,0)),"")</f>
        <v>Vistara</v>
      </c>
      <c r="F292" s="6" t="str">
        <f>VLOOKUP(A292,Bookings!$A:$F,6,FALSE())</f>
        <v>Economy</v>
      </c>
      <c r="G292" s="6" t="str">
        <f t="array" ref="G292">IFERROR(INDEX(Flights!$E:$E,MATCH(B292,Flights!$A:$A,0)),"")</f>
        <v>Mumbai</v>
      </c>
      <c r="H292" s="6" t="str">
        <f>VLOOKUP(B292,Flights!A:H,6,FALSE())</f>
        <v>Kolkata</v>
      </c>
      <c r="I292" s="6" t="str">
        <f t="array" ref="I292">IFERROR(INDEX(Bookings!$G:$G,MATCH(B292,Bookings!$B:$B,0)),"")</f>
        <v>2+</v>
      </c>
      <c r="J292" s="5">
        <f>VLOOKUP(B292,Bookings!B:H,7,FALSE())</f>
        <v>16.42</v>
      </c>
      <c r="K292" s="5" t="str">
        <f t="shared" si="1"/>
        <v>Long</v>
      </c>
      <c r="L292" s="11">
        <f t="array" ref="L292">IFERROR(INDEX(Bookings!$K:$K,MATCH(A292,Bookings!$A:$A,0)),"")</f>
        <v>13764</v>
      </c>
      <c r="M292" s="5" t="str">
        <f t="shared" si="2"/>
        <v>Medium</v>
      </c>
      <c r="N292" s="5">
        <f t="array" ref="N292">IFERROR(INDEX(Bookings!$I:$I,MATCH(A292,Bookings!$A:$A,0)),"")</f>
        <v>12</v>
      </c>
      <c r="O292" s="5" t="str">
        <f t="shared" si="3"/>
        <v>Short Notice</v>
      </c>
      <c r="P292" s="5" t="str">
        <f t="shared" si="4"/>
        <v>Mumbai -&gt; Kolkata</v>
      </c>
    </row>
    <row r="293" ht="15.75" customHeight="1">
      <c r="A293" s="5" t="s">
        <v>1276</v>
      </c>
      <c r="B293" s="5" t="s">
        <v>1277</v>
      </c>
      <c r="C293" s="5" t="s">
        <v>251</v>
      </c>
      <c r="D293" s="5" t="s">
        <v>45</v>
      </c>
      <c r="E293" s="6" t="str">
        <f t="array" ref="E293">IFERROR(INDEX(Airlines!$B:$B,MATCH(D293,Airlines!$A:$A,0)),"")</f>
        <v>Air_India</v>
      </c>
      <c r="F293" s="6" t="str">
        <f>VLOOKUP(A293,Bookings!$A:$F,6,FALSE())</f>
        <v>Economy</v>
      </c>
      <c r="G293" s="6" t="str">
        <f t="array" ref="G293">IFERROR(INDEX(Flights!$E:$E,MATCH(B293,Flights!$A:$A,0)),"")</f>
        <v>Mumbai</v>
      </c>
      <c r="H293" s="6" t="str">
        <f>VLOOKUP(B293,Flights!A:H,6,FALSE())</f>
        <v>Kolkata</v>
      </c>
      <c r="I293" s="6" t="str">
        <f t="array" ref="I293">IFERROR(INDEX(Bookings!$G:$G,MATCH(B293,Bookings!$B:$B,0)),"")</f>
        <v>1</v>
      </c>
      <c r="J293" s="5">
        <f>VLOOKUP(B293,Bookings!B:H,7,FALSE())</f>
        <v>18.5</v>
      </c>
      <c r="K293" s="5" t="str">
        <f t="shared" si="1"/>
        <v>Long</v>
      </c>
      <c r="L293" s="11">
        <f t="array" ref="L293">IFERROR(INDEX(Bookings!$K:$K,MATCH(A293,Bookings!$A:$A,0)),"")</f>
        <v>21273</v>
      </c>
      <c r="M293" s="5" t="str">
        <f t="shared" si="2"/>
        <v>High</v>
      </c>
      <c r="N293" s="5">
        <f t="array" ref="N293">IFERROR(INDEX(Bookings!$I:$I,MATCH(A293,Bookings!$A:$A,0)),"")</f>
        <v>5</v>
      </c>
      <c r="O293" s="5" t="str">
        <f t="shared" si="3"/>
        <v>Last Minute</v>
      </c>
      <c r="P293" s="5" t="str">
        <f t="shared" si="4"/>
        <v>Mumbai -&gt; Kolkata</v>
      </c>
    </row>
    <row r="294" ht="15.75" customHeight="1">
      <c r="A294" s="5" t="s">
        <v>1280</v>
      </c>
      <c r="B294" s="5" t="s">
        <v>1281</v>
      </c>
      <c r="C294" s="5" t="s">
        <v>251</v>
      </c>
      <c r="D294" s="5" t="s">
        <v>43</v>
      </c>
      <c r="E294" s="6" t="str">
        <f t="array" ref="E294">IFERROR(INDEX(Airlines!$B:$B,MATCH(D294,Airlines!$A:$A,0)),"")</f>
        <v>Indigo</v>
      </c>
      <c r="F294" s="6" t="str">
        <f>VLOOKUP(A294,Bookings!$A:$F,6,FALSE())</f>
        <v>Economy</v>
      </c>
      <c r="G294" s="6" t="str">
        <f t="array" ref="G294">IFERROR(INDEX(Flights!$E:$E,MATCH(B294,Flights!$A:$A,0)),"")</f>
        <v>Mumbai</v>
      </c>
      <c r="H294" s="6" t="str">
        <f>VLOOKUP(B294,Flights!A:H,6,FALSE())</f>
        <v>Kolkata</v>
      </c>
      <c r="I294" s="6" t="str">
        <f t="array" ref="I294">IFERROR(INDEX(Bookings!$G:$G,MATCH(B294,Bookings!$B:$B,0)),"")</f>
        <v>1</v>
      </c>
      <c r="J294" s="5">
        <f>VLOOKUP(B294,Bookings!B:H,7,FALSE())</f>
        <v>6.67</v>
      </c>
      <c r="K294" s="5" t="str">
        <f t="shared" si="1"/>
        <v>Medium</v>
      </c>
      <c r="L294" s="11">
        <f t="array" ref="L294">IFERROR(INDEX(Bookings!$K:$K,MATCH(A294,Bookings!$A:$A,0)),"")</f>
        <v>7336</v>
      </c>
      <c r="M294" s="5" t="str">
        <f t="shared" si="2"/>
        <v>Medium</v>
      </c>
      <c r="N294" s="5">
        <f t="array" ref="N294">IFERROR(INDEX(Bookings!$I:$I,MATCH(A294,Bookings!$A:$A,0)),"")</f>
        <v>7</v>
      </c>
      <c r="O294" s="5" t="str">
        <f t="shared" si="3"/>
        <v>Last Minute</v>
      </c>
      <c r="P294" s="5" t="str">
        <f t="shared" si="4"/>
        <v>Mumbai -&gt; Kolkata</v>
      </c>
    </row>
    <row r="295" ht="15.75" customHeight="1">
      <c r="A295" s="5" t="s">
        <v>1285</v>
      </c>
      <c r="B295" s="5" t="s">
        <v>1286</v>
      </c>
      <c r="C295" s="5" t="s">
        <v>251</v>
      </c>
      <c r="D295" s="5" t="s">
        <v>45</v>
      </c>
      <c r="E295" s="6" t="str">
        <f t="array" ref="E295">IFERROR(INDEX(Airlines!$B:$B,MATCH(D295,Airlines!$A:$A,0)),"")</f>
        <v>Air_India</v>
      </c>
      <c r="F295" s="6" t="str">
        <f>VLOOKUP(A295,Bookings!$A:$F,6,FALSE())</f>
        <v>Economy</v>
      </c>
      <c r="G295" s="6" t="str">
        <f t="array" ref="G295">IFERROR(INDEX(Flights!$E:$E,MATCH(B295,Flights!$A:$A,0)),"")</f>
        <v>Mumbai</v>
      </c>
      <c r="H295" s="6" t="str">
        <f>VLOOKUP(B295,Flights!A:H,6,FALSE())</f>
        <v>Kolkata</v>
      </c>
      <c r="I295" s="6" t="str">
        <f t="array" ref="I295">IFERROR(INDEX(Bookings!$G:$G,MATCH(B295,Bookings!$B:$B,0)),"")</f>
        <v>1</v>
      </c>
      <c r="J295" s="5">
        <f>VLOOKUP(B295,Bookings!B:H,7,FALSE())</f>
        <v>25.83</v>
      </c>
      <c r="K295" s="5" t="str">
        <f t="shared" si="1"/>
        <v>Long</v>
      </c>
      <c r="L295" s="11">
        <f t="array" ref="L295">IFERROR(INDEX(Bookings!$K:$K,MATCH(A295,Bookings!$A:$A,0)),"")</f>
        <v>10668</v>
      </c>
      <c r="M295" s="5" t="str">
        <f t="shared" si="2"/>
        <v>Medium</v>
      </c>
      <c r="N295" s="5">
        <f t="array" ref="N295">IFERROR(INDEX(Bookings!$I:$I,MATCH(A295,Bookings!$A:$A,0)),"")</f>
        <v>12</v>
      </c>
      <c r="O295" s="5" t="str">
        <f t="shared" si="3"/>
        <v>Short Notice</v>
      </c>
      <c r="P295" s="5" t="str">
        <f t="shared" si="4"/>
        <v>Mumbai -&gt; Kolkata</v>
      </c>
    </row>
    <row r="296" ht="15.75" customHeight="1">
      <c r="A296" s="5" t="s">
        <v>1288</v>
      </c>
      <c r="B296" s="5" t="s">
        <v>1289</v>
      </c>
      <c r="C296" s="5" t="s">
        <v>251</v>
      </c>
      <c r="D296" s="5" t="s">
        <v>43</v>
      </c>
      <c r="E296" s="6" t="str">
        <f t="array" ref="E296">IFERROR(INDEX(Airlines!$B:$B,MATCH(D296,Airlines!$A:$A,0)),"")</f>
        <v>Indigo</v>
      </c>
      <c r="F296" s="6" t="str">
        <f>VLOOKUP(A296,Bookings!$A:$F,6,FALSE())</f>
        <v>Economy</v>
      </c>
      <c r="G296" s="6" t="str">
        <f t="array" ref="G296">IFERROR(INDEX(Flights!$E:$E,MATCH(B296,Flights!$A:$A,0)),"")</f>
        <v>Mumbai</v>
      </c>
      <c r="H296" s="6" t="str">
        <f>VLOOKUP(B296,Flights!A:H,6,FALSE())</f>
        <v>Kolkata</v>
      </c>
      <c r="I296" s="6" t="str">
        <f t="array" ref="I296">IFERROR(INDEX(Bookings!$G:$G,MATCH(B296,Bookings!$B:$B,0)),"")</f>
        <v>1</v>
      </c>
      <c r="J296" s="5">
        <f>VLOOKUP(B296,Bookings!B:H,7,FALSE())</f>
        <v>8</v>
      </c>
      <c r="K296" s="5" t="str">
        <f t="shared" si="1"/>
        <v>Medium</v>
      </c>
      <c r="L296" s="11">
        <f t="array" ref="L296">IFERROR(INDEX(Bookings!$K:$K,MATCH(A296,Bookings!$A:$A,0)),"")</f>
        <v>5038</v>
      </c>
      <c r="M296" s="5" t="str">
        <f t="shared" si="2"/>
        <v>Medium</v>
      </c>
      <c r="N296" s="5">
        <f t="array" ref="N296">IFERROR(INDEX(Bookings!$I:$I,MATCH(A296,Bookings!$A:$A,0)),"")</f>
        <v>20</v>
      </c>
      <c r="O296" s="5" t="str">
        <f t="shared" si="3"/>
        <v>Moderate</v>
      </c>
      <c r="P296" s="5" t="str">
        <f t="shared" si="4"/>
        <v>Mumbai -&gt; Kolkata</v>
      </c>
    </row>
    <row r="297" ht="15.75" customHeight="1">
      <c r="A297" s="5" t="s">
        <v>1293</v>
      </c>
      <c r="B297" s="5" t="s">
        <v>1294</v>
      </c>
      <c r="C297" s="5" t="s">
        <v>251</v>
      </c>
      <c r="D297" s="5" t="s">
        <v>20</v>
      </c>
      <c r="E297" s="6" t="str">
        <f t="array" ref="E297">IFERROR(INDEX(Airlines!$B:$B,MATCH(D297,Airlines!$A:$A,0)),"")</f>
        <v>Vistara</v>
      </c>
      <c r="F297" s="6" t="str">
        <f>VLOOKUP(A297,Bookings!$A:$F,6,FALSE())</f>
        <v>Business</v>
      </c>
      <c r="G297" s="6" t="str">
        <f t="array" ref="G297">IFERROR(INDEX(Flights!$E:$E,MATCH(B297,Flights!$A:$A,0)),"")</f>
        <v>Mumbai</v>
      </c>
      <c r="H297" s="6" t="str">
        <f>VLOOKUP(B297,Flights!A:H,6,FALSE())</f>
        <v>Kolkata</v>
      </c>
      <c r="I297" s="6" t="str">
        <f t="array" ref="I297">IFERROR(INDEX(Bookings!$G:$G,MATCH(B297,Bookings!$B:$B,0)),"")</f>
        <v>1</v>
      </c>
      <c r="J297" s="5">
        <f>VLOOKUP(B297,Bookings!B:H,7,FALSE())</f>
        <v>13.58</v>
      </c>
      <c r="K297" s="5" t="str">
        <f t="shared" si="1"/>
        <v>Long</v>
      </c>
      <c r="L297" s="11">
        <f t="array" ref="L297">IFERROR(INDEX(Bookings!$K:$K,MATCH(A297,Bookings!$A:$A,0)),"")</f>
        <v>51405</v>
      </c>
      <c r="M297" s="5" t="str">
        <f t="shared" si="2"/>
        <v>High</v>
      </c>
      <c r="N297" s="5">
        <f t="array" ref="N297">IFERROR(INDEX(Bookings!$I:$I,MATCH(A297,Bookings!$A:$A,0)),"")</f>
        <v>36</v>
      </c>
      <c r="O297" s="5" t="str">
        <f t="shared" si="3"/>
        <v>Advance</v>
      </c>
      <c r="P297" s="5" t="str">
        <f t="shared" si="4"/>
        <v>Mumbai -&gt; Kolkata</v>
      </c>
    </row>
    <row r="298" ht="15.75" customHeight="1">
      <c r="A298" s="5" t="s">
        <v>1297</v>
      </c>
      <c r="B298" s="5" t="s">
        <v>1298</v>
      </c>
      <c r="C298" s="5" t="s">
        <v>251</v>
      </c>
      <c r="D298" s="5" t="s">
        <v>45</v>
      </c>
      <c r="E298" s="6" t="str">
        <f t="array" ref="E298">IFERROR(INDEX(Airlines!$B:$B,MATCH(D298,Airlines!$A:$A,0)),"")</f>
        <v>Air_India</v>
      </c>
      <c r="F298" s="6" t="str">
        <f>VLOOKUP(A298,Bookings!$A:$F,6,FALSE())</f>
        <v>Economy</v>
      </c>
      <c r="G298" s="6" t="str">
        <f t="array" ref="G298">IFERROR(INDEX(Flights!$E:$E,MATCH(B298,Flights!$A:$A,0)),"")</f>
        <v>Mumbai</v>
      </c>
      <c r="H298" s="6" t="str">
        <f>VLOOKUP(B298,Flights!A:H,6,FALSE())</f>
        <v>Kolkata</v>
      </c>
      <c r="I298" s="6" t="str">
        <f t="array" ref="I298">IFERROR(INDEX(Bookings!$G:$G,MATCH(B298,Bookings!$B:$B,0)),"")</f>
        <v>2+</v>
      </c>
      <c r="J298" s="5">
        <f>VLOOKUP(B298,Bookings!B:H,7,FALSE())</f>
        <v>34.08</v>
      </c>
      <c r="K298" s="5" t="str">
        <f t="shared" si="1"/>
        <v>Long</v>
      </c>
      <c r="L298" s="11">
        <f t="array" ref="L298">IFERROR(INDEX(Bookings!$K:$K,MATCH(A298,Bookings!$A:$A,0)),"")</f>
        <v>12007</v>
      </c>
      <c r="M298" s="5" t="str">
        <f t="shared" si="2"/>
        <v>Medium</v>
      </c>
      <c r="N298" s="5">
        <f t="array" ref="N298">IFERROR(INDEX(Bookings!$I:$I,MATCH(A298,Bookings!$A:$A,0)),"")</f>
        <v>15</v>
      </c>
      <c r="O298" s="5" t="str">
        <f t="shared" si="3"/>
        <v>Short Notice</v>
      </c>
      <c r="P298" s="5" t="str">
        <f t="shared" si="4"/>
        <v>Mumbai -&gt; Kolkata</v>
      </c>
    </row>
    <row r="299" ht="15.75" customHeight="1">
      <c r="A299" s="5" t="s">
        <v>1301</v>
      </c>
      <c r="B299" s="5" t="s">
        <v>1303</v>
      </c>
      <c r="C299" s="5" t="s">
        <v>251</v>
      </c>
      <c r="D299" s="5" t="s">
        <v>43</v>
      </c>
      <c r="E299" s="6" t="str">
        <f t="array" ref="E299">IFERROR(INDEX(Airlines!$B:$B,MATCH(D299,Airlines!$A:$A,0)),"")</f>
        <v>Indigo</v>
      </c>
      <c r="F299" s="6" t="str">
        <f>VLOOKUP(A299,Bookings!$A:$F,6,FALSE())</f>
        <v>Economy</v>
      </c>
      <c r="G299" s="6" t="str">
        <f t="array" ref="G299">IFERROR(INDEX(Flights!$E:$E,MATCH(B299,Flights!$A:$A,0)),"")</f>
        <v>Mumbai</v>
      </c>
      <c r="H299" s="6" t="str">
        <f>VLOOKUP(B299,Flights!A:H,6,FALSE())</f>
        <v>Kolkata</v>
      </c>
      <c r="I299" s="6" t="str">
        <f t="array" ref="I299">IFERROR(INDEX(Bookings!$G:$G,MATCH(B299,Bookings!$B:$B,0)),"")</f>
        <v>1</v>
      </c>
      <c r="J299" s="5">
        <f>VLOOKUP(B299,Bookings!B:H,7,FALSE())</f>
        <v>7.75</v>
      </c>
      <c r="K299" s="5" t="str">
        <f t="shared" si="1"/>
        <v>Medium</v>
      </c>
      <c r="L299" s="11">
        <f t="array" ref="L299">IFERROR(INDEX(Bookings!$K:$K,MATCH(A299,Bookings!$A:$A,0)),"")</f>
        <v>2835</v>
      </c>
      <c r="M299" s="5" t="str">
        <f t="shared" si="2"/>
        <v>Low</v>
      </c>
      <c r="N299" s="5">
        <f t="array" ref="N299">IFERROR(INDEX(Bookings!$I:$I,MATCH(A299,Bookings!$A:$A,0)),"")</f>
        <v>42</v>
      </c>
      <c r="O299" s="5" t="str">
        <f t="shared" si="3"/>
        <v>Advance</v>
      </c>
      <c r="P299" s="5" t="str">
        <f t="shared" si="4"/>
        <v>Mumbai -&gt; Kolkata</v>
      </c>
    </row>
    <row r="300" ht="15.75" customHeight="1">
      <c r="A300" s="5" t="s">
        <v>1306</v>
      </c>
      <c r="B300" s="5" t="s">
        <v>1307</v>
      </c>
      <c r="C300" s="5" t="s">
        <v>251</v>
      </c>
      <c r="D300" s="5" t="s">
        <v>45</v>
      </c>
      <c r="E300" s="6" t="str">
        <f t="array" ref="E300">IFERROR(INDEX(Airlines!$B:$B,MATCH(D300,Airlines!$A:$A,0)),"")</f>
        <v>Air_India</v>
      </c>
      <c r="F300" s="6" t="str">
        <f>VLOOKUP(A300,Bookings!$A:$F,6,FALSE())</f>
        <v>Economy</v>
      </c>
      <c r="G300" s="6" t="str">
        <f t="array" ref="G300">IFERROR(INDEX(Flights!$E:$E,MATCH(B300,Flights!$A:$A,0)),"")</f>
        <v>Mumbai</v>
      </c>
      <c r="H300" s="6" t="str">
        <f>VLOOKUP(B300,Flights!A:H,6,FALSE())</f>
        <v>Kolkata</v>
      </c>
      <c r="I300" s="6" t="str">
        <f t="array" ref="I300">IFERROR(INDEX(Bookings!$G:$G,MATCH(B300,Bookings!$B:$B,0)),"")</f>
        <v>1</v>
      </c>
      <c r="J300" s="5">
        <f>VLOOKUP(B300,Bookings!B:H,7,FALSE())</f>
        <v>23</v>
      </c>
      <c r="K300" s="5" t="str">
        <f t="shared" si="1"/>
        <v>Long</v>
      </c>
      <c r="L300" s="11">
        <f t="array" ref="L300">IFERROR(INDEX(Bookings!$K:$K,MATCH(A300,Bookings!$A:$A,0)),"")</f>
        <v>4556</v>
      </c>
      <c r="M300" s="5" t="str">
        <f t="shared" si="2"/>
        <v>Low</v>
      </c>
      <c r="N300" s="5">
        <f t="array" ref="N300">IFERROR(INDEX(Bookings!$I:$I,MATCH(A300,Bookings!$A:$A,0)),"")</f>
        <v>23</v>
      </c>
      <c r="O300" s="5" t="str">
        <f t="shared" si="3"/>
        <v>Moderate</v>
      </c>
      <c r="P300" s="5" t="str">
        <f t="shared" si="4"/>
        <v>Mumbai -&gt; Kolkata</v>
      </c>
    </row>
    <row r="301" ht="15.75" customHeight="1">
      <c r="A301" s="5" t="s">
        <v>1309</v>
      </c>
      <c r="B301" s="5" t="s">
        <v>1310</v>
      </c>
      <c r="C301" s="5" t="s">
        <v>251</v>
      </c>
      <c r="D301" s="5" t="s">
        <v>45</v>
      </c>
      <c r="E301" s="6" t="str">
        <f t="array" ref="E301">IFERROR(INDEX(Airlines!$B:$B,MATCH(D301,Airlines!$A:$A,0)),"")</f>
        <v>Air_India</v>
      </c>
      <c r="F301" s="6" t="str">
        <f>VLOOKUP(A301,Bookings!$A:$F,6,FALSE())</f>
        <v>Economy</v>
      </c>
      <c r="G301" s="6" t="str">
        <f t="array" ref="G301">IFERROR(INDEX(Flights!$E:$E,MATCH(B301,Flights!$A:$A,0)),"")</f>
        <v>Mumbai</v>
      </c>
      <c r="H301" s="6" t="str">
        <f>VLOOKUP(B301,Flights!A:H,6,FALSE())</f>
        <v>Kolkata</v>
      </c>
      <c r="I301" s="6" t="str">
        <f t="array" ref="I301">IFERROR(INDEX(Bookings!$G:$G,MATCH(B301,Bookings!$B:$B,0)),"")</f>
        <v>2+</v>
      </c>
      <c r="J301" s="5">
        <f>VLOOKUP(B301,Bookings!B:H,7,FALSE())</f>
        <v>27.25</v>
      </c>
      <c r="K301" s="5" t="str">
        <f t="shared" si="1"/>
        <v>Long</v>
      </c>
      <c r="L301" s="11">
        <f t="array" ref="L301">IFERROR(INDEX(Bookings!$K:$K,MATCH(A301,Bookings!$A:$A,0)),"")</f>
        <v>6661</v>
      </c>
      <c r="M301" s="5" t="str">
        <f t="shared" si="2"/>
        <v>Medium</v>
      </c>
      <c r="N301" s="5">
        <f t="array" ref="N301">IFERROR(INDEX(Bookings!$I:$I,MATCH(A301,Bookings!$A:$A,0)),"")</f>
        <v>38</v>
      </c>
      <c r="O301" s="5" t="str">
        <f t="shared" si="3"/>
        <v>Advance</v>
      </c>
      <c r="P301" s="5" t="str">
        <f t="shared" si="4"/>
        <v>Mumbai -&gt; Kolkata</v>
      </c>
    </row>
    <row r="302" ht="15.75" customHeight="1">
      <c r="A302" s="5" t="s">
        <v>1312</v>
      </c>
      <c r="B302" s="5" t="s">
        <v>1313</v>
      </c>
      <c r="C302" s="5" t="s">
        <v>251</v>
      </c>
      <c r="D302" s="5" t="s">
        <v>72</v>
      </c>
      <c r="E302" s="6" t="str">
        <f t="array" ref="E302">IFERROR(INDEX(Airlines!$B:$B,MATCH(D302,Airlines!$A:$A,0)),"")</f>
        <v>Spicejet</v>
      </c>
      <c r="F302" s="6" t="str">
        <f>VLOOKUP(A302,Bookings!$A:$F,6,FALSE())</f>
        <v>Economy</v>
      </c>
      <c r="G302" s="6" t="str">
        <f t="array" ref="G302">IFERROR(INDEX(Flights!$E:$E,MATCH(B302,Flights!$A:$A,0)),"")</f>
        <v>Mumbai</v>
      </c>
      <c r="H302" s="6" t="str">
        <f>VLOOKUP(B302,Flights!A:H,6,FALSE())</f>
        <v>Kolkata</v>
      </c>
      <c r="I302" s="6" t="str">
        <f t="array" ref="I302">IFERROR(INDEX(Bookings!$G:$G,MATCH(B302,Bookings!$B:$B,0)),"")</f>
        <v>1</v>
      </c>
      <c r="J302" s="5">
        <f>VLOOKUP(B302,Bookings!B:H,7,FALSE())</f>
        <v>22.75</v>
      </c>
      <c r="K302" s="5" t="str">
        <f t="shared" si="1"/>
        <v>Long</v>
      </c>
      <c r="L302" s="11">
        <f t="array" ref="L302">IFERROR(INDEX(Bookings!$K:$K,MATCH(A302,Bookings!$A:$A,0)),"")</f>
        <v>6448</v>
      </c>
      <c r="M302" s="5" t="str">
        <f t="shared" si="2"/>
        <v>Medium</v>
      </c>
      <c r="N302" s="5">
        <f t="array" ref="N302">IFERROR(INDEX(Bookings!$I:$I,MATCH(A302,Bookings!$A:$A,0)),"")</f>
        <v>44</v>
      </c>
      <c r="O302" s="5" t="str">
        <f t="shared" si="3"/>
        <v>Advance</v>
      </c>
      <c r="P302" s="5" t="str">
        <f t="shared" si="4"/>
        <v>Mumbai -&gt; Kolkata</v>
      </c>
    </row>
    <row r="303" ht="15.75" customHeight="1">
      <c r="A303" s="5" t="s">
        <v>1316</v>
      </c>
      <c r="B303" s="5" t="s">
        <v>1317</v>
      </c>
      <c r="C303" s="5" t="s">
        <v>251</v>
      </c>
      <c r="D303" s="5" t="s">
        <v>43</v>
      </c>
      <c r="E303" s="6" t="str">
        <f t="array" ref="E303">IFERROR(INDEX(Airlines!$B:$B,MATCH(D303,Airlines!$A:$A,0)),"")</f>
        <v>Indigo</v>
      </c>
      <c r="F303" s="6" t="str">
        <f>VLOOKUP(A303,Bookings!$A:$F,6,FALSE())</f>
        <v>Economy</v>
      </c>
      <c r="G303" s="6" t="str">
        <f t="array" ref="G303">IFERROR(INDEX(Flights!$E:$E,MATCH(B303,Flights!$A:$A,0)),"")</f>
        <v>Mumbai</v>
      </c>
      <c r="H303" s="6" t="str">
        <f>VLOOKUP(B303,Flights!A:H,6,FALSE())</f>
        <v>Kolkata</v>
      </c>
      <c r="I303" s="6" t="str">
        <f t="array" ref="I303">IFERROR(INDEX(Bookings!$G:$G,MATCH(B303,Bookings!$B:$B,0)),"")</f>
        <v>1</v>
      </c>
      <c r="J303" s="5">
        <f>VLOOKUP(B303,Bookings!B:H,7,FALSE())</f>
        <v>6</v>
      </c>
      <c r="K303" s="5" t="str">
        <f t="shared" si="1"/>
        <v>Medium</v>
      </c>
      <c r="L303" s="11">
        <f t="array" ref="L303">IFERROR(INDEX(Bookings!$K:$K,MATCH(A303,Bookings!$A:$A,0)),"")</f>
        <v>2835</v>
      </c>
      <c r="M303" s="5" t="str">
        <f t="shared" si="2"/>
        <v>Low</v>
      </c>
      <c r="N303" s="5">
        <f t="array" ref="N303">IFERROR(INDEX(Bookings!$I:$I,MATCH(A303,Bookings!$A:$A,0)),"")</f>
        <v>46</v>
      </c>
      <c r="O303" s="5" t="str">
        <f t="shared" si="3"/>
        <v>Advance</v>
      </c>
      <c r="P303" s="5" t="str">
        <f t="shared" si="4"/>
        <v>Mumbai -&gt; Kolkata</v>
      </c>
    </row>
    <row r="304" ht="15.75" customHeight="1">
      <c r="A304" s="5" t="s">
        <v>1319</v>
      </c>
      <c r="B304" s="5" t="s">
        <v>1320</v>
      </c>
      <c r="C304" s="5" t="s">
        <v>251</v>
      </c>
      <c r="D304" s="5" t="s">
        <v>43</v>
      </c>
      <c r="E304" s="6" t="str">
        <f t="array" ref="E304">IFERROR(INDEX(Airlines!$B:$B,MATCH(D304,Airlines!$A:$A,0)),"")</f>
        <v>Indigo</v>
      </c>
      <c r="F304" s="6" t="str">
        <f>VLOOKUP(A304,Bookings!$A:$F,6,FALSE())</f>
        <v>Economy</v>
      </c>
      <c r="G304" s="6" t="str">
        <f t="array" ref="G304">IFERROR(INDEX(Flights!$E:$E,MATCH(B304,Flights!$A:$A,0)),"")</f>
        <v>Mumbai</v>
      </c>
      <c r="H304" s="6" t="str">
        <f>VLOOKUP(B304,Flights!A:H,6,FALSE())</f>
        <v>Kolkata</v>
      </c>
      <c r="I304" s="6" t="str">
        <f t="array" ref="I304">IFERROR(INDEX(Bookings!$G:$G,MATCH(B304,Bookings!$B:$B,0)),"")</f>
        <v>1</v>
      </c>
      <c r="J304" s="5">
        <f>VLOOKUP(B304,Bookings!B:H,7,FALSE())</f>
        <v>5.83</v>
      </c>
      <c r="K304" s="5" t="str">
        <f t="shared" si="1"/>
        <v>Medium</v>
      </c>
      <c r="L304" s="11">
        <f t="array" ref="L304">IFERROR(INDEX(Bookings!$K:$K,MATCH(A304,Bookings!$A:$A,0)),"")</f>
        <v>3980</v>
      </c>
      <c r="M304" s="5" t="str">
        <f t="shared" si="2"/>
        <v>Low</v>
      </c>
      <c r="N304" s="5">
        <f t="array" ref="N304">IFERROR(INDEX(Bookings!$I:$I,MATCH(A304,Bookings!$A:$A,0)),"")</f>
        <v>46</v>
      </c>
      <c r="O304" s="5" t="str">
        <f t="shared" si="3"/>
        <v>Advance</v>
      </c>
      <c r="P304" s="5" t="str">
        <f t="shared" si="4"/>
        <v>Mumbai -&gt; Kolkata</v>
      </c>
    </row>
    <row r="305" ht="15.75" customHeight="1">
      <c r="A305" s="5" t="s">
        <v>1323</v>
      </c>
      <c r="B305" s="5" t="s">
        <v>1324</v>
      </c>
      <c r="C305" s="5" t="s">
        <v>251</v>
      </c>
      <c r="D305" s="5" t="s">
        <v>43</v>
      </c>
      <c r="E305" s="6" t="str">
        <f t="array" ref="E305">IFERROR(INDEX(Airlines!$B:$B,MATCH(D305,Airlines!$A:$A,0)),"")</f>
        <v>Indigo</v>
      </c>
      <c r="F305" s="6" t="str">
        <f>VLOOKUP(A305,Bookings!$A:$F,6,FALSE())</f>
        <v>Economy</v>
      </c>
      <c r="G305" s="6" t="str">
        <f t="array" ref="G305">IFERROR(INDEX(Flights!$E:$E,MATCH(B305,Flights!$A:$A,0)),"")</f>
        <v>Mumbai</v>
      </c>
      <c r="H305" s="6" t="str">
        <f>VLOOKUP(B305,Flights!A:H,6,FALSE())</f>
        <v>Kolkata</v>
      </c>
      <c r="I305" s="6" t="str">
        <f t="array" ref="I305">IFERROR(INDEX(Bookings!$G:$G,MATCH(B305,Bookings!$B:$B,0)),"")</f>
        <v>1</v>
      </c>
      <c r="J305" s="5">
        <f>VLOOKUP(B305,Bookings!B:H,7,FALSE())</f>
        <v>5.92</v>
      </c>
      <c r="K305" s="5" t="str">
        <f t="shared" si="1"/>
        <v>Medium</v>
      </c>
      <c r="L305" s="11">
        <f t="array" ref="L305">IFERROR(INDEX(Bookings!$K:$K,MATCH(A305,Bookings!$A:$A,0)),"")</f>
        <v>3980</v>
      </c>
      <c r="M305" s="5" t="str">
        <f t="shared" si="2"/>
        <v>Low</v>
      </c>
      <c r="N305" s="5">
        <f t="array" ref="N305">IFERROR(INDEX(Bookings!$I:$I,MATCH(A305,Bookings!$A:$A,0)),"")</f>
        <v>46</v>
      </c>
      <c r="O305" s="5" t="str">
        <f t="shared" si="3"/>
        <v>Advance</v>
      </c>
      <c r="P305" s="5" t="str">
        <f t="shared" si="4"/>
        <v>Mumbai -&gt; Kolkata</v>
      </c>
    </row>
    <row r="306" ht="15.75" customHeight="1">
      <c r="A306" s="5" t="s">
        <v>1328</v>
      </c>
      <c r="B306" s="5" t="s">
        <v>1330</v>
      </c>
      <c r="C306" s="5" t="s">
        <v>251</v>
      </c>
      <c r="D306" s="5" t="s">
        <v>58</v>
      </c>
      <c r="E306" s="6" t="str">
        <f t="array" ref="E306">IFERROR(INDEX(Airlines!$B:$B,MATCH(D306,Airlines!$A:$A,0)),"")</f>
        <v>Go_First</v>
      </c>
      <c r="F306" s="6" t="str">
        <f>VLOOKUP(A306,Bookings!$A:$F,6,FALSE())</f>
        <v>Economy</v>
      </c>
      <c r="G306" s="6" t="str">
        <f t="array" ref="G306">IFERROR(INDEX(Flights!$E:$E,MATCH(B306,Flights!$A:$A,0)),"")</f>
        <v>Mumbai</v>
      </c>
      <c r="H306" s="6" t="str">
        <f>VLOOKUP(B306,Flights!A:H,6,FALSE())</f>
        <v>Kolkata</v>
      </c>
      <c r="I306" s="6" t="str">
        <f t="array" ref="I306">IFERROR(INDEX(Bookings!$G:$G,MATCH(B306,Bookings!$B:$B,0)),"")</f>
        <v>1</v>
      </c>
      <c r="J306" s="5">
        <f>VLOOKUP(B306,Bookings!B:H,7,FALSE())</f>
        <v>11.5</v>
      </c>
      <c r="K306" s="5" t="str">
        <f t="shared" si="1"/>
        <v>Long</v>
      </c>
      <c r="L306" s="11">
        <f t="array" ref="L306">IFERROR(INDEX(Bookings!$K:$K,MATCH(A306,Bookings!$A:$A,0)),"")</f>
        <v>5817</v>
      </c>
      <c r="M306" s="5" t="str">
        <f t="shared" si="2"/>
        <v>Medium</v>
      </c>
      <c r="N306" s="5">
        <f t="array" ref="N306">IFERROR(INDEX(Bookings!$I:$I,MATCH(A306,Bookings!$A:$A,0)),"")</f>
        <v>46</v>
      </c>
      <c r="O306" s="5" t="str">
        <f t="shared" si="3"/>
        <v>Advance</v>
      </c>
      <c r="P306" s="5" t="str">
        <f t="shared" si="4"/>
        <v>Mumbai -&gt; Kolkata</v>
      </c>
    </row>
    <row r="307" ht="15.75" customHeight="1">
      <c r="A307" s="5" t="s">
        <v>1332</v>
      </c>
      <c r="B307" s="5" t="s">
        <v>1333</v>
      </c>
      <c r="C307" s="5" t="s">
        <v>251</v>
      </c>
      <c r="D307" s="5" t="s">
        <v>72</v>
      </c>
      <c r="E307" s="6" t="str">
        <f t="array" ref="E307">IFERROR(INDEX(Airlines!$B:$B,MATCH(D307,Airlines!$A:$A,0)),"")</f>
        <v>Spicejet</v>
      </c>
      <c r="F307" s="6" t="str">
        <f>VLOOKUP(A307,Bookings!$A:$F,6,FALSE())</f>
        <v>Economy</v>
      </c>
      <c r="G307" s="6" t="str">
        <f t="array" ref="G307">IFERROR(INDEX(Flights!$E:$E,MATCH(B307,Flights!$A:$A,0)),"")</f>
        <v>Mumbai</v>
      </c>
      <c r="H307" s="6" t="str">
        <f>VLOOKUP(B307,Flights!A:H,6,FALSE())</f>
        <v>Kolkata</v>
      </c>
      <c r="I307" s="6" t="str">
        <f t="array" ref="I307">IFERROR(INDEX(Bookings!$G:$G,MATCH(B307,Bookings!$B:$B,0)),"")</f>
        <v>1</v>
      </c>
      <c r="J307" s="5">
        <f>VLOOKUP(B307,Bookings!B:H,7,FALSE())</f>
        <v>16.17</v>
      </c>
      <c r="K307" s="5" t="str">
        <f t="shared" si="1"/>
        <v>Long</v>
      </c>
      <c r="L307" s="11">
        <f t="array" ref="L307">IFERROR(INDEX(Bookings!$K:$K,MATCH(A307,Bookings!$A:$A,0)),"")</f>
        <v>6093</v>
      </c>
      <c r="M307" s="5" t="str">
        <f t="shared" si="2"/>
        <v>Medium</v>
      </c>
      <c r="N307" s="5">
        <f t="array" ref="N307">IFERROR(INDEX(Bookings!$I:$I,MATCH(A307,Bookings!$A:$A,0)),"")</f>
        <v>46</v>
      </c>
      <c r="O307" s="5" t="str">
        <f t="shared" si="3"/>
        <v>Advance</v>
      </c>
      <c r="P307" s="5" t="str">
        <f t="shared" si="4"/>
        <v>Mumbai -&gt; Kolkata</v>
      </c>
    </row>
    <row r="308" ht="15.75" customHeight="1">
      <c r="A308" s="5" t="s">
        <v>1334</v>
      </c>
      <c r="B308" s="5" t="s">
        <v>1335</v>
      </c>
      <c r="C308" s="5" t="s">
        <v>251</v>
      </c>
      <c r="D308" s="5" t="s">
        <v>72</v>
      </c>
      <c r="E308" s="6" t="str">
        <f t="array" ref="E308">IFERROR(INDEX(Airlines!$B:$B,MATCH(D308,Airlines!$A:$A,0)),"")</f>
        <v>Spicejet</v>
      </c>
      <c r="F308" s="6" t="str">
        <f>VLOOKUP(A308,Bookings!$A:$F,6,FALSE())</f>
        <v>Economy</v>
      </c>
      <c r="G308" s="6" t="str">
        <f t="array" ref="G308">IFERROR(INDEX(Flights!$E:$E,MATCH(B308,Flights!$A:$A,0)),"")</f>
        <v>Mumbai</v>
      </c>
      <c r="H308" s="6" t="str">
        <f>VLOOKUP(B308,Flights!A:H,6,FALSE())</f>
        <v>Kolkata</v>
      </c>
      <c r="I308" s="6" t="str">
        <f t="array" ref="I308">IFERROR(INDEX(Bookings!$G:$G,MATCH(B308,Bookings!$B:$B,0)),"")</f>
        <v>1</v>
      </c>
      <c r="J308" s="5">
        <f>VLOOKUP(B308,Bookings!B:H,7,FALSE())</f>
        <v>10.25</v>
      </c>
      <c r="K308" s="5" t="str">
        <f t="shared" si="1"/>
        <v>Long</v>
      </c>
      <c r="L308" s="11">
        <f t="array" ref="L308">IFERROR(INDEX(Bookings!$K:$K,MATCH(A308,Bookings!$A:$A,0)),"")</f>
        <v>5818</v>
      </c>
      <c r="M308" s="5" t="str">
        <f t="shared" si="2"/>
        <v>Medium</v>
      </c>
      <c r="N308" s="5">
        <f t="array" ref="N308">IFERROR(INDEX(Bookings!$I:$I,MATCH(A308,Bookings!$A:$A,0)),"")</f>
        <v>46</v>
      </c>
      <c r="O308" s="5" t="str">
        <f t="shared" si="3"/>
        <v>Advance</v>
      </c>
      <c r="P308" s="5" t="str">
        <f t="shared" si="4"/>
        <v>Mumbai -&gt; Kolkata</v>
      </c>
    </row>
    <row r="309" ht="15.75" customHeight="1">
      <c r="A309" s="5" t="s">
        <v>1337</v>
      </c>
      <c r="B309" s="5" t="s">
        <v>1338</v>
      </c>
      <c r="C309" s="5" t="s">
        <v>251</v>
      </c>
      <c r="D309" s="5" t="s">
        <v>43</v>
      </c>
      <c r="E309" s="6" t="str">
        <f t="array" ref="E309">IFERROR(INDEX(Airlines!$B:$B,MATCH(D309,Airlines!$A:$A,0)),"")</f>
        <v>Indigo</v>
      </c>
      <c r="F309" s="6" t="str">
        <f>VLOOKUP(A309,Bookings!$A:$F,6,FALSE())</f>
        <v>Economy</v>
      </c>
      <c r="G309" s="6" t="str">
        <f t="array" ref="G309">IFERROR(INDEX(Flights!$E:$E,MATCH(B309,Flights!$A:$A,0)),"")</f>
        <v>Mumbai</v>
      </c>
      <c r="H309" s="6" t="str">
        <f>VLOOKUP(B309,Flights!A:H,6,FALSE())</f>
        <v>Kolkata</v>
      </c>
      <c r="I309" s="6" t="str">
        <f t="array" ref="I309">IFERROR(INDEX(Bookings!$G:$G,MATCH(B309,Bookings!$B:$B,0)),"")</f>
        <v>1</v>
      </c>
      <c r="J309" s="5">
        <f>VLOOKUP(B309,Bookings!B:H,7,FALSE())</f>
        <v>6.5</v>
      </c>
      <c r="K309" s="5" t="str">
        <f t="shared" si="1"/>
        <v>Medium</v>
      </c>
      <c r="L309" s="11">
        <f t="array" ref="L309">IFERROR(INDEX(Bookings!$K:$K,MATCH(A309,Bookings!$A:$A,0)),"")</f>
        <v>5125</v>
      </c>
      <c r="M309" s="5" t="str">
        <f t="shared" si="2"/>
        <v>Medium</v>
      </c>
      <c r="N309" s="5" t="str">
        <f t="array" ref="N309">IFERROR(INDEX(Bookings!$I:$I,MATCH(A309,Bookings!$A:$A,0)),"")</f>
        <v/>
      </c>
      <c r="O309" s="5" t="str">
        <f t="shared" si="3"/>
        <v>Last Minute</v>
      </c>
      <c r="P309" s="5" t="str">
        <f t="shared" si="4"/>
        <v>Mumbai -&gt; Kolkata</v>
      </c>
    </row>
    <row r="310" ht="15.75" customHeight="1">
      <c r="A310" s="5" t="s">
        <v>1341</v>
      </c>
      <c r="B310" s="5" t="s">
        <v>1342</v>
      </c>
      <c r="C310" s="5" t="s">
        <v>251</v>
      </c>
      <c r="D310" s="5" t="s">
        <v>45</v>
      </c>
      <c r="E310" s="6" t="str">
        <f t="array" ref="E310">IFERROR(INDEX(Airlines!$B:$B,MATCH(D310,Airlines!$A:$A,0)),"")</f>
        <v>Air_India</v>
      </c>
      <c r="F310" s="6" t="str">
        <f>VLOOKUP(A310,Bookings!$A:$F,6,FALSE())</f>
        <v>Business</v>
      </c>
      <c r="G310" s="6" t="str">
        <f t="array" ref="G310">IFERROR(INDEX(Flights!$E:$E,MATCH(B310,Flights!$A:$A,0)),"")</f>
        <v>Mumbai</v>
      </c>
      <c r="H310" s="6" t="str">
        <f>VLOOKUP(B310,Flights!A:H,6,FALSE())</f>
        <v>Kolkata</v>
      </c>
      <c r="I310" s="6" t="str">
        <f t="array" ref="I310">IFERROR(INDEX(Bookings!$G:$G,MATCH(B310,Bookings!$B:$B,0)),"")</f>
        <v>1</v>
      </c>
      <c r="J310" s="5">
        <f>VLOOKUP(B310,Bookings!B:H,7,FALSE())</f>
        <v>20.58</v>
      </c>
      <c r="K310" s="5" t="str">
        <f t="shared" si="1"/>
        <v>Long</v>
      </c>
      <c r="L310" s="11">
        <f t="array" ref="L310">IFERROR(INDEX(Bookings!$K:$K,MATCH(A310,Bookings!$A:$A,0)),"")</f>
        <v>36980</v>
      </c>
      <c r="M310" s="5" t="str">
        <f t="shared" si="2"/>
        <v>High</v>
      </c>
      <c r="N310" s="5">
        <f t="array" ref="N310">IFERROR(INDEX(Bookings!$I:$I,MATCH(A310,Bookings!$A:$A,0)),"")</f>
        <v>46</v>
      </c>
      <c r="O310" s="5" t="str">
        <f t="shared" si="3"/>
        <v>Advance</v>
      </c>
      <c r="P310" s="5" t="str">
        <f t="shared" si="4"/>
        <v>Mumbai -&gt; Kolkata</v>
      </c>
    </row>
    <row r="311" ht="15.75" customHeight="1">
      <c r="A311" s="5" t="s">
        <v>1344</v>
      </c>
      <c r="B311" s="5" t="s">
        <v>1345</v>
      </c>
      <c r="C311" s="5" t="s">
        <v>251</v>
      </c>
      <c r="D311" s="5" t="s">
        <v>45</v>
      </c>
      <c r="E311" s="6" t="str">
        <f t="array" ref="E311">IFERROR(INDEX(Airlines!$B:$B,MATCH(D311,Airlines!$A:$A,0)),"")</f>
        <v>Air_India</v>
      </c>
      <c r="F311" s="6" t="str">
        <f>VLOOKUP(A311,Bookings!$A:$F,6,FALSE())</f>
        <v>Economy</v>
      </c>
      <c r="G311" s="6" t="str">
        <f t="array" ref="G311">IFERROR(INDEX(Flights!$E:$E,MATCH(B311,Flights!$A:$A,0)),"")</f>
        <v>Mumbai</v>
      </c>
      <c r="H311" s="6" t="str">
        <f>VLOOKUP(B311,Flights!A:H,6,FALSE())</f>
        <v>Kolkata</v>
      </c>
      <c r="I311" s="6" t="str">
        <f t="array" ref="I311">IFERROR(INDEX(Bookings!$G:$G,MATCH(B311,Bookings!$B:$B,0)),"")</f>
        <v>2+</v>
      </c>
      <c r="J311" s="5">
        <f>VLOOKUP(B311,Bookings!B:H,7,FALSE())</f>
        <v>15.5</v>
      </c>
      <c r="K311" s="5" t="str">
        <f t="shared" si="1"/>
        <v>Long</v>
      </c>
      <c r="L311" s="11">
        <f t="array" ref="L311">IFERROR(INDEX(Bookings!$K:$K,MATCH(A311,Bookings!$A:$A,0)),"")</f>
        <v>6240</v>
      </c>
      <c r="M311" s="5" t="str">
        <f t="shared" si="2"/>
        <v>Medium</v>
      </c>
      <c r="N311" s="5">
        <f t="array" ref="N311">IFERROR(INDEX(Bookings!$I:$I,MATCH(A311,Bookings!$A:$A,0)),"")</f>
        <v>47</v>
      </c>
      <c r="O311" s="5" t="str">
        <f t="shared" si="3"/>
        <v>Advance</v>
      </c>
      <c r="P311" s="5" t="str">
        <f t="shared" si="4"/>
        <v>Mumbai -&gt; Kolkata</v>
      </c>
    </row>
    <row r="312" ht="15.75" customHeight="1">
      <c r="A312" s="5" t="s">
        <v>1347</v>
      </c>
      <c r="B312" s="5" t="s">
        <v>1348</v>
      </c>
      <c r="C312" s="5" t="s">
        <v>251</v>
      </c>
      <c r="D312" s="5" t="s">
        <v>45</v>
      </c>
      <c r="E312" s="6" t="str">
        <f t="array" ref="E312">IFERROR(INDEX(Airlines!$B:$B,MATCH(D312,Airlines!$A:$A,0)),"")</f>
        <v>Air_India</v>
      </c>
      <c r="F312" s="6" t="str">
        <f>VLOOKUP(A312,Bookings!$A:$F,6,FALSE())</f>
        <v>Business</v>
      </c>
      <c r="G312" s="6" t="str">
        <f t="array" ref="G312">IFERROR(INDEX(Flights!$E:$E,MATCH(B312,Flights!$A:$A,0)),"")</f>
        <v>Mumbai</v>
      </c>
      <c r="H312" s="6" t="str">
        <f>VLOOKUP(B312,Flights!A:H,6,FALSE())</f>
        <v>Kolkata</v>
      </c>
      <c r="I312" s="6" t="str">
        <f t="array" ref="I312">IFERROR(INDEX(Bookings!$G:$G,MATCH(B312,Bookings!$B:$B,0)),"")</f>
        <v>1</v>
      </c>
      <c r="J312" s="5">
        <f>VLOOKUP(B312,Bookings!B:H,7,FALSE())</f>
        <v>11.33</v>
      </c>
      <c r="K312" s="5" t="str">
        <f t="shared" si="1"/>
        <v>Long</v>
      </c>
      <c r="L312" s="11">
        <f t="array" ref="L312">IFERROR(INDEX(Bookings!$K:$K,MATCH(A312,Bookings!$A:$A,0)),"")</f>
        <v>44764</v>
      </c>
      <c r="M312" s="5" t="str">
        <f t="shared" si="2"/>
        <v>High</v>
      </c>
      <c r="N312" s="5">
        <f t="array" ref="N312">IFERROR(INDEX(Bookings!$I:$I,MATCH(A312,Bookings!$A:$A,0)),"")</f>
        <v>49</v>
      </c>
      <c r="O312" s="5" t="str">
        <f t="shared" si="3"/>
        <v>Advance</v>
      </c>
      <c r="P312" s="5" t="str">
        <f t="shared" si="4"/>
        <v>Mumbai -&gt; Kolkata</v>
      </c>
    </row>
    <row r="313" ht="15.75" customHeight="1">
      <c r="A313" s="5" t="s">
        <v>1351</v>
      </c>
      <c r="B313" s="5" t="s">
        <v>1352</v>
      </c>
      <c r="C313" s="5" t="s">
        <v>276</v>
      </c>
      <c r="D313" s="5" t="s">
        <v>45</v>
      </c>
      <c r="E313" s="6" t="str">
        <f t="array" ref="E313">IFERROR(INDEX(Airlines!$B:$B,MATCH(D313,Airlines!$A:$A,0)),"")</f>
        <v>Air_India</v>
      </c>
      <c r="F313" s="6" t="str">
        <f>VLOOKUP(A313,Bookings!$A:$F,6,FALSE())</f>
        <v>Business</v>
      </c>
      <c r="G313" s="6" t="str">
        <f t="array" ref="G313">IFERROR(INDEX(Flights!$E:$E,MATCH(B313,Flights!$A:$A,0)),"")</f>
        <v>Mumbai</v>
      </c>
      <c r="H313" s="6" t="str">
        <f>VLOOKUP(B313,Flights!A:H,6,FALSE())</f>
        <v>Hyderabad</v>
      </c>
      <c r="I313" s="6" t="str">
        <f t="array" ref="I313">IFERROR(INDEX(Bookings!$G:$G,MATCH(B313,Bookings!$B:$B,0)),"")</f>
        <v>1</v>
      </c>
      <c r="J313" s="5">
        <f>VLOOKUP(B313,Bookings!B:H,7,FALSE())</f>
        <v>16.92</v>
      </c>
      <c r="K313" s="5" t="str">
        <f t="shared" si="1"/>
        <v>Long</v>
      </c>
      <c r="L313" s="11">
        <f t="array" ref="L313">IFERROR(INDEX(Bookings!$K:$K,MATCH(A313,Bookings!$A:$A,0)),"")</f>
        <v>45693</v>
      </c>
      <c r="M313" s="5" t="str">
        <f t="shared" si="2"/>
        <v>High</v>
      </c>
      <c r="N313" s="5">
        <f t="array" ref="N313">IFERROR(INDEX(Bookings!$I:$I,MATCH(A313,Bookings!$A:$A,0)),"")</f>
        <v>34</v>
      </c>
      <c r="O313" s="5" t="str">
        <f t="shared" si="3"/>
        <v>Advance</v>
      </c>
      <c r="P313" s="5" t="str">
        <f t="shared" si="4"/>
        <v>Mumbai -&gt; Hyderabad</v>
      </c>
    </row>
    <row r="314" ht="15.75" customHeight="1">
      <c r="A314" s="5" t="s">
        <v>1354</v>
      </c>
      <c r="B314" s="5" t="s">
        <v>1356</v>
      </c>
      <c r="C314" s="5" t="s">
        <v>276</v>
      </c>
      <c r="D314" s="5" t="s">
        <v>20</v>
      </c>
      <c r="E314" s="6" t="str">
        <f t="array" ref="E314">IFERROR(INDEX(Airlines!$B:$B,MATCH(D314,Airlines!$A:$A,0)),"")</f>
        <v>Vistara</v>
      </c>
      <c r="F314" s="6" t="str">
        <f>VLOOKUP(A314,Bookings!$A:$F,6,FALSE())</f>
        <v>Economy</v>
      </c>
      <c r="G314" s="6" t="str">
        <f t="array" ref="G314">IFERROR(INDEX(Flights!$E:$E,MATCH(B314,Flights!$A:$A,0)),"")</f>
        <v>Mumbai</v>
      </c>
      <c r="H314" s="6" t="str">
        <f>VLOOKUP(B314,Flights!A:H,6,FALSE())</f>
        <v>Hyderabad</v>
      </c>
      <c r="I314" s="6" t="str">
        <f t="array" ref="I314">IFERROR(INDEX(Bookings!$G:$G,MATCH(B314,Bookings!$B:$B,0)),"")</f>
        <v>1</v>
      </c>
      <c r="J314" s="5">
        <f>VLOOKUP(B314,Bookings!B:H,7,FALSE())</f>
        <v>21.25</v>
      </c>
      <c r="K314" s="5" t="str">
        <f t="shared" si="1"/>
        <v>Long</v>
      </c>
      <c r="L314" s="11">
        <f t="array" ref="L314">IFERROR(INDEX(Bookings!$K:$K,MATCH(A314,Bookings!$A:$A,0)),"")</f>
        <v>12557</v>
      </c>
      <c r="M314" s="5" t="str">
        <f t="shared" si="2"/>
        <v>Medium</v>
      </c>
      <c r="N314" s="5">
        <f t="array" ref="N314">IFERROR(INDEX(Bookings!$I:$I,MATCH(A314,Bookings!$A:$A,0)),"")</f>
        <v>2</v>
      </c>
      <c r="O314" s="5" t="str">
        <f t="shared" si="3"/>
        <v>Last Minute</v>
      </c>
      <c r="P314" s="5" t="str">
        <f t="shared" si="4"/>
        <v>Mumbai -&gt; Hyderabad</v>
      </c>
    </row>
    <row r="315" ht="15.75" customHeight="1">
      <c r="A315" s="5" t="s">
        <v>1359</v>
      </c>
      <c r="B315" s="5" t="s">
        <v>1360</v>
      </c>
      <c r="C315" s="5" t="s">
        <v>276</v>
      </c>
      <c r="D315" s="5" t="s">
        <v>20</v>
      </c>
      <c r="E315" s="6" t="str">
        <f t="array" ref="E315">IFERROR(INDEX(Airlines!$B:$B,MATCH(D315,Airlines!$A:$A,0)),"")</f>
        <v>Vistara</v>
      </c>
      <c r="F315" s="6" t="str">
        <f>VLOOKUP(A315,Bookings!$A:$F,6,FALSE())</f>
        <v>Economy</v>
      </c>
      <c r="G315" s="6" t="str">
        <f t="array" ref="G315">IFERROR(INDEX(Flights!$E:$E,MATCH(B315,Flights!$A:$A,0)),"")</f>
        <v>Mumbai</v>
      </c>
      <c r="H315" s="6" t="str">
        <f>VLOOKUP(B315,Flights!A:H,6,FALSE())</f>
        <v>Hyderabad</v>
      </c>
      <c r="I315" s="6" t="str">
        <f t="array" ref="I315">IFERROR(INDEX(Bookings!$G:$G,MATCH(B315,Bookings!$B:$B,0)),"")</f>
        <v>1</v>
      </c>
      <c r="J315" s="5">
        <f>VLOOKUP(B315,Bookings!B:H,7,FALSE())</f>
        <v>23.42</v>
      </c>
      <c r="K315" s="5" t="str">
        <f t="shared" si="1"/>
        <v>Long</v>
      </c>
      <c r="L315" s="11">
        <f t="array" ref="L315">IFERROR(INDEX(Bookings!$K:$K,MATCH(A315,Bookings!$A:$A,0)),"")</f>
        <v>9879</v>
      </c>
      <c r="M315" s="5" t="str">
        <f t="shared" si="2"/>
        <v>Medium</v>
      </c>
      <c r="N315" s="5">
        <f t="array" ref="N315">IFERROR(INDEX(Bookings!$I:$I,MATCH(A315,Bookings!$A:$A,0)),"")</f>
        <v>3</v>
      </c>
      <c r="O315" s="5" t="str">
        <f t="shared" si="3"/>
        <v>Last Minute</v>
      </c>
      <c r="P315" s="5" t="str">
        <f t="shared" si="4"/>
        <v>Mumbai -&gt; Hyderabad</v>
      </c>
    </row>
    <row r="316" ht="15.75" customHeight="1">
      <c r="A316" s="5" t="s">
        <v>1362</v>
      </c>
      <c r="B316" s="5" t="s">
        <v>1363</v>
      </c>
      <c r="C316" s="5" t="s">
        <v>276</v>
      </c>
      <c r="D316" s="5" t="s">
        <v>20</v>
      </c>
      <c r="E316" s="6" t="str">
        <f t="array" ref="E316">IFERROR(INDEX(Airlines!$B:$B,MATCH(D316,Airlines!$A:$A,0)),"")</f>
        <v>Vistara</v>
      </c>
      <c r="F316" s="6" t="str">
        <f>VLOOKUP(A316,Bookings!$A:$F,6,FALSE())</f>
        <v>Economy</v>
      </c>
      <c r="G316" s="6" t="str">
        <f t="array" ref="G316">IFERROR(INDEX(Flights!$E:$E,MATCH(B316,Flights!$A:$A,0)),"")</f>
        <v>Mumbai</v>
      </c>
      <c r="H316" s="6" t="str">
        <f>VLOOKUP(B316,Flights!A:H,6,FALSE())</f>
        <v>Hyderabad</v>
      </c>
      <c r="I316" s="6" t="str">
        <f t="array" ref="I316">IFERROR(INDEX(Bookings!$G:$G,MATCH(B316,Bookings!$B:$B,0)),"")</f>
        <v>1</v>
      </c>
      <c r="J316" s="5">
        <f>VLOOKUP(B316,Bookings!B:H,7,FALSE())</f>
        <v>21.92</v>
      </c>
      <c r="K316" s="5" t="str">
        <f t="shared" si="1"/>
        <v>Long</v>
      </c>
      <c r="L316" s="11">
        <f t="array" ref="L316">IFERROR(INDEX(Bookings!$K:$K,MATCH(A316,Bookings!$A:$A,0)),"")</f>
        <v>12557</v>
      </c>
      <c r="M316" s="5" t="str">
        <f t="shared" si="2"/>
        <v>Medium</v>
      </c>
      <c r="N316" s="5">
        <f t="array" ref="N316">IFERROR(INDEX(Bookings!$I:$I,MATCH(A316,Bookings!$A:$A,0)),"")</f>
        <v>1</v>
      </c>
      <c r="O316" s="5" t="str">
        <f t="shared" si="3"/>
        <v>Last Minute</v>
      </c>
      <c r="P316" s="5" t="str">
        <f t="shared" si="4"/>
        <v>Mumbai -&gt; Hyderabad</v>
      </c>
    </row>
    <row r="317" ht="15.75" customHeight="1">
      <c r="A317" s="5" t="s">
        <v>1366</v>
      </c>
      <c r="B317" s="5" t="s">
        <v>1367</v>
      </c>
      <c r="C317" s="5" t="s">
        <v>276</v>
      </c>
      <c r="D317" s="5" t="s">
        <v>20</v>
      </c>
      <c r="E317" s="6" t="str">
        <f t="array" ref="E317">IFERROR(INDEX(Airlines!$B:$B,MATCH(D317,Airlines!$A:$A,0)),"")</f>
        <v>Vistara</v>
      </c>
      <c r="F317" s="6" t="str">
        <f>VLOOKUP(A317,Bookings!$A:$F,6,FALSE())</f>
        <v>Business</v>
      </c>
      <c r="G317" s="6" t="str">
        <f t="array" ref="G317">IFERROR(INDEX(Flights!$E:$E,MATCH(B317,Flights!$A:$A,0)),"")</f>
        <v>Mumbai</v>
      </c>
      <c r="H317" s="6" t="str">
        <f>VLOOKUP(B317,Flights!A:H,6,FALSE())</f>
        <v>Hyderabad</v>
      </c>
      <c r="I317" s="6" t="str">
        <f t="array" ref="I317">IFERROR(INDEX(Bookings!$G:$G,MATCH(B317,Bookings!$B:$B,0)),"")</f>
        <v>1</v>
      </c>
      <c r="J317" s="5">
        <f>VLOOKUP(B317,Bookings!B:H,7,FALSE())</f>
        <v>15.17</v>
      </c>
      <c r="K317" s="5" t="str">
        <f t="shared" si="1"/>
        <v>Long</v>
      </c>
      <c r="L317" s="11">
        <f t="array" ref="L317">IFERROR(INDEX(Bookings!$K:$K,MATCH(A317,Bookings!$A:$A,0)),"")</f>
        <v>60365</v>
      </c>
      <c r="M317" s="5" t="str">
        <f t="shared" si="2"/>
        <v>High</v>
      </c>
      <c r="N317" s="5">
        <f t="array" ref="N317">IFERROR(INDEX(Bookings!$I:$I,MATCH(A317,Bookings!$A:$A,0)),"")</f>
        <v>32</v>
      </c>
      <c r="O317" s="5" t="str">
        <f t="shared" si="3"/>
        <v>Advance</v>
      </c>
      <c r="P317" s="5" t="str">
        <f t="shared" si="4"/>
        <v>Mumbai -&gt; Hyderabad</v>
      </c>
    </row>
    <row r="318" ht="15.75" customHeight="1">
      <c r="A318" s="5" t="s">
        <v>1368</v>
      </c>
      <c r="B318" s="5" t="s">
        <v>1370</v>
      </c>
      <c r="C318" s="5" t="s">
        <v>276</v>
      </c>
      <c r="D318" s="5" t="s">
        <v>20</v>
      </c>
      <c r="E318" s="6" t="str">
        <f t="array" ref="E318">IFERROR(INDEX(Airlines!$B:$B,MATCH(D318,Airlines!$A:$A,0)),"")</f>
        <v>Vistara</v>
      </c>
      <c r="F318" s="6" t="str">
        <f>VLOOKUP(A318,Bookings!$A:$F,6,FALSE())</f>
        <v>Business</v>
      </c>
      <c r="G318" s="6" t="str">
        <f t="array" ref="G318">IFERROR(INDEX(Flights!$E:$E,MATCH(B318,Flights!$A:$A,0)),"")</f>
        <v>Mumbai</v>
      </c>
      <c r="H318" s="6" t="str">
        <f>VLOOKUP(B318,Flights!A:H,6,FALSE())</f>
        <v>Hyderabad</v>
      </c>
      <c r="I318" s="6" t="str">
        <f t="array" ref="I318">IFERROR(INDEX(Bookings!$G:$G,MATCH(B318,Bookings!$B:$B,0)),"")</f>
        <v>1</v>
      </c>
      <c r="J318" s="5">
        <f>VLOOKUP(B318,Bookings!B:H,7,FALSE())</f>
        <v>22.5</v>
      </c>
      <c r="K318" s="5" t="str">
        <f t="shared" si="1"/>
        <v>Long</v>
      </c>
      <c r="L318" s="11">
        <f t="array" ref="L318">IFERROR(INDEX(Bookings!$K:$K,MATCH(A318,Bookings!$A:$A,0)),"")</f>
        <v>60365</v>
      </c>
      <c r="M318" s="5" t="str">
        <f t="shared" si="2"/>
        <v>High</v>
      </c>
      <c r="N318" s="5">
        <f t="array" ref="N318">IFERROR(INDEX(Bookings!$I:$I,MATCH(A318,Bookings!$A:$A,0)),"")</f>
        <v>15</v>
      </c>
      <c r="O318" s="5" t="str">
        <f t="shared" si="3"/>
        <v>Short Notice</v>
      </c>
      <c r="P318" s="5" t="str">
        <f t="shared" si="4"/>
        <v>Mumbai -&gt; Hyderabad</v>
      </c>
    </row>
    <row r="319" ht="15.75" customHeight="1">
      <c r="A319" s="5" t="s">
        <v>1374</v>
      </c>
      <c r="B319" s="5" t="s">
        <v>1375</v>
      </c>
      <c r="C319" s="5" t="s">
        <v>276</v>
      </c>
      <c r="D319" s="5" t="s">
        <v>20</v>
      </c>
      <c r="E319" s="6" t="str">
        <f t="array" ref="E319">IFERROR(INDEX(Airlines!$B:$B,MATCH(D319,Airlines!$A:$A,0)),"")</f>
        <v>Vistara</v>
      </c>
      <c r="F319" s="6" t="str">
        <f>VLOOKUP(A319,Bookings!$A:$F,6,FALSE())</f>
        <v>Economy</v>
      </c>
      <c r="G319" s="6" t="str">
        <f t="array" ref="G319">IFERROR(INDEX(Flights!$E:$E,MATCH(B319,Flights!$A:$A,0)),"")</f>
        <v>Mumbai</v>
      </c>
      <c r="H319" s="6" t="str">
        <f>VLOOKUP(B319,Flights!A:H,6,FALSE())</f>
        <v>Hyderabad</v>
      </c>
      <c r="I319" s="6" t="str">
        <f t="array" ref="I319">IFERROR(INDEX(Bookings!$G:$G,MATCH(B319,Bookings!$B:$B,0)),"")</f>
        <v>2+</v>
      </c>
      <c r="J319" s="5">
        <f>VLOOKUP(B319,Bookings!B:H,7,FALSE())</f>
        <v>10.75</v>
      </c>
      <c r="K319" s="5" t="str">
        <f t="shared" si="1"/>
        <v>Long</v>
      </c>
      <c r="L319" s="11">
        <f t="array" ref="L319">IFERROR(INDEX(Bookings!$K:$K,MATCH(A319,Bookings!$A:$A,0)),"")</f>
        <v>25096</v>
      </c>
      <c r="M319" s="5" t="str">
        <f t="shared" si="2"/>
        <v>High</v>
      </c>
      <c r="N319" s="5">
        <f t="array" ref="N319">IFERROR(INDEX(Bookings!$I:$I,MATCH(A319,Bookings!$A:$A,0)),"")</f>
        <v>1</v>
      </c>
      <c r="O319" s="5" t="str">
        <f t="shared" si="3"/>
        <v>Last Minute</v>
      </c>
      <c r="P319" s="5" t="str">
        <f t="shared" si="4"/>
        <v>Mumbai -&gt; Hyderabad</v>
      </c>
    </row>
    <row r="320" ht="15.75" customHeight="1">
      <c r="A320" s="5" t="s">
        <v>1377</v>
      </c>
      <c r="B320" s="5" t="s">
        <v>1378</v>
      </c>
      <c r="C320" s="5" t="s">
        <v>276</v>
      </c>
      <c r="D320" s="5" t="s">
        <v>45</v>
      </c>
      <c r="E320" s="6" t="str">
        <f t="array" ref="E320">IFERROR(INDEX(Airlines!$B:$B,MATCH(D320,Airlines!$A:$A,0)),"")</f>
        <v>Air_India</v>
      </c>
      <c r="F320" s="6" t="str">
        <f>VLOOKUP(A320,Bookings!$A:$F,6,FALSE())</f>
        <v>Business</v>
      </c>
      <c r="G320" s="6" t="str">
        <f t="array" ref="G320">IFERROR(INDEX(Flights!$E:$E,MATCH(B320,Flights!$A:$A,0)),"")</f>
        <v>Mumbai</v>
      </c>
      <c r="H320" s="6" t="str">
        <f>VLOOKUP(B320,Flights!A:H,6,FALSE())</f>
        <v>Hyderabad</v>
      </c>
      <c r="I320" s="6" t="str">
        <f t="array" ref="I320">IFERROR(INDEX(Bookings!$G:$G,MATCH(B320,Bookings!$B:$B,0)),"")</f>
        <v>0</v>
      </c>
      <c r="J320" s="5">
        <f>VLOOKUP(B320,Bookings!B:H,7,FALSE())</f>
        <v>1.33</v>
      </c>
      <c r="K320" s="5" t="str">
        <f t="shared" si="1"/>
        <v>Short</v>
      </c>
      <c r="L320" s="11">
        <f t="array" ref="L320">IFERROR(INDEX(Bookings!$K:$K,MATCH(A320,Bookings!$A:$A,0)),"")</f>
        <v>17548</v>
      </c>
      <c r="M320" s="5" t="str">
        <f t="shared" si="2"/>
        <v>High</v>
      </c>
      <c r="N320" s="5">
        <f t="array" ref="N320">IFERROR(INDEX(Bookings!$I:$I,MATCH(A320,Bookings!$A:$A,0)),"")</f>
        <v>34</v>
      </c>
      <c r="O320" s="5" t="str">
        <f t="shared" si="3"/>
        <v>Advance</v>
      </c>
      <c r="P320" s="5" t="str">
        <f t="shared" si="4"/>
        <v>Mumbai -&gt; Hyderabad</v>
      </c>
    </row>
    <row r="321" ht="15.75" customHeight="1">
      <c r="A321" s="5" t="s">
        <v>1380</v>
      </c>
      <c r="B321" s="5" t="s">
        <v>1381</v>
      </c>
      <c r="C321" s="5" t="s">
        <v>276</v>
      </c>
      <c r="D321" s="5" t="s">
        <v>45</v>
      </c>
      <c r="E321" s="6" t="str">
        <f t="array" ref="E321">IFERROR(INDEX(Airlines!$B:$B,MATCH(D321,Airlines!$A:$A,0)),"")</f>
        <v>Air_India</v>
      </c>
      <c r="F321" s="6" t="str">
        <f>VLOOKUP(A321,Bookings!$A:$F,6,FALSE())</f>
        <v>Economy</v>
      </c>
      <c r="G321" s="6" t="str">
        <f t="array" ref="G321">IFERROR(INDEX(Flights!$E:$E,MATCH(B321,Flights!$A:$A,0)),"")</f>
        <v>Mumbai</v>
      </c>
      <c r="H321" s="6" t="str">
        <f>VLOOKUP(B321,Flights!A:H,6,FALSE())</f>
        <v>Hyderabad</v>
      </c>
      <c r="I321" s="6" t="str">
        <f t="array" ref="I321">IFERROR(INDEX(Bookings!$G:$G,MATCH(B321,Bookings!$B:$B,0)),"")</f>
        <v>1</v>
      </c>
      <c r="J321" s="5">
        <f>VLOOKUP(B321,Bookings!B:H,7,FALSE())</f>
        <v>9.5</v>
      </c>
      <c r="K321" s="5" t="str">
        <f t="shared" si="1"/>
        <v>Medium</v>
      </c>
      <c r="L321" s="11">
        <f t="array" ref="L321">IFERROR(INDEX(Bookings!$K:$K,MATCH(A321,Bookings!$A:$A,0)),"")</f>
        <v>6941</v>
      </c>
      <c r="M321" s="5" t="str">
        <f t="shared" si="2"/>
        <v>Medium</v>
      </c>
      <c r="N321" s="5" t="str">
        <f t="array" ref="N321">IFERROR(INDEX(Bookings!$I:$I,MATCH(A321,Bookings!$A:$A,0)),"")</f>
        <v/>
      </c>
      <c r="O321" s="5" t="str">
        <f t="shared" si="3"/>
        <v>Last Minute</v>
      </c>
      <c r="P321" s="5" t="str">
        <f t="shared" si="4"/>
        <v>Mumbai -&gt; Hyderabad</v>
      </c>
    </row>
    <row r="322" ht="15.75" customHeight="1">
      <c r="A322" s="5" t="s">
        <v>1384</v>
      </c>
      <c r="B322" s="5" t="s">
        <v>1385</v>
      </c>
      <c r="C322" s="5" t="s">
        <v>276</v>
      </c>
      <c r="D322" s="5" t="s">
        <v>45</v>
      </c>
      <c r="E322" s="6" t="str">
        <f t="array" ref="E322">IFERROR(INDEX(Airlines!$B:$B,MATCH(D322,Airlines!$A:$A,0)),"")</f>
        <v>Air_India</v>
      </c>
      <c r="F322" s="6" t="str">
        <f>VLOOKUP(A322,Bookings!$A:$F,6,FALSE())</f>
        <v>Economy</v>
      </c>
      <c r="G322" s="6" t="str">
        <f t="array" ref="G322">IFERROR(INDEX(Flights!$E:$E,MATCH(B322,Flights!$A:$A,0)),"")</f>
        <v>Mumbai</v>
      </c>
      <c r="H322" s="6" t="str">
        <f>VLOOKUP(B322,Flights!A:H,6,FALSE())</f>
        <v>Hyderabad</v>
      </c>
      <c r="I322" s="6" t="str">
        <f t="array" ref="I322">IFERROR(INDEX(Bookings!$G:$G,MATCH(B322,Bookings!$B:$B,0)),"")</f>
        <v>1</v>
      </c>
      <c r="J322" s="5">
        <f>VLOOKUP(B322,Bookings!B:H,7,FALSE())</f>
        <v>15.58</v>
      </c>
      <c r="K322" s="5" t="str">
        <f t="shared" si="1"/>
        <v>Long</v>
      </c>
      <c r="L322" s="11">
        <f t="array" ref="L322">IFERROR(INDEX(Bookings!$K:$K,MATCH(A322,Bookings!$A:$A,0)),"")</f>
        <v>4173</v>
      </c>
      <c r="M322" s="5" t="str">
        <f t="shared" si="2"/>
        <v>Low</v>
      </c>
      <c r="N322" s="5">
        <f t="array" ref="N322">IFERROR(INDEX(Bookings!$I:$I,MATCH(A322,Bookings!$A:$A,0)),"")</f>
        <v>43</v>
      </c>
      <c r="O322" s="5" t="str">
        <f t="shared" si="3"/>
        <v>Advance</v>
      </c>
      <c r="P322" s="5" t="str">
        <f t="shared" si="4"/>
        <v>Mumbai -&gt; Hyderabad</v>
      </c>
    </row>
    <row r="323" ht="15.75" customHeight="1">
      <c r="A323" s="5" t="s">
        <v>1387</v>
      </c>
      <c r="B323" s="5" t="s">
        <v>1388</v>
      </c>
      <c r="C323" s="5" t="s">
        <v>276</v>
      </c>
      <c r="D323" s="5" t="s">
        <v>45</v>
      </c>
      <c r="E323" s="6" t="str">
        <f t="array" ref="E323">IFERROR(INDEX(Airlines!$B:$B,MATCH(D323,Airlines!$A:$A,0)),"")</f>
        <v>Air_India</v>
      </c>
      <c r="F323" s="6" t="str">
        <f>VLOOKUP(A323,Bookings!$A:$F,6,FALSE())</f>
        <v>Business</v>
      </c>
      <c r="G323" s="6" t="str">
        <f t="array" ref="G323">IFERROR(INDEX(Flights!$E:$E,MATCH(B323,Flights!$A:$A,0)),"")</f>
        <v>Mumbai</v>
      </c>
      <c r="H323" s="6" t="str">
        <f>VLOOKUP(B323,Flights!A:H,6,FALSE())</f>
        <v>Hyderabad</v>
      </c>
      <c r="I323" s="6" t="str">
        <f t="array" ref="I323">IFERROR(INDEX(Bookings!$G:$G,MATCH(B323,Bookings!$B:$B,0)),"")</f>
        <v>1</v>
      </c>
      <c r="J323" s="5">
        <f>VLOOKUP(B323,Bookings!B:H,7,FALSE())</f>
        <v>16.5</v>
      </c>
      <c r="K323" s="5" t="str">
        <f t="shared" si="1"/>
        <v>Long</v>
      </c>
      <c r="L323" s="11">
        <f t="array" ref="L323">IFERROR(INDEX(Bookings!$K:$K,MATCH(A323,Bookings!$A:$A,0)),"")</f>
        <v>45693</v>
      </c>
      <c r="M323" s="5" t="str">
        <f t="shared" si="2"/>
        <v>High</v>
      </c>
      <c r="N323" s="5">
        <f t="array" ref="N323">IFERROR(INDEX(Bookings!$I:$I,MATCH(A323,Bookings!$A:$A,0)),"")</f>
        <v>33</v>
      </c>
      <c r="O323" s="5" t="str">
        <f t="shared" si="3"/>
        <v>Advance</v>
      </c>
      <c r="P323" s="5" t="str">
        <f t="shared" si="4"/>
        <v>Mumbai -&gt; Hyderabad</v>
      </c>
    </row>
    <row r="324" ht="15.75" customHeight="1">
      <c r="A324" s="5" t="s">
        <v>1390</v>
      </c>
      <c r="B324" s="5" t="s">
        <v>1391</v>
      </c>
      <c r="C324" s="5" t="s">
        <v>276</v>
      </c>
      <c r="D324" s="5" t="s">
        <v>45</v>
      </c>
      <c r="E324" s="6" t="str">
        <f t="array" ref="E324">IFERROR(INDEX(Airlines!$B:$B,MATCH(D324,Airlines!$A:$A,0)),"")</f>
        <v>Air_India</v>
      </c>
      <c r="F324" s="6" t="str">
        <f>VLOOKUP(A324,Bookings!$A:$F,6,FALSE())</f>
        <v>Economy</v>
      </c>
      <c r="G324" s="6" t="str">
        <f t="array" ref="G324">IFERROR(INDEX(Flights!$E:$E,MATCH(B324,Flights!$A:$A,0)),"")</f>
        <v>Mumbai</v>
      </c>
      <c r="H324" s="6" t="str">
        <f>VLOOKUP(B324,Flights!A:H,6,FALSE())</f>
        <v>Hyderabad</v>
      </c>
      <c r="I324" s="6" t="str">
        <f t="array" ref="I324">IFERROR(INDEX(Bookings!$G:$G,MATCH(B324,Bookings!$B:$B,0)),"")</f>
        <v>1</v>
      </c>
      <c r="J324" s="5">
        <f>VLOOKUP(B324,Bookings!B:H,7,FALSE())</f>
        <v>24.08</v>
      </c>
      <c r="K324" s="5" t="str">
        <f t="shared" si="1"/>
        <v>Long</v>
      </c>
      <c r="L324" s="11">
        <f t="array" ref="L324">IFERROR(INDEX(Bookings!$K:$K,MATCH(A324,Bookings!$A:$A,0)),"")</f>
        <v>3833</v>
      </c>
      <c r="M324" s="5" t="str">
        <f t="shared" si="2"/>
        <v>Low</v>
      </c>
      <c r="N324" s="5">
        <f t="array" ref="N324">IFERROR(INDEX(Bookings!$I:$I,MATCH(A324,Bookings!$A:$A,0)),"")</f>
        <v>49</v>
      </c>
      <c r="O324" s="5" t="str">
        <f t="shared" si="3"/>
        <v>Advance</v>
      </c>
      <c r="P324" s="5" t="str">
        <f t="shared" si="4"/>
        <v>Mumbai -&gt; Hyderabad</v>
      </c>
    </row>
    <row r="325" ht="15.75" customHeight="1">
      <c r="A325" s="5" t="s">
        <v>1394</v>
      </c>
      <c r="B325" s="5" t="s">
        <v>1395</v>
      </c>
      <c r="C325" s="5" t="s">
        <v>276</v>
      </c>
      <c r="D325" s="5" t="s">
        <v>20</v>
      </c>
      <c r="E325" s="6" t="str">
        <f t="array" ref="E325">IFERROR(INDEX(Airlines!$B:$B,MATCH(D325,Airlines!$A:$A,0)),"")</f>
        <v>Vistara</v>
      </c>
      <c r="F325" s="6" t="str">
        <f>VLOOKUP(A325,Bookings!$A:$F,6,FALSE())</f>
        <v>Economy</v>
      </c>
      <c r="G325" s="6" t="str">
        <f t="array" ref="G325">IFERROR(INDEX(Flights!$E:$E,MATCH(B325,Flights!$A:$A,0)),"")</f>
        <v>Mumbai</v>
      </c>
      <c r="H325" s="6" t="str">
        <f>VLOOKUP(B325,Flights!A:H,6,FALSE())</f>
        <v>Hyderabad</v>
      </c>
      <c r="I325" s="6" t="str">
        <f t="array" ref="I325">IFERROR(INDEX(Bookings!$G:$G,MATCH(B325,Bookings!$B:$B,0)),"")</f>
        <v>1</v>
      </c>
      <c r="J325" s="5">
        <f>VLOOKUP(B325,Bookings!B:H,7,FALSE())</f>
        <v>26</v>
      </c>
      <c r="K325" s="5" t="str">
        <f t="shared" si="1"/>
        <v>Long</v>
      </c>
      <c r="L325" s="11">
        <f t="array" ref="L325">IFERROR(INDEX(Bookings!$K:$K,MATCH(A325,Bookings!$A:$A,0)),"")</f>
        <v>9879</v>
      </c>
      <c r="M325" s="5" t="str">
        <f t="shared" si="2"/>
        <v>Medium</v>
      </c>
      <c r="N325" s="5">
        <f t="array" ref="N325">IFERROR(INDEX(Bookings!$I:$I,MATCH(A325,Bookings!$A:$A,0)),"")</f>
        <v>3</v>
      </c>
      <c r="O325" s="5" t="str">
        <f t="shared" si="3"/>
        <v>Last Minute</v>
      </c>
      <c r="P325" s="5" t="str">
        <f t="shared" si="4"/>
        <v>Mumbai -&gt; Hyderabad</v>
      </c>
    </row>
    <row r="326" ht="15.75" customHeight="1">
      <c r="A326" s="5" t="s">
        <v>1397</v>
      </c>
      <c r="B326" s="5" t="s">
        <v>1399</v>
      </c>
      <c r="C326" s="5" t="s">
        <v>276</v>
      </c>
      <c r="D326" s="5" t="s">
        <v>45</v>
      </c>
      <c r="E326" s="6" t="str">
        <f t="array" ref="E326">IFERROR(INDEX(Airlines!$B:$B,MATCH(D326,Airlines!$A:$A,0)),"")</f>
        <v>Air_India</v>
      </c>
      <c r="F326" s="6" t="str">
        <f>VLOOKUP(A326,Bookings!$A:$F,6,FALSE())</f>
        <v>Economy</v>
      </c>
      <c r="G326" s="6" t="str">
        <f t="array" ref="G326">IFERROR(INDEX(Flights!$E:$E,MATCH(B326,Flights!$A:$A,0)),"")</f>
        <v>Mumbai</v>
      </c>
      <c r="H326" s="6" t="str">
        <f>VLOOKUP(B326,Flights!A:H,6,FALSE())</f>
        <v>Hyderabad</v>
      </c>
      <c r="I326" s="6" t="str">
        <f t="array" ref="I326">IFERROR(INDEX(Bookings!$G:$G,MATCH(B326,Bookings!$B:$B,0)),"")</f>
        <v>1</v>
      </c>
      <c r="J326" s="5">
        <f>VLOOKUP(B326,Bookings!B:H,7,FALSE())</f>
        <v>25.83</v>
      </c>
      <c r="K326" s="5" t="str">
        <f t="shared" si="1"/>
        <v>Long</v>
      </c>
      <c r="L326" s="11">
        <f t="array" ref="L326">IFERROR(INDEX(Bookings!$K:$K,MATCH(A326,Bookings!$A:$A,0)),"")</f>
        <v>10777</v>
      </c>
      <c r="M326" s="5" t="str">
        <f t="shared" si="2"/>
        <v>Medium</v>
      </c>
      <c r="N326" s="5">
        <f t="array" ref="N326">IFERROR(INDEX(Bookings!$I:$I,MATCH(A326,Bookings!$A:$A,0)),"")</f>
        <v>2</v>
      </c>
      <c r="O326" s="5" t="str">
        <f t="shared" si="3"/>
        <v>Last Minute</v>
      </c>
      <c r="P326" s="5" t="str">
        <f t="shared" si="4"/>
        <v>Mumbai -&gt; Hyderabad</v>
      </c>
    </row>
    <row r="327" ht="15.75" customHeight="1">
      <c r="A327" s="5" t="s">
        <v>1401</v>
      </c>
      <c r="B327" s="5" t="s">
        <v>1403</v>
      </c>
      <c r="C327" s="5" t="s">
        <v>276</v>
      </c>
      <c r="D327" s="5" t="s">
        <v>20</v>
      </c>
      <c r="E327" s="6" t="str">
        <f t="array" ref="E327">IFERROR(INDEX(Airlines!$B:$B,MATCH(D327,Airlines!$A:$A,0)),"")</f>
        <v>Vistara</v>
      </c>
      <c r="F327" s="6" t="str">
        <f>VLOOKUP(A327,Bookings!$A:$F,6,FALSE())</f>
        <v>Economy</v>
      </c>
      <c r="G327" s="6" t="str">
        <f t="array" ref="G327">IFERROR(INDEX(Flights!$E:$E,MATCH(B327,Flights!$A:$A,0)),"")</f>
        <v>Mumbai</v>
      </c>
      <c r="H327" s="6" t="str">
        <f>VLOOKUP(B327,Flights!A:H,6,FALSE())</f>
        <v>Hyderabad</v>
      </c>
      <c r="I327" s="6" t="str">
        <f t="array" ref="I327">IFERROR(INDEX(Bookings!$G:$G,MATCH(B327,Bookings!$B:$B,0)),"")</f>
        <v>1</v>
      </c>
      <c r="J327" s="5">
        <f>VLOOKUP(B327,Bookings!B:H,7,FALSE())</f>
        <v>15.92</v>
      </c>
      <c r="K327" s="5" t="str">
        <f t="shared" si="1"/>
        <v>Long</v>
      </c>
      <c r="L327" s="11">
        <f t="array" ref="L327">IFERROR(INDEX(Bookings!$K:$K,MATCH(A327,Bookings!$A:$A,0)),"")</f>
        <v>10058</v>
      </c>
      <c r="M327" s="5" t="str">
        <f t="shared" si="2"/>
        <v>Medium</v>
      </c>
      <c r="N327" s="5">
        <f t="array" ref="N327">IFERROR(INDEX(Bookings!$I:$I,MATCH(A327,Bookings!$A:$A,0)),"")</f>
        <v>3</v>
      </c>
      <c r="O327" s="5" t="str">
        <f t="shared" si="3"/>
        <v>Last Minute</v>
      </c>
      <c r="P327" s="5" t="str">
        <f t="shared" si="4"/>
        <v>Mumbai -&gt; Hyderabad</v>
      </c>
    </row>
    <row r="328" ht="15.75" customHeight="1">
      <c r="A328" s="5" t="s">
        <v>1404</v>
      </c>
      <c r="B328" s="5" t="s">
        <v>1406</v>
      </c>
      <c r="C328" s="5" t="s">
        <v>276</v>
      </c>
      <c r="D328" s="5" t="s">
        <v>43</v>
      </c>
      <c r="E328" s="6" t="str">
        <f t="array" ref="E328">IFERROR(INDEX(Airlines!$B:$B,MATCH(D328,Airlines!$A:$A,0)),"")</f>
        <v>Indigo</v>
      </c>
      <c r="F328" s="6" t="str">
        <f>VLOOKUP(A328,Bookings!$A:$F,6,FALSE())</f>
        <v>Economy</v>
      </c>
      <c r="G328" s="6" t="str">
        <f t="array" ref="G328">IFERROR(INDEX(Flights!$E:$E,MATCH(B328,Flights!$A:$A,0)),"")</f>
        <v>Mumbai</v>
      </c>
      <c r="H328" s="6" t="str">
        <f>VLOOKUP(B328,Flights!A:H,6,FALSE())</f>
        <v>Hyderabad</v>
      </c>
      <c r="I328" s="6" t="str">
        <f t="array" ref="I328">IFERROR(INDEX(Bookings!$G:$G,MATCH(B328,Bookings!$B:$B,0)),"")</f>
        <v>1</v>
      </c>
      <c r="J328" s="5">
        <f>VLOOKUP(B328,Bookings!B:H,7,FALSE())</f>
        <v>7.58</v>
      </c>
      <c r="K328" s="5" t="str">
        <f t="shared" si="1"/>
        <v>Medium</v>
      </c>
      <c r="L328" s="11">
        <f t="array" ref="L328">IFERROR(INDEX(Bookings!$K:$K,MATCH(A328,Bookings!$A:$A,0)),"")</f>
        <v>5310</v>
      </c>
      <c r="M328" s="5" t="str">
        <f t="shared" si="2"/>
        <v>Medium</v>
      </c>
      <c r="N328" s="5">
        <f t="array" ref="N328">IFERROR(INDEX(Bookings!$I:$I,MATCH(A328,Bookings!$A:$A,0)),"")</f>
        <v>39</v>
      </c>
      <c r="O328" s="5" t="str">
        <f t="shared" si="3"/>
        <v>Advance</v>
      </c>
      <c r="P328" s="5" t="str">
        <f t="shared" si="4"/>
        <v>Mumbai -&gt; Hyderabad</v>
      </c>
    </row>
    <row r="329" ht="15.75" customHeight="1">
      <c r="A329" s="5" t="s">
        <v>1408</v>
      </c>
      <c r="B329" s="5" t="s">
        <v>1409</v>
      </c>
      <c r="C329" s="5" t="s">
        <v>276</v>
      </c>
      <c r="D329" s="5" t="s">
        <v>45</v>
      </c>
      <c r="E329" s="6" t="str">
        <f t="array" ref="E329">IFERROR(INDEX(Airlines!$B:$B,MATCH(D329,Airlines!$A:$A,0)),"")</f>
        <v>Air_India</v>
      </c>
      <c r="F329" s="6" t="str">
        <f>VLOOKUP(A329,Bookings!$A:$F,6,FALSE())</f>
        <v>Economy</v>
      </c>
      <c r="G329" s="6" t="str">
        <f t="array" ref="G329">IFERROR(INDEX(Flights!$E:$E,MATCH(B329,Flights!$A:$A,0)),"")</f>
        <v>Mumbai</v>
      </c>
      <c r="H329" s="6" t="str">
        <f>VLOOKUP(B329,Flights!A:H,6,FALSE())</f>
        <v>Hyderabad</v>
      </c>
      <c r="I329" s="6" t="str">
        <f t="array" ref="I329">IFERROR(INDEX(Bookings!$G:$G,MATCH(B329,Bookings!$B:$B,0)),"")</f>
        <v>1</v>
      </c>
      <c r="J329" s="5">
        <f>VLOOKUP(B329,Bookings!B:H,7,FALSE())</f>
        <v>24.25</v>
      </c>
      <c r="K329" s="5" t="str">
        <f t="shared" si="1"/>
        <v>Long</v>
      </c>
      <c r="L329" s="11">
        <f t="array" ref="L329">IFERROR(INDEX(Bookings!$K:$K,MATCH(A329,Bookings!$A:$A,0)),"")</f>
        <v>11460</v>
      </c>
      <c r="M329" s="5" t="str">
        <f t="shared" si="2"/>
        <v>Medium</v>
      </c>
      <c r="N329" s="5">
        <f t="array" ref="N329">IFERROR(INDEX(Bookings!$I:$I,MATCH(A329,Bookings!$A:$A,0)),"")</f>
        <v>3</v>
      </c>
      <c r="O329" s="5" t="str">
        <f t="shared" si="3"/>
        <v>Last Minute</v>
      </c>
      <c r="P329" s="5" t="str">
        <f t="shared" si="4"/>
        <v>Mumbai -&gt; Hyderabad</v>
      </c>
    </row>
    <row r="330" ht="15.75" customHeight="1">
      <c r="A330" s="5" t="s">
        <v>1412</v>
      </c>
      <c r="B330" s="5" t="s">
        <v>1413</v>
      </c>
      <c r="C330" s="5" t="s">
        <v>276</v>
      </c>
      <c r="D330" s="5" t="s">
        <v>45</v>
      </c>
      <c r="E330" s="6" t="str">
        <f t="array" ref="E330">IFERROR(INDEX(Airlines!$B:$B,MATCH(D330,Airlines!$A:$A,0)),"")</f>
        <v>Air_India</v>
      </c>
      <c r="F330" s="6" t="str">
        <f>VLOOKUP(A330,Bookings!$A:$F,6,FALSE())</f>
        <v>Business</v>
      </c>
      <c r="G330" s="6" t="str">
        <f t="array" ref="G330">IFERROR(INDEX(Flights!$E:$E,MATCH(B330,Flights!$A:$A,0)),"")</f>
        <v>Mumbai</v>
      </c>
      <c r="H330" s="6" t="str">
        <f>VLOOKUP(B330,Flights!A:H,6,FALSE())</f>
        <v>Hyderabad</v>
      </c>
      <c r="I330" s="6" t="str">
        <f t="array" ref="I330">IFERROR(INDEX(Bookings!$G:$G,MATCH(B330,Bookings!$B:$B,0)),"")</f>
        <v>1</v>
      </c>
      <c r="J330" s="5">
        <f>VLOOKUP(B330,Bookings!B:H,7,FALSE())</f>
        <v>25.58</v>
      </c>
      <c r="K330" s="5" t="str">
        <f t="shared" si="1"/>
        <v>Long</v>
      </c>
      <c r="L330" s="11">
        <f t="array" ref="L330">IFERROR(INDEX(Bookings!$K:$K,MATCH(A330,Bookings!$A:$A,0)),"")</f>
        <v>45693</v>
      </c>
      <c r="M330" s="5" t="str">
        <f t="shared" si="2"/>
        <v>High</v>
      </c>
      <c r="N330" s="5">
        <f t="array" ref="N330">IFERROR(INDEX(Bookings!$I:$I,MATCH(A330,Bookings!$A:$A,0)),"")</f>
        <v>5</v>
      </c>
      <c r="O330" s="5" t="str">
        <f t="shared" si="3"/>
        <v>Last Minute</v>
      </c>
      <c r="P330" s="5" t="str">
        <f t="shared" si="4"/>
        <v>Mumbai -&gt; Hyderabad</v>
      </c>
    </row>
    <row r="331" ht="15.75" customHeight="1">
      <c r="A331" s="5" t="s">
        <v>1416</v>
      </c>
      <c r="B331" s="5" t="s">
        <v>1417</v>
      </c>
      <c r="C331" s="5" t="s">
        <v>276</v>
      </c>
      <c r="D331" s="5" t="s">
        <v>45</v>
      </c>
      <c r="E331" s="6" t="str">
        <f t="array" ref="E331">IFERROR(INDEX(Airlines!$B:$B,MATCH(D331,Airlines!$A:$A,0)),"")</f>
        <v>Air_India</v>
      </c>
      <c r="F331" s="6" t="str">
        <f>VLOOKUP(A331,Bookings!$A:$F,6,FALSE())</f>
        <v>Economy</v>
      </c>
      <c r="G331" s="6" t="str">
        <f t="array" ref="G331">IFERROR(INDEX(Flights!$E:$E,MATCH(B331,Flights!$A:$A,0)),"")</f>
        <v>Mumbai</v>
      </c>
      <c r="H331" s="6" t="str">
        <f>VLOOKUP(B331,Flights!A:H,6,FALSE())</f>
        <v>Hyderabad</v>
      </c>
      <c r="I331" s="6" t="str">
        <f t="array" ref="I331">IFERROR(INDEX(Bookings!$G:$G,MATCH(B331,Bookings!$B:$B,0)),"")</f>
        <v>1</v>
      </c>
      <c r="J331" s="5">
        <f>VLOOKUP(B331,Bookings!B:H,7,FALSE())</f>
        <v>22.75</v>
      </c>
      <c r="K331" s="5" t="str">
        <f t="shared" si="1"/>
        <v>Long</v>
      </c>
      <c r="L331" s="11">
        <f t="array" ref="L331">IFERROR(INDEX(Bookings!$K:$K,MATCH(A331,Bookings!$A:$A,0)),"")</f>
        <v>13086</v>
      </c>
      <c r="M331" s="5" t="str">
        <f t="shared" si="2"/>
        <v>Medium</v>
      </c>
      <c r="N331" s="5">
        <f t="array" ref="N331">IFERROR(INDEX(Bookings!$I:$I,MATCH(A331,Bookings!$A:$A,0)),"")</f>
        <v>5</v>
      </c>
      <c r="O331" s="5" t="str">
        <f t="shared" si="3"/>
        <v>Last Minute</v>
      </c>
      <c r="P331" s="5" t="str">
        <f t="shared" si="4"/>
        <v>Mumbai -&gt; Hyderabad</v>
      </c>
    </row>
    <row r="332" ht="15.75" customHeight="1">
      <c r="A332" s="5" t="s">
        <v>1420</v>
      </c>
      <c r="B332" s="5" t="s">
        <v>1421</v>
      </c>
      <c r="C332" s="5" t="s">
        <v>276</v>
      </c>
      <c r="D332" s="5" t="s">
        <v>45</v>
      </c>
      <c r="E332" s="6" t="str">
        <f t="array" ref="E332">IFERROR(INDEX(Airlines!$B:$B,MATCH(D332,Airlines!$A:$A,0)),"")</f>
        <v>Air_India</v>
      </c>
      <c r="F332" s="6" t="str">
        <f>VLOOKUP(A332,Bookings!$A:$F,6,FALSE())</f>
        <v>Business</v>
      </c>
      <c r="G332" s="6" t="str">
        <f t="array" ref="G332">IFERROR(INDEX(Flights!$E:$E,MATCH(B332,Flights!$A:$A,0)),"")</f>
        <v>Mumbai</v>
      </c>
      <c r="H332" s="6" t="str">
        <f>VLOOKUP(B332,Flights!A:H,6,FALSE())</f>
        <v>Hyderabad</v>
      </c>
      <c r="I332" s="6" t="str">
        <f t="array" ref="I332">IFERROR(INDEX(Bookings!$G:$G,MATCH(B332,Bookings!$B:$B,0)),"")</f>
        <v>1</v>
      </c>
      <c r="J332" s="5">
        <f>VLOOKUP(B332,Bookings!B:H,7,FALSE())</f>
        <v>16.08</v>
      </c>
      <c r="K332" s="5" t="str">
        <f t="shared" si="1"/>
        <v>Long</v>
      </c>
      <c r="L332" s="11">
        <f t="array" ref="L332">IFERROR(INDEX(Bookings!$K:$K,MATCH(A332,Bookings!$A:$A,0)),"")</f>
        <v>32230</v>
      </c>
      <c r="M332" s="5" t="str">
        <f t="shared" si="2"/>
        <v>High</v>
      </c>
      <c r="N332" s="5">
        <f t="array" ref="N332">IFERROR(INDEX(Bookings!$I:$I,MATCH(A332,Bookings!$A:$A,0)),"")</f>
        <v>48</v>
      </c>
      <c r="O332" s="5" t="str">
        <f t="shared" si="3"/>
        <v>Advance</v>
      </c>
      <c r="P332" s="5" t="str">
        <f t="shared" si="4"/>
        <v>Mumbai -&gt; Hyderabad</v>
      </c>
    </row>
    <row r="333" ht="15.75" customHeight="1">
      <c r="A333" s="5" t="s">
        <v>1424</v>
      </c>
      <c r="B333" s="5" t="s">
        <v>1425</v>
      </c>
      <c r="C333" s="5" t="s">
        <v>276</v>
      </c>
      <c r="D333" s="5" t="s">
        <v>20</v>
      </c>
      <c r="E333" s="6" t="str">
        <f t="array" ref="E333">IFERROR(INDEX(Airlines!$B:$B,MATCH(D333,Airlines!$A:$A,0)),"")</f>
        <v>Vistara</v>
      </c>
      <c r="F333" s="6" t="str">
        <f>VLOOKUP(A333,Bookings!$A:$F,6,FALSE())</f>
        <v>Business</v>
      </c>
      <c r="G333" s="6" t="str">
        <f t="array" ref="G333">IFERROR(INDEX(Flights!$E:$E,MATCH(B333,Flights!$A:$A,0)),"")</f>
        <v>Mumbai</v>
      </c>
      <c r="H333" s="6" t="str">
        <f>VLOOKUP(B333,Flights!A:H,6,FALSE())</f>
        <v>Hyderabad</v>
      </c>
      <c r="I333" s="6" t="str">
        <f t="array" ref="I333">IFERROR(INDEX(Bookings!$G:$G,MATCH(B333,Bookings!$B:$B,0)),"")</f>
        <v>1</v>
      </c>
      <c r="J333" s="5">
        <f>VLOOKUP(B333,Bookings!B:H,7,FALSE())</f>
        <v>12.42</v>
      </c>
      <c r="K333" s="5" t="str">
        <f t="shared" si="1"/>
        <v>Long</v>
      </c>
      <c r="L333" s="11">
        <f t="array" ref="L333">IFERROR(INDEX(Bookings!$K:$K,MATCH(A333,Bookings!$A:$A,0)),"")</f>
        <v>60365</v>
      </c>
      <c r="M333" s="5" t="str">
        <f t="shared" si="2"/>
        <v>High</v>
      </c>
      <c r="N333" s="5">
        <f t="array" ref="N333">IFERROR(INDEX(Bookings!$I:$I,MATCH(A333,Bookings!$A:$A,0)),"")</f>
        <v>33</v>
      </c>
      <c r="O333" s="5" t="str">
        <f t="shared" si="3"/>
        <v>Advance</v>
      </c>
      <c r="P333" s="5" t="str">
        <f t="shared" si="4"/>
        <v>Mumbai -&gt; Hyderabad</v>
      </c>
    </row>
    <row r="334" ht="15.75" customHeight="1">
      <c r="A334" s="5" t="s">
        <v>1427</v>
      </c>
      <c r="B334" s="5" t="s">
        <v>1428</v>
      </c>
      <c r="C334" s="5" t="s">
        <v>276</v>
      </c>
      <c r="D334" s="5" t="s">
        <v>45</v>
      </c>
      <c r="E334" s="6" t="str">
        <f t="array" ref="E334">IFERROR(INDEX(Airlines!$B:$B,MATCH(D334,Airlines!$A:$A,0)),"")</f>
        <v>Air_India</v>
      </c>
      <c r="F334" s="6" t="str">
        <f>VLOOKUP(A334,Bookings!$A:$F,6,FALSE())</f>
        <v>Economy</v>
      </c>
      <c r="G334" s="6" t="str">
        <f t="array" ref="G334">IFERROR(INDEX(Flights!$E:$E,MATCH(B334,Flights!$A:$A,0)),"")</f>
        <v>Mumbai</v>
      </c>
      <c r="H334" s="6" t="str">
        <f>VLOOKUP(B334,Flights!A:H,6,FALSE())</f>
        <v>Hyderabad</v>
      </c>
      <c r="I334" s="6" t="str">
        <f t="array" ref="I334">IFERROR(INDEX(Bookings!$G:$G,MATCH(B334,Bookings!$B:$B,0)),"")</f>
        <v>1</v>
      </c>
      <c r="J334" s="5">
        <f>VLOOKUP(B334,Bookings!B:H,7,FALSE())</f>
        <v>22.25</v>
      </c>
      <c r="K334" s="5" t="str">
        <f t="shared" si="1"/>
        <v>Long</v>
      </c>
      <c r="L334" s="11">
        <f t="array" ref="L334">IFERROR(INDEX(Bookings!$K:$K,MATCH(A334,Bookings!$A:$A,0)),"")</f>
        <v>13086</v>
      </c>
      <c r="M334" s="5" t="str">
        <f t="shared" si="2"/>
        <v>Medium</v>
      </c>
      <c r="N334" s="5">
        <f t="array" ref="N334">IFERROR(INDEX(Bookings!$I:$I,MATCH(A334,Bookings!$A:$A,0)),"")</f>
        <v>9</v>
      </c>
      <c r="O334" s="5" t="str">
        <f t="shared" si="3"/>
        <v>Short Notice</v>
      </c>
      <c r="P334" s="5" t="str">
        <f t="shared" si="4"/>
        <v>Mumbai -&gt; Hyderabad</v>
      </c>
    </row>
    <row r="335" ht="15.75" customHeight="1">
      <c r="A335" s="5" t="s">
        <v>1430</v>
      </c>
      <c r="B335" s="5" t="s">
        <v>1431</v>
      </c>
      <c r="C335" s="5" t="s">
        <v>276</v>
      </c>
      <c r="D335" s="5" t="s">
        <v>29</v>
      </c>
      <c r="E335" s="6" t="str">
        <f t="array" ref="E335">IFERROR(INDEX(Airlines!$B:$B,MATCH(D335,Airlines!$A:$A,0)),"")</f>
        <v>AirAsia</v>
      </c>
      <c r="F335" s="6" t="str">
        <f>VLOOKUP(A335,Bookings!$A:$F,6,FALSE())</f>
        <v>Economy</v>
      </c>
      <c r="G335" s="6" t="str">
        <f t="array" ref="G335">IFERROR(INDEX(Flights!$E:$E,MATCH(B335,Flights!$A:$A,0)),"")</f>
        <v>Mumbai</v>
      </c>
      <c r="H335" s="6" t="str">
        <f>VLOOKUP(B335,Flights!A:H,6,FALSE())</f>
        <v>Hyderabad</v>
      </c>
      <c r="I335" s="6" t="str">
        <f t="array" ref="I335">IFERROR(INDEX(Bookings!$G:$G,MATCH(B335,Bookings!$B:$B,0)),"")</f>
        <v>2+</v>
      </c>
      <c r="J335" s="5">
        <f>VLOOKUP(B335,Bookings!B:H,7,FALSE())</f>
        <v>12.75</v>
      </c>
      <c r="K335" s="5" t="str">
        <f t="shared" si="1"/>
        <v>Long</v>
      </c>
      <c r="L335" s="11">
        <f t="array" ref="L335">IFERROR(INDEX(Bookings!$K:$K,MATCH(A335,Bookings!$A:$A,0)),"")</f>
        <v>4995</v>
      </c>
      <c r="M335" s="5" t="str">
        <f t="shared" si="2"/>
        <v>Medium</v>
      </c>
      <c r="N335" s="5">
        <f t="array" ref="N335">IFERROR(INDEX(Bookings!$I:$I,MATCH(A335,Bookings!$A:$A,0)),"")</f>
        <v>36</v>
      </c>
      <c r="O335" s="5" t="str">
        <f t="shared" si="3"/>
        <v>Advance</v>
      </c>
      <c r="P335" s="5" t="str">
        <f t="shared" si="4"/>
        <v>Mumbai -&gt; Hyderabad</v>
      </c>
    </row>
    <row r="336" ht="15.75" customHeight="1">
      <c r="A336" s="5" t="s">
        <v>1433</v>
      </c>
      <c r="B336" s="5" t="s">
        <v>1434</v>
      </c>
      <c r="C336" s="5" t="s">
        <v>276</v>
      </c>
      <c r="D336" s="5" t="s">
        <v>58</v>
      </c>
      <c r="E336" s="6" t="str">
        <f t="array" ref="E336">IFERROR(INDEX(Airlines!$B:$B,MATCH(D336,Airlines!$A:$A,0)),"")</f>
        <v>Go_First</v>
      </c>
      <c r="F336" s="6" t="str">
        <f>VLOOKUP(A336,Bookings!$A:$F,6,FALSE())</f>
        <v>Economy</v>
      </c>
      <c r="G336" s="6" t="str">
        <f t="array" ref="G336">IFERROR(INDEX(Flights!$E:$E,MATCH(B336,Flights!$A:$A,0)),"")</f>
        <v>Mumbai</v>
      </c>
      <c r="H336" s="6" t="str">
        <f>VLOOKUP(B336,Flights!A:H,6,FALSE())</f>
        <v>Hyderabad</v>
      </c>
      <c r="I336" s="6" t="str">
        <f t="array" ref="I336">IFERROR(INDEX(Bookings!$G:$G,MATCH(B336,Bookings!$B:$B,0)),"")</f>
        <v>1</v>
      </c>
      <c r="J336" s="5">
        <f>VLOOKUP(B336,Bookings!B:H,7,FALSE())</f>
        <v>9.5</v>
      </c>
      <c r="K336" s="5" t="str">
        <f t="shared" si="1"/>
        <v>Medium</v>
      </c>
      <c r="L336" s="11">
        <f t="array" ref="L336">IFERROR(INDEX(Bookings!$K:$K,MATCH(A336,Bookings!$A:$A,0)),"")</f>
        <v>12873</v>
      </c>
      <c r="M336" s="5" t="str">
        <f t="shared" si="2"/>
        <v>Medium</v>
      </c>
      <c r="N336" s="5">
        <f t="array" ref="N336">IFERROR(INDEX(Bookings!$I:$I,MATCH(A336,Bookings!$A:$A,0)),"")</f>
        <v>13</v>
      </c>
      <c r="O336" s="5" t="str">
        <f t="shared" si="3"/>
        <v>Short Notice</v>
      </c>
      <c r="P336" s="5" t="str">
        <f t="shared" si="4"/>
        <v>Mumbai -&gt; Hyderabad</v>
      </c>
    </row>
    <row r="337" ht="15.75" customHeight="1">
      <c r="A337" s="5" t="s">
        <v>1436</v>
      </c>
      <c r="B337" s="5" t="s">
        <v>1438</v>
      </c>
      <c r="C337" s="5" t="s">
        <v>276</v>
      </c>
      <c r="D337" s="5" t="s">
        <v>45</v>
      </c>
      <c r="E337" s="6" t="str">
        <f t="array" ref="E337">IFERROR(INDEX(Airlines!$B:$B,MATCH(D337,Airlines!$A:$A,0)),"")</f>
        <v>Air_India</v>
      </c>
      <c r="F337" s="6" t="str">
        <f>VLOOKUP(A337,Bookings!$A:$F,6,FALSE())</f>
        <v>Economy</v>
      </c>
      <c r="G337" s="6" t="str">
        <f t="array" ref="G337">IFERROR(INDEX(Flights!$E:$E,MATCH(B337,Flights!$A:$A,0)),"")</f>
        <v>Mumbai</v>
      </c>
      <c r="H337" s="6" t="str">
        <f>VLOOKUP(B337,Flights!A:H,6,FALSE())</f>
        <v>Hyderabad</v>
      </c>
      <c r="I337" s="6" t="str">
        <f t="array" ref="I337">IFERROR(INDEX(Bookings!$G:$G,MATCH(B337,Bookings!$B:$B,0)),"")</f>
        <v>1</v>
      </c>
      <c r="J337" s="5">
        <f>VLOOKUP(B337,Bookings!B:H,7,FALSE())</f>
        <v>26.08</v>
      </c>
      <c r="K337" s="5" t="str">
        <f t="shared" si="1"/>
        <v>Long</v>
      </c>
      <c r="L337" s="11">
        <f t="array" ref="L337">IFERROR(INDEX(Bookings!$K:$K,MATCH(A337,Bookings!$A:$A,0)),"")</f>
        <v>8388</v>
      </c>
      <c r="M337" s="5" t="str">
        <f t="shared" si="2"/>
        <v>Medium</v>
      </c>
      <c r="N337" s="5">
        <f t="array" ref="N337">IFERROR(INDEX(Bookings!$I:$I,MATCH(A337,Bookings!$A:$A,0)),"")</f>
        <v>16</v>
      </c>
      <c r="O337" s="5" t="str">
        <f t="shared" si="3"/>
        <v>Moderate</v>
      </c>
      <c r="P337" s="5" t="str">
        <f t="shared" si="4"/>
        <v>Mumbai -&gt; Hyderabad</v>
      </c>
    </row>
    <row r="338" ht="15.75" customHeight="1">
      <c r="A338" s="5" t="s">
        <v>1440</v>
      </c>
      <c r="B338" s="5" t="s">
        <v>1441</v>
      </c>
      <c r="C338" s="5" t="s">
        <v>276</v>
      </c>
      <c r="D338" s="5" t="s">
        <v>45</v>
      </c>
      <c r="E338" s="6" t="str">
        <f t="array" ref="E338">IFERROR(INDEX(Airlines!$B:$B,MATCH(D338,Airlines!$A:$A,0)),"")</f>
        <v>Air_India</v>
      </c>
      <c r="F338" s="6" t="str">
        <f>VLOOKUP(A338,Bookings!$A:$F,6,FALSE())</f>
        <v>Economy</v>
      </c>
      <c r="G338" s="6" t="str">
        <f t="array" ref="G338">IFERROR(INDEX(Flights!$E:$E,MATCH(B338,Flights!$A:$A,0)),"")</f>
        <v>Mumbai</v>
      </c>
      <c r="H338" s="6" t="str">
        <f>VLOOKUP(B338,Flights!A:H,6,FALSE())</f>
        <v>Hyderabad</v>
      </c>
      <c r="I338" s="6" t="str">
        <f t="array" ref="I338">IFERROR(INDEX(Bookings!$G:$G,MATCH(B338,Bookings!$B:$B,0)),"")</f>
        <v>0</v>
      </c>
      <c r="J338" s="5">
        <f>VLOOKUP(B338,Bookings!B:H,7,FALSE())</f>
        <v>1.5</v>
      </c>
      <c r="K338" s="5" t="str">
        <f t="shared" si="1"/>
        <v>Short</v>
      </c>
      <c r="L338" s="11">
        <f t="array" ref="L338">IFERROR(INDEX(Bookings!$K:$K,MATCH(A338,Bookings!$A:$A,0)),"")</f>
        <v>2111</v>
      </c>
      <c r="M338" s="5" t="str">
        <f t="shared" si="2"/>
        <v>Low</v>
      </c>
      <c r="N338" s="5">
        <f t="array" ref="N338">IFERROR(INDEX(Bookings!$I:$I,MATCH(A338,Bookings!$A:$A,0)),"")</f>
        <v>40</v>
      </c>
      <c r="O338" s="5" t="str">
        <f t="shared" si="3"/>
        <v>Advance</v>
      </c>
      <c r="P338" s="5" t="str">
        <f t="shared" si="4"/>
        <v>Mumbai -&gt; Hyderabad</v>
      </c>
    </row>
    <row r="339" ht="15.75" customHeight="1">
      <c r="A339" s="5" t="s">
        <v>1443</v>
      </c>
      <c r="B339" s="5" t="s">
        <v>1444</v>
      </c>
      <c r="C339" s="5" t="s">
        <v>276</v>
      </c>
      <c r="D339" s="5" t="s">
        <v>45</v>
      </c>
      <c r="E339" s="6" t="str">
        <f t="array" ref="E339">IFERROR(INDEX(Airlines!$B:$B,MATCH(D339,Airlines!$A:$A,0)),"")</f>
        <v>Air_India</v>
      </c>
      <c r="F339" s="6" t="str">
        <f>VLOOKUP(A339,Bookings!$A:$F,6,FALSE())</f>
        <v>Economy</v>
      </c>
      <c r="G339" s="6" t="str">
        <f t="array" ref="G339">IFERROR(INDEX(Flights!$E:$E,MATCH(B339,Flights!$A:$A,0)),"")</f>
        <v>Mumbai</v>
      </c>
      <c r="H339" s="6" t="str">
        <f>VLOOKUP(B339,Flights!A:H,6,FALSE())</f>
        <v>Hyderabad</v>
      </c>
      <c r="I339" s="6" t="str">
        <f t="array" ref="I339">IFERROR(INDEX(Bookings!$G:$G,MATCH(B339,Bookings!$B:$B,0)),"")</f>
        <v>1</v>
      </c>
      <c r="J339" s="5">
        <f>VLOOKUP(B339,Bookings!B:H,7,FALSE())</f>
        <v>26.92</v>
      </c>
      <c r="K339" s="5" t="str">
        <f t="shared" si="1"/>
        <v>Long</v>
      </c>
      <c r="L339" s="11">
        <f t="array" ref="L339">IFERROR(INDEX(Bookings!$K:$K,MATCH(A339,Bookings!$A:$A,0)),"")</f>
        <v>5625</v>
      </c>
      <c r="M339" s="5" t="str">
        <f t="shared" si="2"/>
        <v>Medium</v>
      </c>
      <c r="N339" s="5">
        <f t="array" ref="N339">IFERROR(INDEX(Bookings!$I:$I,MATCH(A339,Bookings!$A:$A,0)),"")</f>
        <v>40</v>
      </c>
      <c r="O339" s="5" t="str">
        <f t="shared" si="3"/>
        <v>Advance</v>
      </c>
      <c r="P339" s="5" t="str">
        <f t="shared" si="4"/>
        <v>Mumbai -&gt; Hyderabad</v>
      </c>
    </row>
    <row r="340" ht="15.75" customHeight="1">
      <c r="A340" s="5" t="s">
        <v>1446</v>
      </c>
      <c r="B340" s="5" t="s">
        <v>1447</v>
      </c>
      <c r="C340" s="5" t="s">
        <v>276</v>
      </c>
      <c r="D340" s="5" t="s">
        <v>58</v>
      </c>
      <c r="E340" s="6" t="str">
        <f t="array" ref="E340">IFERROR(INDEX(Airlines!$B:$B,MATCH(D340,Airlines!$A:$A,0)),"")</f>
        <v>Go_First</v>
      </c>
      <c r="F340" s="6" t="str">
        <f>VLOOKUP(A340,Bookings!$A:$F,6,FALSE())</f>
        <v>Economy</v>
      </c>
      <c r="G340" s="6" t="str">
        <f t="array" ref="G340">IFERROR(INDEX(Flights!$E:$E,MATCH(B340,Flights!$A:$A,0)),"")</f>
        <v>Mumbai</v>
      </c>
      <c r="H340" s="6" t="str">
        <f>VLOOKUP(B340,Flights!A:H,6,FALSE())</f>
        <v>Hyderabad</v>
      </c>
      <c r="I340" s="6" t="str">
        <f t="array" ref="I340">IFERROR(INDEX(Bookings!$G:$G,MATCH(B340,Bookings!$B:$B,0)),"")</f>
        <v>1</v>
      </c>
      <c r="J340" s="5">
        <f>VLOOKUP(B340,Bookings!B:H,7,FALSE())</f>
        <v>9.83</v>
      </c>
      <c r="K340" s="5" t="str">
        <f t="shared" si="1"/>
        <v>Medium</v>
      </c>
      <c r="L340" s="11">
        <f t="array" ref="L340">IFERROR(INDEX(Bookings!$K:$K,MATCH(A340,Bookings!$A:$A,0)),"")</f>
        <v>7336</v>
      </c>
      <c r="M340" s="5" t="str">
        <f t="shared" si="2"/>
        <v>Medium</v>
      </c>
      <c r="N340" s="5">
        <f t="array" ref="N340">IFERROR(INDEX(Bookings!$I:$I,MATCH(A340,Bookings!$A:$A,0)),"")</f>
        <v>44</v>
      </c>
      <c r="O340" s="5" t="str">
        <f t="shared" si="3"/>
        <v>Advance</v>
      </c>
      <c r="P340" s="5" t="str">
        <f t="shared" si="4"/>
        <v>Mumbai -&gt; Hyderabad</v>
      </c>
    </row>
    <row r="341" ht="15.75" customHeight="1">
      <c r="A341" s="5" t="s">
        <v>1449</v>
      </c>
      <c r="B341" s="5" t="s">
        <v>1451</v>
      </c>
      <c r="C341" s="5" t="s">
        <v>276</v>
      </c>
      <c r="D341" s="5" t="s">
        <v>45</v>
      </c>
      <c r="E341" s="6" t="str">
        <f t="array" ref="E341">IFERROR(INDEX(Airlines!$B:$B,MATCH(D341,Airlines!$A:$A,0)),"")</f>
        <v>Air_India</v>
      </c>
      <c r="F341" s="6" t="str">
        <f>VLOOKUP(A341,Bookings!$A:$F,6,FALSE())</f>
        <v>Business</v>
      </c>
      <c r="G341" s="6" t="str">
        <f t="array" ref="G341">IFERROR(INDEX(Flights!$E:$E,MATCH(B341,Flights!$A:$A,0)),"")</f>
        <v>Mumbai</v>
      </c>
      <c r="H341" s="6" t="str">
        <f>VLOOKUP(B341,Flights!A:H,6,FALSE())</f>
        <v>Hyderabad</v>
      </c>
      <c r="I341" s="6" t="str">
        <f t="array" ref="I341">IFERROR(INDEX(Bookings!$G:$G,MATCH(B341,Bookings!$B:$B,0)),"")</f>
        <v>1</v>
      </c>
      <c r="J341" s="5">
        <f>VLOOKUP(B341,Bookings!B:H,7,FALSE())</f>
        <v>14</v>
      </c>
      <c r="K341" s="5" t="str">
        <f t="shared" si="1"/>
        <v>Long</v>
      </c>
      <c r="L341" s="11">
        <f t="array" ref="L341">IFERROR(INDEX(Bookings!$K:$K,MATCH(A341,Bookings!$A:$A,0)),"")</f>
        <v>45693</v>
      </c>
      <c r="M341" s="5" t="str">
        <f t="shared" si="2"/>
        <v>High</v>
      </c>
      <c r="N341" s="5">
        <f t="array" ref="N341">IFERROR(INDEX(Bookings!$I:$I,MATCH(A341,Bookings!$A:$A,0)),"")</f>
        <v>48</v>
      </c>
      <c r="O341" s="5" t="str">
        <f t="shared" si="3"/>
        <v>Advance</v>
      </c>
      <c r="P341" s="5" t="str">
        <f t="shared" si="4"/>
        <v>Mumbai -&gt; Hyderabad</v>
      </c>
    </row>
    <row r="342" ht="15.75" customHeight="1">
      <c r="A342" s="5" t="s">
        <v>1453</v>
      </c>
      <c r="B342" s="5" t="s">
        <v>1454</v>
      </c>
      <c r="C342" s="5" t="s">
        <v>276</v>
      </c>
      <c r="D342" s="5" t="s">
        <v>45</v>
      </c>
      <c r="E342" s="6" t="str">
        <f t="array" ref="E342">IFERROR(INDEX(Airlines!$B:$B,MATCH(D342,Airlines!$A:$A,0)),"")</f>
        <v>Air_India</v>
      </c>
      <c r="F342" s="6" t="str">
        <f>VLOOKUP(A342,Bookings!$A:$F,6,FALSE())</f>
        <v>Business</v>
      </c>
      <c r="G342" s="6" t="str">
        <f t="array" ref="G342">IFERROR(INDEX(Flights!$E:$E,MATCH(B342,Flights!$A:$A,0)),"")</f>
        <v>Mumbai</v>
      </c>
      <c r="H342" s="6" t="str">
        <f>VLOOKUP(B342,Flights!A:H,6,FALSE())</f>
        <v>Hyderabad</v>
      </c>
      <c r="I342" s="6" t="str">
        <f t="array" ref="I342">IFERROR(INDEX(Bookings!$G:$G,MATCH(B342,Bookings!$B:$B,0)),"")</f>
        <v>1</v>
      </c>
      <c r="J342" s="5">
        <f>VLOOKUP(B342,Bookings!B:H,7,FALSE())</f>
        <v>17.42</v>
      </c>
      <c r="K342" s="5" t="str">
        <f t="shared" si="1"/>
        <v>Long</v>
      </c>
      <c r="L342" s="11">
        <f t="array" ref="L342">IFERROR(INDEX(Bookings!$K:$K,MATCH(A342,Bookings!$A:$A,0)),"")</f>
        <v>45693</v>
      </c>
      <c r="M342" s="5" t="str">
        <f t="shared" si="2"/>
        <v>High</v>
      </c>
      <c r="N342" s="5">
        <f t="array" ref="N342">IFERROR(INDEX(Bookings!$I:$I,MATCH(A342,Bookings!$A:$A,0)),"")</f>
        <v>44</v>
      </c>
      <c r="O342" s="5" t="str">
        <f t="shared" si="3"/>
        <v>Advance</v>
      </c>
      <c r="P342" s="5" t="str">
        <f t="shared" si="4"/>
        <v>Mumbai -&gt; Hyderabad</v>
      </c>
    </row>
    <row r="343" ht="15.75" customHeight="1">
      <c r="A343" s="5" t="s">
        <v>1457</v>
      </c>
      <c r="B343" s="5" t="s">
        <v>1458</v>
      </c>
      <c r="C343" s="5" t="s">
        <v>276</v>
      </c>
      <c r="D343" s="5" t="s">
        <v>43</v>
      </c>
      <c r="E343" s="6" t="str">
        <f t="array" ref="E343">IFERROR(INDEX(Airlines!$B:$B,MATCH(D343,Airlines!$A:$A,0)),"")</f>
        <v>Indigo</v>
      </c>
      <c r="F343" s="6" t="str">
        <f>VLOOKUP(A343,Bookings!$A:$F,6,FALSE())</f>
        <v>Economy</v>
      </c>
      <c r="G343" s="6" t="str">
        <f t="array" ref="G343">IFERROR(INDEX(Flights!$E:$E,MATCH(B343,Flights!$A:$A,0)),"")</f>
        <v>Mumbai</v>
      </c>
      <c r="H343" s="6" t="str">
        <f>VLOOKUP(B343,Flights!A:H,6,FALSE())</f>
        <v>Hyderabad</v>
      </c>
      <c r="I343" s="6" t="str">
        <f t="array" ref="I343">IFERROR(INDEX(Bookings!$G:$G,MATCH(B343,Bookings!$B:$B,0)),"")</f>
        <v>0</v>
      </c>
      <c r="J343" s="5">
        <f>VLOOKUP(B343,Bookings!B:H,7,FALSE())</f>
        <v>1.67</v>
      </c>
      <c r="K343" s="5" t="str">
        <f t="shared" si="1"/>
        <v>Short</v>
      </c>
      <c r="L343" s="11">
        <f t="array" ref="L343">IFERROR(INDEX(Bookings!$K:$K,MATCH(A343,Bookings!$A:$A,0)),"")</f>
        <v>7336</v>
      </c>
      <c r="M343" s="5" t="str">
        <f t="shared" si="2"/>
        <v>Medium</v>
      </c>
      <c r="N343" s="5">
        <f t="array" ref="N343">IFERROR(INDEX(Bookings!$I:$I,MATCH(A343,Bookings!$A:$A,0)),"")</f>
        <v>46</v>
      </c>
      <c r="O343" s="5" t="str">
        <f t="shared" si="3"/>
        <v>Advance</v>
      </c>
      <c r="P343" s="5" t="str">
        <f t="shared" si="4"/>
        <v>Mumbai -&gt; Hyderabad</v>
      </c>
    </row>
    <row r="344" ht="15.75" customHeight="1">
      <c r="A344" s="5" t="s">
        <v>1460</v>
      </c>
      <c r="B344" s="5" t="s">
        <v>1461</v>
      </c>
      <c r="C344" s="5" t="s">
        <v>276</v>
      </c>
      <c r="D344" s="5" t="s">
        <v>43</v>
      </c>
      <c r="E344" s="6" t="str">
        <f t="array" ref="E344">IFERROR(INDEX(Airlines!$B:$B,MATCH(D344,Airlines!$A:$A,0)),"")</f>
        <v>Indigo</v>
      </c>
      <c r="F344" s="6" t="str">
        <f>VLOOKUP(A344,Bookings!$A:$F,6,FALSE())</f>
        <v>Economy</v>
      </c>
      <c r="G344" s="6" t="str">
        <f t="array" ref="G344">IFERROR(INDEX(Flights!$E:$E,MATCH(B344,Flights!$A:$A,0)),"")</f>
        <v>Mumbai</v>
      </c>
      <c r="H344" s="6" t="str">
        <f>VLOOKUP(B344,Flights!A:H,6,FALSE())</f>
        <v>Hyderabad</v>
      </c>
      <c r="I344" s="6" t="str">
        <f t="array" ref="I344">IFERROR(INDEX(Bookings!$G:$G,MATCH(B344,Bookings!$B:$B,0)),"")</f>
        <v>1</v>
      </c>
      <c r="J344" s="5">
        <f>VLOOKUP(B344,Bookings!B:H,7,FALSE())</f>
        <v>10.58</v>
      </c>
      <c r="K344" s="5" t="str">
        <f t="shared" si="1"/>
        <v>Long</v>
      </c>
      <c r="L344" s="11">
        <f t="array" ref="L344">IFERROR(INDEX(Bookings!$K:$K,MATCH(A344,Bookings!$A:$A,0)),"")</f>
        <v>3220</v>
      </c>
      <c r="M344" s="5" t="str">
        <f t="shared" si="2"/>
        <v>Low</v>
      </c>
      <c r="N344" s="5">
        <f t="array" ref="N344">IFERROR(INDEX(Bookings!$I:$I,MATCH(A344,Bookings!$A:$A,0)),"")</f>
        <v>46</v>
      </c>
      <c r="O344" s="5" t="str">
        <f t="shared" si="3"/>
        <v>Advance</v>
      </c>
      <c r="P344" s="5" t="str">
        <f t="shared" si="4"/>
        <v>Mumbai -&gt; Hyderabad</v>
      </c>
    </row>
    <row r="345" ht="15.75" customHeight="1">
      <c r="A345" s="5" t="s">
        <v>1464</v>
      </c>
      <c r="B345" s="5" t="s">
        <v>1465</v>
      </c>
      <c r="C345" s="5" t="s">
        <v>276</v>
      </c>
      <c r="D345" s="5" t="s">
        <v>45</v>
      </c>
      <c r="E345" s="6" t="str">
        <f t="array" ref="E345">IFERROR(INDEX(Airlines!$B:$B,MATCH(D345,Airlines!$A:$A,0)),"")</f>
        <v>Air_India</v>
      </c>
      <c r="F345" s="6" t="str">
        <f>VLOOKUP(A345,Bookings!$A:$F,6,FALSE())</f>
        <v>Business</v>
      </c>
      <c r="G345" s="6" t="str">
        <f t="array" ref="G345">IFERROR(INDEX(Flights!$E:$E,MATCH(B345,Flights!$A:$A,0)),"")</f>
        <v>Mumbai</v>
      </c>
      <c r="H345" s="6" t="str">
        <f>VLOOKUP(B345,Flights!A:H,6,FALSE())</f>
        <v>Hyderabad</v>
      </c>
      <c r="I345" s="6" t="str">
        <f t="array" ref="I345">IFERROR(INDEX(Bookings!$G:$G,MATCH(B345,Bookings!$B:$B,0)),"")</f>
        <v>1</v>
      </c>
      <c r="J345" s="5">
        <f>VLOOKUP(B345,Bookings!B:H,7,FALSE())</f>
        <v>8.17</v>
      </c>
      <c r="K345" s="5" t="str">
        <f t="shared" si="1"/>
        <v>Medium</v>
      </c>
      <c r="L345" s="11">
        <f t="array" ref="L345">IFERROR(INDEX(Bookings!$K:$K,MATCH(A345,Bookings!$A:$A,0)),"")</f>
        <v>45693</v>
      </c>
      <c r="M345" s="5" t="str">
        <f t="shared" si="2"/>
        <v>High</v>
      </c>
      <c r="N345" s="5">
        <f t="array" ref="N345">IFERROR(INDEX(Bookings!$I:$I,MATCH(A345,Bookings!$A:$A,0)),"")</f>
        <v>48</v>
      </c>
      <c r="O345" s="5" t="str">
        <f t="shared" si="3"/>
        <v>Advance</v>
      </c>
      <c r="P345" s="5" t="str">
        <f t="shared" si="4"/>
        <v>Mumbai -&gt; Hyderabad</v>
      </c>
    </row>
    <row r="346" ht="15.75" customHeight="1">
      <c r="A346" s="5" t="s">
        <v>1468</v>
      </c>
      <c r="B346" s="5" t="s">
        <v>1469</v>
      </c>
      <c r="C346" s="5" t="s">
        <v>276</v>
      </c>
      <c r="D346" s="5" t="s">
        <v>58</v>
      </c>
      <c r="E346" s="6" t="str">
        <f t="array" ref="E346">IFERROR(INDEX(Airlines!$B:$B,MATCH(D346,Airlines!$A:$A,0)),"")</f>
        <v>Go_First</v>
      </c>
      <c r="F346" s="6" t="str">
        <f>VLOOKUP(A346,Bookings!$A:$F,6,FALSE())</f>
        <v>Economy</v>
      </c>
      <c r="G346" s="6" t="str">
        <f t="array" ref="G346">IFERROR(INDEX(Flights!$E:$E,MATCH(B346,Flights!$A:$A,0)),"")</f>
        <v>Mumbai</v>
      </c>
      <c r="H346" s="6" t="str">
        <f>VLOOKUP(B346,Flights!A:H,6,FALSE())</f>
        <v>Hyderabad</v>
      </c>
      <c r="I346" s="6" t="str">
        <f t="array" ref="I346">IFERROR(INDEX(Bookings!$G:$G,MATCH(B346,Bookings!$B:$B,0)),"")</f>
        <v>1</v>
      </c>
      <c r="J346" s="5">
        <f>VLOOKUP(B346,Bookings!B:H,7,FALSE())</f>
        <v>9.33</v>
      </c>
      <c r="K346" s="5" t="str">
        <f t="shared" si="1"/>
        <v>Medium</v>
      </c>
      <c r="L346" s="11">
        <f t="array" ref="L346">IFERROR(INDEX(Bookings!$K:$K,MATCH(A346,Bookings!$A:$A,0)),"")</f>
        <v>3603</v>
      </c>
      <c r="M346" s="5" t="str">
        <f t="shared" si="2"/>
        <v>Low</v>
      </c>
      <c r="N346" s="5">
        <f t="array" ref="N346">IFERROR(INDEX(Bookings!$I:$I,MATCH(A346,Bookings!$A:$A,0)),"")</f>
        <v>47</v>
      </c>
      <c r="O346" s="5" t="str">
        <f t="shared" si="3"/>
        <v>Advance</v>
      </c>
      <c r="P346" s="5" t="str">
        <f t="shared" si="4"/>
        <v>Mumbai -&gt; Hyderabad</v>
      </c>
    </row>
    <row r="347" ht="15.75" customHeight="1">
      <c r="A347" s="5" t="s">
        <v>1472</v>
      </c>
      <c r="B347" s="5" t="s">
        <v>1473</v>
      </c>
      <c r="C347" s="5" t="s">
        <v>276</v>
      </c>
      <c r="D347" s="5" t="s">
        <v>20</v>
      </c>
      <c r="E347" s="6" t="str">
        <f t="array" ref="E347">IFERROR(INDEX(Airlines!$B:$B,MATCH(D347,Airlines!$A:$A,0)),"")</f>
        <v>Vistara</v>
      </c>
      <c r="F347" s="6" t="str">
        <f>VLOOKUP(A347,Bookings!$A:$F,6,FALSE())</f>
        <v>Economy</v>
      </c>
      <c r="G347" s="6" t="str">
        <f t="array" ref="G347">IFERROR(INDEX(Flights!$E:$E,MATCH(B347,Flights!$A:$A,0)),"")</f>
        <v>Mumbai</v>
      </c>
      <c r="H347" s="6" t="str">
        <f>VLOOKUP(B347,Flights!A:H,6,FALSE())</f>
        <v>Hyderabad</v>
      </c>
      <c r="I347" s="6" t="str">
        <f t="array" ref="I347">IFERROR(INDEX(Bookings!$G:$G,MATCH(B347,Bookings!$B:$B,0)),"")</f>
        <v>1</v>
      </c>
      <c r="J347" s="5">
        <f>VLOOKUP(B347,Bookings!B:H,7,FALSE())</f>
        <v>13.83</v>
      </c>
      <c r="K347" s="5" t="str">
        <f t="shared" si="1"/>
        <v>Long</v>
      </c>
      <c r="L347" s="11">
        <f t="array" ref="L347">IFERROR(INDEX(Bookings!$K:$K,MATCH(A347,Bookings!$A:$A,0)),"")</f>
        <v>4099</v>
      </c>
      <c r="M347" s="5" t="str">
        <f t="shared" si="2"/>
        <v>Low</v>
      </c>
      <c r="N347" s="5">
        <f t="array" ref="N347">IFERROR(INDEX(Bookings!$I:$I,MATCH(A347,Bookings!$A:$A,0)),"")</f>
        <v>46</v>
      </c>
      <c r="O347" s="5" t="str">
        <f t="shared" si="3"/>
        <v>Advance</v>
      </c>
      <c r="P347" s="5" t="str">
        <f t="shared" si="4"/>
        <v>Mumbai -&gt; Hyderabad</v>
      </c>
    </row>
    <row r="348" ht="15.75" customHeight="1">
      <c r="A348" s="5" t="s">
        <v>1475</v>
      </c>
      <c r="B348" s="5" t="s">
        <v>1476</v>
      </c>
      <c r="C348" s="5" t="s">
        <v>276</v>
      </c>
      <c r="D348" s="5" t="s">
        <v>45</v>
      </c>
      <c r="E348" s="6" t="str">
        <f t="array" ref="E348">IFERROR(INDEX(Airlines!$B:$B,MATCH(D348,Airlines!$A:$A,0)),"")</f>
        <v>Air_India</v>
      </c>
      <c r="F348" s="6" t="str">
        <f>VLOOKUP(A348,Bookings!$A:$F,6,FALSE())</f>
        <v>Business</v>
      </c>
      <c r="G348" s="6" t="str">
        <f t="array" ref="G348">IFERROR(INDEX(Flights!$E:$E,MATCH(B348,Flights!$A:$A,0)),"")</f>
        <v>Mumbai</v>
      </c>
      <c r="H348" s="6" t="str">
        <f>VLOOKUP(B348,Flights!A:H,6,FALSE())</f>
        <v>Hyderabad</v>
      </c>
      <c r="I348" s="6" t="str">
        <f t="array" ref="I348">IFERROR(INDEX(Bookings!$G:$G,MATCH(B348,Bookings!$B:$B,0)),"")</f>
        <v>1</v>
      </c>
      <c r="J348" s="5">
        <f>VLOOKUP(B348,Bookings!B:H,7,FALSE())</f>
        <v>15.92</v>
      </c>
      <c r="K348" s="5" t="str">
        <f t="shared" si="1"/>
        <v>Long</v>
      </c>
      <c r="L348" s="11">
        <f t="array" ref="L348">IFERROR(INDEX(Bookings!$K:$K,MATCH(A348,Bookings!$A:$A,0)),"")</f>
        <v>50868</v>
      </c>
      <c r="M348" s="5" t="str">
        <f t="shared" si="2"/>
        <v>High</v>
      </c>
      <c r="N348" s="5">
        <f t="array" ref="N348">IFERROR(INDEX(Bookings!$I:$I,MATCH(A348,Bookings!$A:$A,0)),"")</f>
        <v>46</v>
      </c>
      <c r="O348" s="5" t="str">
        <f t="shared" si="3"/>
        <v>Advance</v>
      </c>
      <c r="P348" s="5" t="str">
        <f t="shared" si="4"/>
        <v>Mumbai -&gt; Hyderabad</v>
      </c>
    </row>
    <row r="349" ht="15.75" customHeight="1">
      <c r="A349" s="5" t="s">
        <v>1479</v>
      </c>
      <c r="B349" s="5" t="s">
        <v>1480</v>
      </c>
      <c r="C349" s="5" t="s">
        <v>276</v>
      </c>
      <c r="D349" s="5" t="s">
        <v>45</v>
      </c>
      <c r="E349" s="6" t="str">
        <f t="array" ref="E349">IFERROR(INDEX(Airlines!$B:$B,MATCH(D349,Airlines!$A:$A,0)),"")</f>
        <v>Air_India</v>
      </c>
      <c r="F349" s="6" t="str">
        <f>VLOOKUP(A349,Bookings!$A:$F,6,FALSE())</f>
        <v>Economy</v>
      </c>
      <c r="G349" s="6" t="str">
        <f t="array" ref="G349">IFERROR(INDEX(Flights!$E:$E,MATCH(B349,Flights!$A:$A,0)),"")</f>
        <v>Mumbai</v>
      </c>
      <c r="H349" s="6" t="str">
        <f>VLOOKUP(B349,Flights!A:H,6,FALSE())</f>
        <v>Hyderabad</v>
      </c>
      <c r="I349" s="6" t="str">
        <f t="array" ref="I349">IFERROR(INDEX(Bookings!$G:$G,MATCH(B349,Bookings!$B:$B,0)),"")</f>
        <v>2+</v>
      </c>
      <c r="J349" s="5">
        <f>VLOOKUP(B349,Bookings!B:H,7,FALSE())</f>
        <v>13.42</v>
      </c>
      <c r="K349" s="5" t="str">
        <f t="shared" si="1"/>
        <v>Long</v>
      </c>
      <c r="L349" s="11">
        <f t="array" ref="L349">IFERROR(INDEX(Bookings!$K:$K,MATCH(A349,Bookings!$A:$A,0)),"")</f>
        <v>5857</v>
      </c>
      <c r="M349" s="5" t="str">
        <f t="shared" si="2"/>
        <v>Medium</v>
      </c>
      <c r="N349" s="5">
        <f t="array" ref="N349">IFERROR(INDEX(Bookings!$I:$I,MATCH(A349,Bookings!$A:$A,0)),"")</f>
        <v>47</v>
      </c>
      <c r="O349" s="5" t="str">
        <f t="shared" si="3"/>
        <v>Advance</v>
      </c>
      <c r="P349" s="5" t="str">
        <f t="shared" si="4"/>
        <v>Mumbai -&gt; Hyderabad</v>
      </c>
    </row>
    <row r="350" ht="15.75" customHeight="1">
      <c r="A350" s="5" t="s">
        <v>1483</v>
      </c>
      <c r="B350" s="5" t="s">
        <v>1484</v>
      </c>
      <c r="C350" s="5" t="s">
        <v>276</v>
      </c>
      <c r="D350" s="5" t="s">
        <v>58</v>
      </c>
      <c r="E350" s="6" t="str">
        <f t="array" ref="E350">IFERROR(INDEX(Airlines!$B:$B,MATCH(D350,Airlines!$A:$A,0)),"")</f>
        <v>Go_First</v>
      </c>
      <c r="F350" s="6" t="str">
        <f>VLOOKUP(A350,Bookings!$A:$F,6,FALSE())</f>
        <v>Economy</v>
      </c>
      <c r="G350" s="6" t="str">
        <f t="array" ref="G350">IFERROR(INDEX(Flights!$E:$E,MATCH(B350,Flights!$A:$A,0)),"")</f>
        <v>Mumbai</v>
      </c>
      <c r="H350" s="6" t="str">
        <f>VLOOKUP(B350,Flights!A:H,6,FALSE())</f>
        <v>Hyderabad</v>
      </c>
      <c r="I350" s="6" t="str">
        <f t="array" ref="I350">IFERROR(INDEX(Bookings!$G:$G,MATCH(B350,Bookings!$B:$B,0)),"")</f>
        <v>1</v>
      </c>
      <c r="J350" s="5">
        <f>VLOOKUP(B350,Bookings!B:H,7,FALSE())</f>
        <v>14.58</v>
      </c>
      <c r="K350" s="5" t="str">
        <f t="shared" si="1"/>
        <v>Long</v>
      </c>
      <c r="L350" s="11">
        <f t="array" ref="L350">IFERROR(INDEX(Bookings!$K:$K,MATCH(A350,Bookings!$A:$A,0)),"")</f>
        <v>3282</v>
      </c>
      <c r="M350" s="5" t="str">
        <f t="shared" si="2"/>
        <v>Low</v>
      </c>
      <c r="N350" s="5">
        <f t="array" ref="N350">IFERROR(INDEX(Bookings!$I:$I,MATCH(A350,Bookings!$A:$A,0)),"")</f>
        <v>48</v>
      </c>
      <c r="O350" s="5" t="str">
        <f t="shared" si="3"/>
        <v>Advance</v>
      </c>
      <c r="P350" s="5" t="str">
        <f t="shared" si="4"/>
        <v>Mumbai -&gt; Hyderabad</v>
      </c>
    </row>
    <row r="351" ht="15.75" customHeight="1">
      <c r="A351" s="5" t="s">
        <v>1486</v>
      </c>
      <c r="B351" s="5" t="s">
        <v>1487</v>
      </c>
      <c r="C351" s="5" t="s">
        <v>276</v>
      </c>
      <c r="D351" s="5" t="s">
        <v>45</v>
      </c>
      <c r="E351" s="6" t="str">
        <f t="array" ref="E351">IFERROR(INDEX(Airlines!$B:$B,MATCH(D351,Airlines!$A:$A,0)),"")</f>
        <v>Air_India</v>
      </c>
      <c r="F351" s="6" t="str">
        <f>VLOOKUP(A351,Bookings!$A:$F,6,FALSE())</f>
        <v>Business</v>
      </c>
      <c r="G351" s="6" t="str">
        <f t="array" ref="G351">IFERROR(INDEX(Flights!$E:$E,MATCH(B351,Flights!$A:$A,0)),"")</f>
        <v>Mumbai</v>
      </c>
      <c r="H351" s="6" t="str">
        <f>VLOOKUP(B351,Flights!A:H,6,FALSE())</f>
        <v>Hyderabad</v>
      </c>
      <c r="I351" s="6" t="str">
        <f t="array" ref="I351">IFERROR(INDEX(Bookings!$G:$G,MATCH(B351,Bookings!$B:$B,0)),"")</f>
        <v>1</v>
      </c>
      <c r="J351" s="5">
        <f>VLOOKUP(B351,Bookings!B:H,7,FALSE())</f>
        <v>16.67</v>
      </c>
      <c r="K351" s="5" t="str">
        <f t="shared" si="1"/>
        <v>Long</v>
      </c>
      <c r="L351" s="11">
        <f t="array" ref="L351">IFERROR(INDEX(Bookings!$K:$K,MATCH(A351,Bookings!$A:$A,0)),"")</f>
        <v>38166</v>
      </c>
      <c r="M351" s="5" t="str">
        <f t="shared" si="2"/>
        <v>High</v>
      </c>
      <c r="N351" s="5">
        <f t="array" ref="N351">IFERROR(INDEX(Bookings!$I:$I,MATCH(A351,Bookings!$A:$A,0)),"")</f>
        <v>48</v>
      </c>
      <c r="O351" s="5" t="str">
        <f t="shared" si="3"/>
        <v>Advance</v>
      </c>
      <c r="P351" s="5" t="str">
        <f t="shared" si="4"/>
        <v>Mumbai -&gt; Hyderabad</v>
      </c>
    </row>
    <row r="352" ht="15.75" customHeight="1">
      <c r="A352" s="5" t="s">
        <v>1489</v>
      </c>
      <c r="B352" s="5" t="s">
        <v>1490</v>
      </c>
      <c r="C352" s="5" t="s">
        <v>276</v>
      </c>
      <c r="D352" s="5" t="s">
        <v>45</v>
      </c>
      <c r="E352" s="6" t="str">
        <f t="array" ref="E352">IFERROR(INDEX(Airlines!$B:$B,MATCH(D352,Airlines!$A:$A,0)),"")</f>
        <v>Air_India</v>
      </c>
      <c r="F352" s="6" t="str">
        <f>VLOOKUP(A352,Bookings!$A:$F,6,FALSE())</f>
        <v>Business</v>
      </c>
      <c r="G352" s="6" t="str">
        <f t="array" ref="G352">IFERROR(INDEX(Flights!$E:$E,MATCH(B352,Flights!$A:$A,0)),"")</f>
        <v>Mumbai</v>
      </c>
      <c r="H352" s="6" t="str">
        <f>VLOOKUP(B352,Flights!A:H,6,FALSE())</f>
        <v>Hyderabad</v>
      </c>
      <c r="I352" s="6" t="str">
        <f t="array" ref="I352">IFERROR(INDEX(Bookings!$G:$G,MATCH(B352,Bookings!$B:$B,0)),"")</f>
        <v>1</v>
      </c>
      <c r="J352" s="5">
        <f>VLOOKUP(B352,Bookings!B:H,7,FALSE())</f>
        <v>26.67</v>
      </c>
      <c r="K352" s="5" t="str">
        <f t="shared" si="1"/>
        <v>Long</v>
      </c>
      <c r="L352" s="11">
        <f t="array" ref="L352">IFERROR(INDEX(Bookings!$K:$K,MATCH(A352,Bookings!$A:$A,0)),"")</f>
        <v>32230</v>
      </c>
      <c r="M352" s="5" t="str">
        <f t="shared" si="2"/>
        <v>High</v>
      </c>
      <c r="N352" s="5">
        <f t="array" ref="N352">IFERROR(INDEX(Bookings!$I:$I,MATCH(A352,Bookings!$A:$A,0)),"")</f>
        <v>48</v>
      </c>
      <c r="O352" s="5" t="str">
        <f t="shared" si="3"/>
        <v>Advance</v>
      </c>
      <c r="P352" s="5" t="str">
        <f t="shared" si="4"/>
        <v>Mumbai -&gt; Hyderabad</v>
      </c>
    </row>
    <row r="353" ht="15.75" customHeight="1">
      <c r="A353" s="5" t="s">
        <v>1492</v>
      </c>
      <c r="B353" s="5" t="s">
        <v>207</v>
      </c>
      <c r="C353" s="5" t="s">
        <v>163</v>
      </c>
      <c r="D353" s="5" t="s">
        <v>43</v>
      </c>
      <c r="E353" s="6" t="str">
        <f t="array" ref="E353">IFERROR(INDEX(Airlines!$B:$B,MATCH(D353,Airlines!$A:$A,0)),"")</f>
        <v>Indigo</v>
      </c>
      <c r="F353" s="6" t="str">
        <f>VLOOKUP(A353,Bookings!$A:$F,6,FALSE())</f>
        <v>Economy</v>
      </c>
      <c r="G353" s="6" t="str">
        <f t="array" ref="G353">IFERROR(INDEX(Flights!$E:$E,MATCH(B353,Flights!$A:$A,0)),"")</f>
        <v>Mumbai</v>
      </c>
      <c r="H353" s="6" t="str">
        <f>VLOOKUP(B353,Flights!A:H,6,FALSE())</f>
        <v>Chennai</v>
      </c>
      <c r="I353" s="6" t="str">
        <f t="array" ref="I353">IFERROR(INDEX(Bookings!$G:$G,MATCH(B353,Bookings!$B:$B,0)),"")</f>
        <v>1</v>
      </c>
      <c r="J353" s="5">
        <f>VLOOKUP(B353,Bookings!B:H,7,FALSE())</f>
        <v>7.25</v>
      </c>
      <c r="K353" s="5" t="str">
        <f t="shared" si="1"/>
        <v>Medium</v>
      </c>
      <c r="L353" s="11">
        <f t="array" ref="L353">IFERROR(INDEX(Bookings!$K:$K,MATCH(A353,Bookings!$A:$A,0)),"")</f>
        <v>3734</v>
      </c>
      <c r="M353" s="5" t="str">
        <f t="shared" si="2"/>
        <v>Low</v>
      </c>
      <c r="N353" s="5">
        <f t="array" ref="N353">IFERROR(INDEX(Bookings!$I:$I,MATCH(A353,Bookings!$A:$A,0)),"")</f>
        <v>38</v>
      </c>
      <c r="O353" s="5" t="str">
        <f t="shared" si="3"/>
        <v>Advance</v>
      </c>
      <c r="P353" s="5" t="str">
        <f t="shared" si="4"/>
        <v>Mumbai -&gt; Chennai</v>
      </c>
    </row>
    <row r="354" ht="15.75" customHeight="1">
      <c r="A354" s="5" t="s">
        <v>1494</v>
      </c>
      <c r="B354" s="5" t="s">
        <v>223</v>
      </c>
      <c r="C354" s="5" t="s">
        <v>163</v>
      </c>
      <c r="D354" s="5" t="s">
        <v>45</v>
      </c>
      <c r="E354" s="6" t="str">
        <f t="array" ref="E354">IFERROR(INDEX(Airlines!$B:$B,MATCH(D354,Airlines!$A:$A,0)),"")</f>
        <v>Air_India</v>
      </c>
      <c r="F354" s="6" t="str">
        <f>VLOOKUP(A354,Bookings!$A:$F,6,FALSE())</f>
        <v>Economy</v>
      </c>
      <c r="G354" s="6" t="str">
        <f t="array" ref="G354">IFERROR(INDEX(Flights!$E:$E,MATCH(B354,Flights!$A:$A,0)),"")</f>
        <v>Mumbai</v>
      </c>
      <c r="H354" s="6" t="str">
        <f>VLOOKUP(B354,Flights!A:H,6,FALSE())</f>
        <v>Chennai</v>
      </c>
      <c r="I354" s="6" t="str">
        <f t="array" ref="I354">IFERROR(INDEX(Bookings!$G:$G,MATCH(B354,Bookings!$B:$B,0)),"")</f>
        <v>1</v>
      </c>
      <c r="J354" s="5">
        <f>VLOOKUP(B354,Bookings!B:H,7,FALSE())</f>
        <v>27.42</v>
      </c>
      <c r="K354" s="5" t="str">
        <f t="shared" si="1"/>
        <v>Long</v>
      </c>
      <c r="L354" s="11">
        <f t="array" ref="L354">IFERROR(INDEX(Bookings!$K:$K,MATCH(A354,Bookings!$A:$A,0)),"")</f>
        <v>9201</v>
      </c>
      <c r="M354" s="5" t="str">
        <f t="shared" si="2"/>
        <v>Medium</v>
      </c>
      <c r="N354" s="5">
        <f t="array" ref="N354">IFERROR(INDEX(Bookings!$I:$I,MATCH(A354,Bookings!$A:$A,0)),"")</f>
        <v>1</v>
      </c>
      <c r="O354" s="5" t="str">
        <f t="shared" si="3"/>
        <v>Last Minute</v>
      </c>
      <c r="P354" s="5" t="str">
        <f t="shared" si="4"/>
        <v>Mumbai -&gt; Chennai</v>
      </c>
    </row>
    <row r="355" ht="15.75" customHeight="1">
      <c r="A355" s="5" t="s">
        <v>1497</v>
      </c>
      <c r="B355" s="5" t="s">
        <v>169</v>
      </c>
      <c r="C355" s="5" t="s">
        <v>163</v>
      </c>
      <c r="D355" s="5" t="s">
        <v>45</v>
      </c>
      <c r="E355" s="6" t="str">
        <f t="array" ref="E355">IFERROR(INDEX(Airlines!$B:$B,MATCH(D355,Airlines!$A:$A,0)),"")</f>
        <v>Air_India</v>
      </c>
      <c r="F355" s="6" t="str">
        <f>VLOOKUP(A355,Bookings!$A:$F,6,FALSE())</f>
        <v>Business</v>
      </c>
      <c r="G355" s="6" t="str">
        <f t="array" ref="G355">IFERROR(INDEX(Flights!$E:$E,MATCH(B355,Flights!$A:$A,0)),"")</f>
        <v>Mumbai</v>
      </c>
      <c r="H355" s="6" t="str">
        <f>VLOOKUP(B355,Flights!A:H,6,FALSE())</f>
        <v>Chennai</v>
      </c>
      <c r="I355" s="6" t="str">
        <f t="array" ref="I355">IFERROR(INDEX(Bookings!$G:$G,MATCH(B355,Bookings!$B:$B,0)),"")</f>
        <v>1</v>
      </c>
      <c r="J355" s="5">
        <f>VLOOKUP(B355,Bookings!B:H,7,FALSE())</f>
        <v>17.33</v>
      </c>
      <c r="K355" s="5" t="str">
        <f t="shared" si="1"/>
        <v>Long</v>
      </c>
      <c r="L355" s="11">
        <f t="array" ref="L355">IFERROR(INDEX(Bookings!$K:$K,MATCH(A355,Bookings!$A:$A,0)),"")</f>
        <v>49613</v>
      </c>
      <c r="M355" s="5" t="str">
        <f t="shared" si="2"/>
        <v>High</v>
      </c>
      <c r="N355" s="5">
        <f t="array" ref="N355">IFERROR(INDEX(Bookings!$I:$I,MATCH(A355,Bookings!$A:$A,0)),"")</f>
        <v>34</v>
      </c>
      <c r="O355" s="5" t="str">
        <f t="shared" si="3"/>
        <v>Advance</v>
      </c>
      <c r="P355" s="5" t="str">
        <f t="shared" si="4"/>
        <v>Mumbai -&gt; Chennai</v>
      </c>
    </row>
    <row r="356" ht="15.75" customHeight="1">
      <c r="A356" s="5" t="s">
        <v>1500</v>
      </c>
      <c r="B356" s="5" t="s">
        <v>277</v>
      </c>
      <c r="C356" s="5" t="s">
        <v>163</v>
      </c>
      <c r="D356" s="5" t="s">
        <v>20</v>
      </c>
      <c r="E356" s="6" t="str">
        <f t="array" ref="E356">IFERROR(INDEX(Airlines!$B:$B,MATCH(D356,Airlines!$A:$A,0)),"")</f>
        <v>Vistara</v>
      </c>
      <c r="F356" s="6" t="str">
        <f>VLOOKUP(A356,Bookings!$A:$F,6,FALSE())</f>
        <v>Economy</v>
      </c>
      <c r="G356" s="6" t="str">
        <f t="array" ref="G356">IFERROR(INDEX(Flights!$E:$E,MATCH(B356,Flights!$A:$A,0)),"")</f>
        <v>Mumbai</v>
      </c>
      <c r="H356" s="6" t="str">
        <f>VLOOKUP(B356,Flights!A:H,6,FALSE())</f>
        <v>Chennai</v>
      </c>
      <c r="I356" s="6" t="str">
        <f t="array" ref="I356">IFERROR(INDEX(Bookings!$G:$G,MATCH(B356,Bookings!$B:$B,0)),"")</f>
        <v>1</v>
      </c>
      <c r="J356" s="5">
        <f>VLOOKUP(B356,Bookings!B:H,7,FALSE())</f>
        <v>27.92</v>
      </c>
      <c r="K356" s="5" t="str">
        <f t="shared" si="1"/>
        <v>Long</v>
      </c>
      <c r="L356" s="11">
        <f t="array" ref="L356">IFERROR(INDEX(Bookings!$K:$K,MATCH(A356,Bookings!$A:$A,0)),"")</f>
        <v>11843</v>
      </c>
      <c r="M356" s="5" t="str">
        <f t="shared" si="2"/>
        <v>Medium</v>
      </c>
      <c r="N356" s="5">
        <f t="array" ref="N356">IFERROR(INDEX(Bookings!$I:$I,MATCH(A356,Bookings!$A:$A,0)),"")</f>
        <v>1</v>
      </c>
      <c r="O356" s="5" t="str">
        <f t="shared" si="3"/>
        <v>Last Minute</v>
      </c>
      <c r="P356" s="5" t="str">
        <f t="shared" si="4"/>
        <v>Mumbai -&gt; Chennai</v>
      </c>
    </row>
    <row r="357" ht="15.75" customHeight="1">
      <c r="A357" s="5" t="s">
        <v>1502</v>
      </c>
      <c r="B357" s="5" t="s">
        <v>253</v>
      </c>
      <c r="C357" s="5" t="s">
        <v>163</v>
      </c>
      <c r="D357" s="5" t="s">
        <v>43</v>
      </c>
      <c r="E357" s="6" t="str">
        <f t="array" ref="E357">IFERROR(INDEX(Airlines!$B:$B,MATCH(D357,Airlines!$A:$A,0)),"")</f>
        <v>Indigo</v>
      </c>
      <c r="F357" s="6" t="str">
        <f>VLOOKUP(A357,Bookings!$A:$F,6,FALSE())</f>
        <v>Economy</v>
      </c>
      <c r="G357" s="6" t="str">
        <f t="array" ref="G357">IFERROR(INDEX(Flights!$E:$E,MATCH(B357,Flights!$A:$A,0)),"")</f>
        <v>Mumbai</v>
      </c>
      <c r="H357" s="6" t="str">
        <f>VLOOKUP(B357,Flights!A:H,6,FALSE())</f>
        <v>Chennai</v>
      </c>
      <c r="I357" s="6">
        <f t="array" ref="I357">IFERROR(INDEX(Bookings!$G:$G,MATCH(B357,Bookings!$B:$B,0)),"")</f>
        <v>1</v>
      </c>
      <c r="J357" s="5">
        <f>VLOOKUP(B357,Bookings!B:H,7,FALSE())</f>
        <v>7.42</v>
      </c>
      <c r="K357" s="5" t="str">
        <f t="shared" si="1"/>
        <v>Medium</v>
      </c>
      <c r="L357" s="11">
        <f t="array" ref="L357">IFERROR(INDEX(Bookings!$K:$K,MATCH(A357,Bookings!$A:$A,0)),"")</f>
        <v>2730</v>
      </c>
      <c r="M357" s="5" t="str">
        <f t="shared" si="2"/>
        <v>Low</v>
      </c>
      <c r="N357" s="5">
        <f t="array" ref="N357">IFERROR(INDEX(Bookings!$I:$I,MATCH(A357,Bookings!$A:$A,0)),"")</f>
        <v>38</v>
      </c>
      <c r="O357" s="5" t="str">
        <f t="shared" si="3"/>
        <v>Advance</v>
      </c>
      <c r="P357" s="5" t="str">
        <f t="shared" si="4"/>
        <v>Mumbai -&gt; Chennai</v>
      </c>
    </row>
    <row r="358" ht="15.75" customHeight="1">
      <c r="A358" s="5" t="s">
        <v>1503</v>
      </c>
      <c r="B358" s="5" t="s">
        <v>166</v>
      </c>
      <c r="C358" s="5" t="s">
        <v>163</v>
      </c>
      <c r="D358" s="5" t="s">
        <v>20</v>
      </c>
      <c r="E358" s="6" t="str">
        <f t="array" ref="E358">IFERROR(INDEX(Airlines!$B:$B,MATCH(D358,Airlines!$A:$A,0)),"")</f>
        <v>Vistara</v>
      </c>
      <c r="F358" s="6" t="str">
        <f>VLOOKUP(A358,Bookings!$A:$F,6,FALSE())</f>
        <v>Business</v>
      </c>
      <c r="G358" s="6" t="str">
        <f t="array" ref="G358">IFERROR(INDEX(Flights!$E:$E,MATCH(B358,Flights!$A:$A,0)),"")</f>
        <v>Mumbai</v>
      </c>
      <c r="H358" s="6" t="str">
        <f>VLOOKUP(B358,Flights!A:H,6,FALSE())</f>
        <v>Chennai</v>
      </c>
      <c r="I358" s="6" t="str">
        <f t="array" ref="I358">IFERROR(INDEX(Bookings!$G:$G,MATCH(B358,Bookings!$B:$B,0)),"")</f>
        <v>1</v>
      </c>
      <c r="J358" s="5">
        <f>VLOOKUP(B358,Bookings!B:H,7,FALSE())</f>
        <v>8.08</v>
      </c>
      <c r="K358" s="5" t="str">
        <f t="shared" si="1"/>
        <v>Medium</v>
      </c>
      <c r="L358" s="11">
        <f t="array" ref="L358">IFERROR(INDEX(Bookings!$K:$K,MATCH(A358,Bookings!$A:$A,0)),"")</f>
        <v>69885</v>
      </c>
      <c r="M358" s="5" t="str">
        <f t="shared" si="2"/>
        <v>High</v>
      </c>
      <c r="N358" s="5">
        <f t="array" ref="N358">IFERROR(INDEX(Bookings!$I:$I,MATCH(A358,Bookings!$A:$A,0)),"")</f>
        <v>34</v>
      </c>
      <c r="O358" s="5" t="str">
        <f t="shared" si="3"/>
        <v>Advance</v>
      </c>
      <c r="P358" s="5" t="str">
        <f t="shared" si="4"/>
        <v>Mumbai -&gt; Chennai</v>
      </c>
    </row>
    <row r="359" ht="15.75" customHeight="1">
      <c r="A359" s="5" t="s">
        <v>1505</v>
      </c>
      <c r="B359" s="5" t="s">
        <v>196</v>
      </c>
      <c r="C359" s="5" t="s">
        <v>163</v>
      </c>
      <c r="D359" s="5" t="s">
        <v>72</v>
      </c>
      <c r="E359" s="6" t="str">
        <f t="array" ref="E359">IFERROR(INDEX(Airlines!$B:$B,MATCH(D359,Airlines!$A:$A,0)),"")</f>
        <v>Spicejet</v>
      </c>
      <c r="F359" s="6" t="str">
        <f>VLOOKUP(A359,Bookings!$A:$F,6,FALSE())</f>
        <v>Economy</v>
      </c>
      <c r="G359" s="6" t="str">
        <f t="array" ref="G359">IFERROR(INDEX(Flights!$E:$E,MATCH(B359,Flights!$A:$A,0)),"")</f>
        <v>Mumbai</v>
      </c>
      <c r="H359" s="6" t="str">
        <f>VLOOKUP(B359,Flights!A:H,6,FALSE())</f>
        <v>Chennai</v>
      </c>
      <c r="I359" s="6" t="str">
        <f t="array" ref="I359">IFERROR(INDEX(Bookings!$G:$G,MATCH(B359,Bookings!$B:$B,0)),"")</f>
        <v>0</v>
      </c>
      <c r="J359" s="5">
        <f>VLOOKUP(B359,Bookings!B:H,7,FALSE())</f>
        <v>1.83</v>
      </c>
      <c r="K359" s="5" t="str">
        <f t="shared" si="1"/>
        <v>Short</v>
      </c>
      <c r="L359" s="11">
        <f t="array" ref="L359">IFERROR(INDEX(Bookings!$K:$K,MATCH(A359,Bookings!$A:$A,0)),"")</f>
        <v>14238</v>
      </c>
      <c r="M359" s="5" t="str">
        <f t="shared" si="2"/>
        <v>Medium</v>
      </c>
      <c r="N359" s="5">
        <f t="array" ref="N359">IFERROR(INDEX(Bookings!$I:$I,MATCH(A359,Bookings!$A:$A,0)),"")</f>
        <v>1</v>
      </c>
      <c r="O359" s="5" t="str">
        <f t="shared" si="3"/>
        <v>Last Minute</v>
      </c>
      <c r="P359" s="5" t="str">
        <f t="shared" si="4"/>
        <v>Mumbai -&gt; Chennai</v>
      </c>
    </row>
    <row r="360" ht="15.75" customHeight="1">
      <c r="A360" s="5" t="s">
        <v>1506</v>
      </c>
      <c r="B360" s="5" t="s">
        <v>258</v>
      </c>
      <c r="C360" s="5" t="s">
        <v>163</v>
      </c>
      <c r="D360" s="5" t="s">
        <v>43</v>
      </c>
      <c r="E360" s="6" t="str">
        <f t="array" ref="E360">IFERROR(INDEX(Airlines!$B:$B,MATCH(D360,Airlines!$A:$A,0)),"")</f>
        <v>Indigo</v>
      </c>
      <c r="F360" s="6" t="str">
        <f>VLOOKUP(A360,Bookings!$A:$F,6,FALSE())</f>
        <v>Economy</v>
      </c>
      <c r="G360" s="6" t="str">
        <f t="array" ref="G360">IFERROR(INDEX(Flights!$E:$E,MATCH(B360,Flights!$A:$A,0)),"")</f>
        <v>Mumbai</v>
      </c>
      <c r="H360" s="6" t="str">
        <f>VLOOKUP(B360,Flights!A:H,6,FALSE())</f>
        <v>Chennai</v>
      </c>
      <c r="I360" s="6" t="str">
        <f t="array" ref="I360">IFERROR(INDEX(Bookings!$G:$G,MATCH(B360,Bookings!$B:$B,0)),"")</f>
        <v>1</v>
      </c>
      <c r="J360" s="5">
        <f>VLOOKUP(B360,Bookings!B:H,7,FALSE())</f>
        <v>4.33</v>
      </c>
      <c r="K360" s="5" t="str">
        <f t="shared" si="1"/>
        <v>Medium</v>
      </c>
      <c r="L360" s="11">
        <f t="array" ref="L360">IFERROR(INDEX(Bookings!$K:$K,MATCH(A360,Bookings!$A:$A,0)),"")</f>
        <v>8411</v>
      </c>
      <c r="M360" s="5" t="str">
        <f t="shared" si="2"/>
        <v>Medium</v>
      </c>
      <c r="N360" s="5">
        <f t="array" ref="N360">IFERROR(INDEX(Bookings!$I:$I,MATCH(A360,Bookings!$A:$A,0)),"")</f>
        <v>14</v>
      </c>
      <c r="O360" s="5" t="str">
        <f t="shared" si="3"/>
        <v>Short Notice</v>
      </c>
      <c r="P360" s="5" t="str">
        <f t="shared" si="4"/>
        <v>Mumbai -&gt; Chennai</v>
      </c>
    </row>
    <row r="361" ht="15.75" customHeight="1">
      <c r="A361" s="5" t="s">
        <v>1508</v>
      </c>
      <c r="B361" s="5" t="s">
        <v>201</v>
      </c>
      <c r="C361" s="5" t="s">
        <v>163</v>
      </c>
      <c r="D361" s="5" t="s">
        <v>20</v>
      </c>
      <c r="E361" s="6" t="str">
        <f t="array" ref="E361">IFERROR(INDEX(Airlines!$B:$B,MATCH(D361,Airlines!$A:$A,0)),"")</f>
        <v>Vistara</v>
      </c>
      <c r="F361" s="6" t="str">
        <f>VLOOKUP(A361,Bookings!$A:$F,6,FALSE())</f>
        <v>Economy</v>
      </c>
      <c r="G361" s="6" t="str">
        <f t="array" ref="G361">IFERROR(INDEX(Flights!$E:$E,MATCH(B361,Flights!$A:$A,0)),"")</f>
        <v>Mumbai</v>
      </c>
      <c r="H361" s="6" t="str">
        <f>VLOOKUP(B361,Flights!A:H,6,FALSE())</f>
        <v>Chennai</v>
      </c>
      <c r="I361" s="6" t="str">
        <f t="array" ref="I361">IFERROR(INDEX(Bookings!$G:$G,MATCH(B361,Bookings!$B:$B,0)),"")</f>
        <v>1</v>
      </c>
      <c r="J361" s="5">
        <f>VLOOKUP(B361,Bookings!B:H,7,FALSE())</f>
        <v>15.42</v>
      </c>
      <c r="K361" s="5" t="str">
        <f t="shared" si="1"/>
        <v>Long</v>
      </c>
      <c r="L361" s="11">
        <f t="array" ref="L361">IFERROR(INDEX(Bookings!$K:$K,MATCH(A361,Bookings!$A:$A,0)),"")</f>
        <v>3998</v>
      </c>
      <c r="M361" s="5" t="str">
        <f t="shared" si="2"/>
        <v>Low</v>
      </c>
      <c r="N361" s="5">
        <f t="array" ref="N361">IFERROR(INDEX(Bookings!$I:$I,MATCH(A361,Bookings!$A:$A,0)),"")</f>
        <v>47</v>
      </c>
      <c r="O361" s="5" t="str">
        <f t="shared" si="3"/>
        <v>Advance</v>
      </c>
      <c r="P361" s="5" t="str">
        <f t="shared" si="4"/>
        <v>Mumbai -&gt; Chennai</v>
      </c>
    </row>
    <row r="362" ht="15.75" customHeight="1">
      <c r="A362" s="5" t="s">
        <v>1510</v>
      </c>
      <c r="B362" s="5" t="s">
        <v>175</v>
      </c>
      <c r="C362" s="5" t="s">
        <v>163</v>
      </c>
      <c r="D362" s="5" t="s">
        <v>43</v>
      </c>
      <c r="E362" s="6" t="str">
        <f t="array" ref="E362">IFERROR(INDEX(Airlines!$B:$B,MATCH(D362,Airlines!$A:$A,0)),"")</f>
        <v>Indigo</v>
      </c>
      <c r="F362" s="6" t="str">
        <f>VLOOKUP(A362,Bookings!$A:$F,6,FALSE())</f>
        <v>Economy</v>
      </c>
      <c r="G362" s="6" t="str">
        <f t="array" ref="G362">IFERROR(INDEX(Flights!$E:$E,MATCH(B362,Flights!$A:$A,0)),"")</f>
        <v>Mumbai</v>
      </c>
      <c r="H362" s="6" t="str">
        <f>VLOOKUP(B362,Flights!A:H,6,FALSE())</f>
        <v>Chennai</v>
      </c>
      <c r="I362" s="6" t="str">
        <f t="array" ref="I362">IFERROR(INDEX(Bookings!$G:$G,MATCH(B362,Bookings!$B:$B,0)),"")</f>
        <v>1</v>
      </c>
      <c r="J362" s="5">
        <f>VLOOKUP(B362,Bookings!B:H,7,FALSE())</f>
        <v>4.75</v>
      </c>
      <c r="K362" s="5" t="str">
        <f t="shared" si="1"/>
        <v>Medium</v>
      </c>
      <c r="L362" s="11">
        <f t="array" ref="L362">IFERROR(INDEX(Bookings!$K:$K,MATCH(A362,Bookings!$A:$A,0)),"")</f>
        <v>5467</v>
      </c>
      <c r="M362" s="5" t="str">
        <f t="shared" si="2"/>
        <v>Medium</v>
      </c>
      <c r="N362" s="5">
        <f t="array" ref="N362">IFERROR(INDEX(Bookings!$I:$I,MATCH(A362,Bookings!$A:$A,0)),"")</f>
        <v>38</v>
      </c>
      <c r="O362" s="5" t="str">
        <f t="shared" si="3"/>
        <v>Advance</v>
      </c>
      <c r="P362" s="5" t="str">
        <f t="shared" si="4"/>
        <v>Mumbai -&gt; Chennai</v>
      </c>
    </row>
    <row r="363" ht="15.75" customHeight="1">
      <c r="A363" s="5" t="s">
        <v>1512</v>
      </c>
      <c r="B363" s="5" t="s">
        <v>273</v>
      </c>
      <c r="C363" s="5" t="s">
        <v>163</v>
      </c>
      <c r="D363" s="5" t="s">
        <v>20</v>
      </c>
      <c r="E363" s="6" t="str">
        <f t="array" ref="E363">IFERROR(INDEX(Airlines!$B:$B,MATCH(D363,Airlines!$A:$A,0)),"")</f>
        <v>Vistara</v>
      </c>
      <c r="F363" s="6" t="str">
        <f>VLOOKUP(A363,Bookings!$A:$F,6,FALSE())</f>
        <v>Economy</v>
      </c>
      <c r="G363" s="6" t="str">
        <f t="array" ref="G363">IFERROR(INDEX(Flights!$E:$E,MATCH(B363,Flights!$A:$A,0)),"")</f>
        <v>Mumbai</v>
      </c>
      <c r="H363" s="6" t="str">
        <f>VLOOKUP(B363,Flights!A:H,6,FALSE())</f>
        <v>Chennai</v>
      </c>
      <c r="I363" s="6" t="str">
        <f t="array" ref="I363">IFERROR(INDEX(Bookings!$G:$G,MATCH(B363,Bookings!$B:$B,0)),"")</f>
        <v>2+</v>
      </c>
      <c r="J363" s="5">
        <f>VLOOKUP(B363,Bookings!B:H,7,FALSE())</f>
        <v>31.25</v>
      </c>
      <c r="K363" s="5" t="str">
        <f t="shared" si="1"/>
        <v>Long</v>
      </c>
      <c r="L363" s="11">
        <f t="array" ref="L363">IFERROR(INDEX(Bookings!$K:$K,MATCH(A363,Bookings!$A:$A,0)),"")</f>
        <v>19235</v>
      </c>
      <c r="M363" s="5" t="str">
        <f t="shared" si="2"/>
        <v>High</v>
      </c>
      <c r="N363" s="5">
        <f t="array" ref="N363">IFERROR(INDEX(Bookings!$I:$I,MATCH(A363,Bookings!$A:$A,0)),"")</f>
        <v>1</v>
      </c>
      <c r="O363" s="5" t="str">
        <f t="shared" si="3"/>
        <v>Last Minute</v>
      </c>
      <c r="P363" s="5" t="str">
        <f t="shared" si="4"/>
        <v>Mumbai -&gt; Chennai</v>
      </c>
    </row>
    <row r="364" ht="15.75" customHeight="1">
      <c r="A364" s="5" t="s">
        <v>1515</v>
      </c>
      <c r="B364" s="5" t="s">
        <v>230</v>
      </c>
      <c r="C364" s="5" t="s">
        <v>163</v>
      </c>
      <c r="D364" s="5" t="s">
        <v>20</v>
      </c>
      <c r="E364" s="6" t="str">
        <f t="array" ref="E364">IFERROR(INDEX(Airlines!$B:$B,MATCH(D364,Airlines!$A:$A,0)),"")</f>
        <v>Vistara</v>
      </c>
      <c r="F364" s="6" t="str">
        <f>VLOOKUP(A364,Bookings!$A:$F,6,FALSE())</f>
        <v>Economy</v>
      </c>
      <c r="G364" s="6" t="str">
        <f t="array" ref="G364">IFERROR(INDEX(Flights!$E:$E,MATCH(B364,Flights!$A:$A,0)),"")</f>
        <v>Mumbai</v>
      </c>
      <c r="H364" s="6" t="str">
        <f>VLOOKUP(B364,Flights!A:H,6,FALSE())</f>
        <v>Chennai</v>
      </c>
      <c r="I364" s="6" t="str">
        <f t="array" ref="I364">IFERROR(INDEX(Bookings!$G:$G,MATCH(B364,Bookings!$B:$B,0)),"")</f>
        <v>2+</v>
      </c>
      <c r="J364" s="5">
        <f>VLOOKUP(B364,Bookings!B:H,7,FALSE())</f>
        <v>37.25</v>
      </c>
      <c r="K364" s="5" t="str">
        <f t="shared" si="1"/>
        <v>Long</v>
      </c>
      <c r="L364" s="11">
        <f t="array" ref="L364">IFERROR(INDEX(Bookings!$K:$K,MATCH(A364,Bookings!$A:$A,0)),"")</f>
        <v>20285</v>
      </c>
      <c r="M364" s="5" t="str">
        <f t="shared" si="2"/>
        <v>High</v>
      </c>
      <c r="N364" s="5">
        <f t="array" ref="N364">IFERROR(INDEX(Bookings!$I:$I,MATCH(A364,Bookings!$A:$A,0)),"")</f>
        <v>1</v>
      </c>
      <c r="O364" s="5" t="str">
        <f t="shared" si="3"/>
        <v>Last Minute</v>
      </c>
      <c r="P364" s="5" t="str">
        <f t="shared" si="4"/>
        <v>Mumbai -&gt; Chennai</v>
      </c>
    </row>
    <row r="365" ht="15.75" customHeight="1">
      <c r="A365" s="5" t="s">
        <v>1517</v>
      </c>
      <c r="B365" s="5" t="s">
        <v>181</v>
      </c>
      <c r="C365" s="5" t="s">
        <v>163</v>
      </c>
      <c r="D365" s="5" t="s">
        <v>20</v>
      </c>
      <c r="E365" s="6" t="str">
        <f t="array" ref="E365">IFERROR(INDEX(Airlines!$B:$B,MATCH(D365,Airlines!$A:$A,0)),"")</f>
        <v>Vistara</v>
      </c>
      <c r="F365" s="6" t="str">
        <f>VLOOKUP(A365,Bookings!$A:$F,6,FALSE())</f>
        <v>Business</v>
      </c>
      <c r="G365" s="6" t="str">
        <f t="array" ref="G365">IFERROR(INDEX(Flights!$E:$E,MATCH(B365,Flights!$A:$A,0)),"")</f>
        <v>Mumbai</v>
      </c>
      <c r="H365" s="6" t="str">
        <f>VLOOKUP(B365,Flights!A:H,6,FALSE())</f>
        <v>Chennai</v>
      </c>
      <c r="I365" s="6" t="str">
        <f t="array" ref="I365">IFERROR(INDEX(Bookings!$G:$G,MATCH(B365,Bookings!$B:$B,0)),"")</f>
        <v>1</v>
      </c>
      <c r="J365" s="5">
        <f>VLOOKUP(B365,Bookings!B:H,7,FALSE())</f>
        <v>8.33</v>
      </c>
      <c r="K365" s="5" t="str">
        <f t="shared" si="1"/>
        <v>Medium</v>
      </c>
      <c r="L365" s="11">
        <f t="array" ref="L365">IFERROR(INDEX(Bookings!$K:$K,MATCH(A365,Bookings!$A:$A,0)),"")</f>
        <v>61933</v>
      </c>
      <c r="M365" s="5" t="str">
        <f t="shared" si="2"/>
        <v>High</v>
      </c>
      <c r="N365" s="5">
        <f t="array" ref="N365">IFERROR(INDEX(Bookings!$I:$I,MATCH(A365,Bookings!$A:$A,0)),"")</f>
        <v>34</v>
      </c>
      <c r="O365" s="5" t="str">
        <f t="shared" si="3"/>
        <v>Advance</v>
      </c>
      <c r="P365" s="5" t="str">
        <f t="shared" si="4"/>
        <v>Mumbai -&gt; Chennai</v>
      </c>
    </row>
    <row r="366" ht="15.75" customHeight="1">
      <c r="A366" s="5" t="s">
        <v>1519</v>
      </c>
      <c r="B366" s="5" t="s">
        <v>218</v>
      </c>
      <c r="C366" s="5" t="s">
        <v>163</v>
      </c>
      <c r="D366" s="5" t="s">
        <v>20</v>
      </c>
      <c r="E366" s="6" t="str">
        <f t="array" ref="E366">IFERROR(INDEX(Airlines!$B:$B,MATCH(D366,Airlines!$A:$A,0)),"")</f>
        <v>Vistara</v>
      </c>
      <c r="F366" s="6" t="str">
        <f>VLOOKUP(A366,Bookings!$A:$F,6,FALSE())</f>
        <v>Economy</v>
      </c>
      <c r="G366" s="6" t="str">
        <f t="array" ref="G366">IFERROR(INDEX(Flights!$E:$E,MATCH(B366,Flights!$A:$A,0)),"")</f>
        <v>Mumbai</v>
      </c>
      <c r="H366" s="6" t="str">
        <f>VLOOKUP(B366,Flights!A:H,6,FALSE())</f>
        <v>Chennai</v>
      </c>
      <c r="I366" s="6" t="str">
        <f t="array" ref="I366">IFERROR(INDEX(Bookings!$G:$G,MATCH(B366,Bookings!$B:$B,0)),"")</f>
        <v>1</v>
      </c>
      <c r="J366" s="5">
        <f>VLOOKUP(B366,Bookings!B:H,7,FALSE())</f>
        <v>13.25</v>
      </c>
      <c r="K366" s="5" t="str">
        <f t="shared" si="1"/>
        <v>Long</v>
      </c>
      <c r="L366" s="11">
        <f t="array" ref="L366">IFERROR(INDEX(Bookings!$K:$K,MATCH(A366,Bookings!$A:$A,0)),"")</f>
        <v>13182</v>
      </c>
      <c r="M366" s="5" t="str">
        <f t="shared" si="2"/>
        <v>Medium</v>
      </c>
      <c r="N366" s="5">
        <f t="array" ref="N366">IFERROR(INDEX(Bookings!$I:$I,MATCH(A366,Bookings!$A:$A,0)),"")</f>
        <v>2</v>
      </c>
      <c r="O366" s="5" t="str">
        <f t="shared" si="3"/>
        <v>Last Minute</v>
      </c>
      <c r="P366" s="5" t="str">
        <f t="shared" si="4"/>
        <v>Mumbai -&gt; Chennai</v>
      </c>
    </row>
    <row r="367" ht="15.75" customHeight="1">
      <c r="A367" s="5" t="s">
        <v>1522</v>
      </c>
      <c r="B367" s="5" t="s">
        <v>257</v>
      </c>
      <c r="C367" s="5" t="s">
        <v>163</v>
      </c>
      <c r="D367" s="5" t="s">
        <v>45</v>
      </c>
      <c r="E367" s="6" t="str">
        <f t="array" ref="E367">IFERROR(INDEX(Airlines!$B:$B,MATCH(D367,Airlines!$A:$A,0)),"")</f>
        <v>Air_India</v>
      </c>
      <c r="F367" s="6" t="str">
        <f>VLOOKUP(A367,Bookings!$A:$F,6,FALSE())</f>
        <v>Economy</v>
      </c>
      <c r="G367" s="6" t="str">
        <f t="array" ref="G367">IFERROR(INDEX(Flights!$E:$E,MATCH(B367,Flights!$A:$A,0)),"")</f>
        <v>Mumbai</v>
      </c>
      <c r="H367" s="6" t="str">
        <f>VLOOKUP(B367,Flights!A:H,6,FALSE())</f>
        <v>Chennai</v>
      </c>
      <c r="I367" s="6" t="str">
        <f t="array" ref="I367">IFERROR(INDEX(Bookings!$G:$G,MATCH(B367,Bookings!$B:$B,0)),"")</f>
        <v>1</v>
      </c>
      <c r="J367" s="5">
        <f>VLOOKUP(B367,Bookings!B:H,7,FALSE())</f>
        <v>28.67</v>
      </c>
      <c r="K367" s="5" t="str">
        <f t="shared" si="1"/>
        <v>Long</v>
      </c>
      <c r="L367" s="11">
        <f t="array" ref="L367">IFERROR(INDEX(Bookings!$K:$K,MATCH(A367,Bookings!$A:$A,0)),"")</f>
        <v>4417</v>
      </c>
      <c r="M367" s="5" t="str">
        <f t="shared" si="2"/>
        <v>Low</v>
      </c>
      <c r="N367" s="5">
        <f t="array" ref="N367">IFERROR(INDEX(Bookings!$I:$I,MATCH(A367,Bookings!$A:$A,0)),"")</f>
        <v>48</v>
      </c>
      <c r="O367" s="5" t="str">
        <f t="shared" si="3"/>
        <v>Advance</v>
      </c>
      <c r="P367" s="5" t="str">
        <f t="shared" si="4"/>
        <v>Mumbai -&gt; Chennai</v>
      </c>
    </row>
    <row r="368" ht="15.75" customHeight="1">
      <c r="A368" s="5" t="s">
        <v>1524</v>
      </c>
      <c r="B368" s="5" t="s">
        <v>270</v>
      </c>
      <c r="C368" s="5" t="s">
        <v>163</v>
      </c>
      <c r="D368" s="5" t="s">
        <v>43</v>
      </c>
      <c r="E368" s="6" t="str">
        <f t="array" ref="E368">IFERROR(INDEX(Airlines!$B:$B,MATCH(D368,Airlines!$A:$A,0)),"")</f>
        <v>Indigo</v>
      </c>
      <c r="F368" s="6" t="str">
        <f>VLOOKUP(A368,Bookings!$A:$F,6,FALSE())</f>
        <v>Economy</v>
      </c>
      <c r="G368" s="6" t="str">
        <f t="array" ref="G368">IFERROR(INDEX(Flights!$E:$E,MATCH(B368,Flights!$A:$A,0)),"")</f>
        <v>Mumbai</v>
      </c>
      <c r="H368" s="6" t="str">
        <f>VLOOKUP(B368,Flights!A:H,6,FALSE())</f>
        <v>Chennai</v>
      </c>
      <c r="I368" s="6" t="str">
        <f t="array" ref="I368">IFERROR(INDEX(Bookings!$G:$G,MATCH(B368,Bookings!$B:$B,0)),"")</f>
        <v>0</v>
      </c>
      <c r="J368" s="5">
        <f>VLOOKUP(B368,Bookings!B:H,7,FALSE())</f>
        <v>2</v>
      </c>
      <c r="K368" s="5" t="str">
        <f t="shared" si="1"/>
        <v>Short</v>
      </c>
      <c r="L368" s="11">
        <f t="array" ref="L368">IFERROR(INDEX(Bookings!$K:$K,MATCH(A368,Bookings!$A:$A,0)),"")</f>
        <v>3633</v>
      </c>
      <c r="M368" s="5" t="str">
        <f t="shared" si="2"/>
        <v>Low</v>
      </c>
      <c r="N368" s="5">
        <f t="array" ref="N368">IFERROR(INDEX(Bookings!$I:$I,MATCH(A368,Bookings!$A:$A,0)),"")</f>
        <v>39</v>
      </c>
      <c r="O368" s="5" t="str">
        <f t="shared" si="3"/>
        <v>Advance</v>
      </c>
      <c r="P368" s="5" t="str">
        <f t="shared" si="4"/>
        <v>Mumbai -&gt; Chennai</v>
      </c>
    </row>
    <row r="369" ht="15.75" customHeight="1">
      <c r="A369" s="5" t="s">
        <v>1526</v>
      </c>
      <c r="B369" s="5" t="s">
        <v>184</v>
      </c>
      <c r="C369" s="5" t="s">
        <v>163</v>
      </c>
      <c r="D369" s="5" t="s">
        <v>45</v>
      </c>
      <c r="E369" s="6" t="str">
        <f t="array" ref="E369">IFERROR(INDEX(Airlines!$B:$B,MATCH(D369,Airlines!$A:$A,0)),"")</f>
        <v>Air_India</v>
      </c>
      <c r="F369" s="6" t="str">
        <f>VLOOKUP(A369,Bookings!$A:$F,6,FALSE())</f>
        <v>Business</v>
      </c>
      <c r="G369" s="6" t="str">
        <f t="array" ref="G369">IFERROR(INDEX(Flights!$E:$E,MATCH(B369,Flights!$A:$A,0)),"")</f>
        <v>Mumbai</v>
      </c>
      <c r="H369" s="6" t="str">
        <f>VLOOKUP(B369,Flights!A:H,6,FALSE())</f>
        <v>Chennai</v>
      </c>
      <c r="I369" s="6" t="str">
        <f t="array" ref="I369">IFERROR(INDEX(Bookings!$G:$G,MATCH(B369,Bookings!$B:$B,0)),"")</f>
        <v>1</v>
      </c>
      <c r="J369" s="5">
        <f>VLOOKUP(B369,Bookings!B:H,7,FALSE())</f>
        <v>13.33</v>
      </c>
      <c r="K369" s="5" t="str">
        <f t="shared" si="1"/>
        <v>Long</v>
      </c>
      <c r="L369" s="11">
        <f t="array" ref="L369">IFERROR(INDEX(Bookings!$K:$K,MATCH(A369,Bookings!$A:$A,0)),"")</f>
        <v>69407</v>
      </c>
      <c r="M369" s="5" t="str">
        <f t="shared" si="2"/>
        <v>High</v>
      </c>
      <c r="N369" s="5">
        <f t="array" ref="N369">IFERROR(INDEX(Bookings!$I:$I,MATCH(A369,Bookings!$A:$A,0)),"")</f>
        <v>5</v>
      </c>
      <c r="O369" s="5" t="str">
        <f t="shared" si="3"/>
        <v>Last Minute</v>
      </c>
      <c r="P369" s="5" t="str">
        <f t="shared" si="4"/>
        <v>Mumbai -&gt; Chennai</v>
      </c>
    </row>
    <row r="370" ht="15.75" customHeight="1">
      <c r="A370" s="5" t="s">
        <v>1528</v>
      </c>
      <c r="B370" s="5" t="s">
        <v>189</v>
      </c>
      <c r="C370" s="5" t="s">
        <v>163</v>
      </c>
      <c r="D370" s="5" t="s">
        <v>45</v>
      </c>
      <c r="E370" s="6" t="str">
        <f t="array" ref="E370">IFERROR(INDEX(Airlines!$B:$B,MATCH(D370,Airlines!$A:$A,0)),"")</f>
        <v>Air_India</v>
      </c>
      <c r="F370" s="6" t="str">
        <f>VLOOKUP(A370,Bookings!$A:$F,6,FALSE())</f>
        <v>Economy</v>
      </c>
      <c r="G370" s="6" t="str">
        <f t="array" ref="G370">IFERROR(INDEX(Flights!$E:$E,MATCH(B370,Flights!$A:$A,0)),"")</f>
        <v>Mumbai</v>
      </c>
      <c r="H370" s="6" t="str">
        <f>VLOOKUP(B370,Flights!A:H,6,FALSE())</f>
        <v>Chennai</v>
      </c>
      <c r="I370" s="6" t="str">
        <f t="array" ref="I370">IFERROR(INDEX(Bookings!$G:$G,MATCH(B370,Bookings!$B:$B,0)),"")</f>
        <v>1</v>
      </c>
      <c r="J370" s="5">
        <f>VLOOKUP(B370,Bookings!B:H,7,FALSE())</f>
        <v>13.58</v>
      </c>
      <c r="K370" s="5" t="str">
        <f t="shared" si="1"/>
        <v>Long</v>
      </c>
      <c r="L370" s="11">
        <f t="array" ref="L370">IFERROR(INDEX(Bookings!$K:$K,MATCH(A370,Bookings!$A:$A,0)),"")</f>
        <v>4417</v>
      </c>
      <c r="M370" s="5" t="str">
        <f t="shared" si="2"/>
        <v>Low</v>
      </c>
      <c r="N370" s="5">
        <f t="array" ref="N370">IFERROR(INDEX(Bookings!$I:$I,MATCH(A370,Bookings!$A:$A,0)),"")</f>
        <v>46</v>
      </c>
      <c r="O370" s="5" t="str">
        <f t="shared" si="3"/>
        <v>Advance</v>
      </c>
      <c r="P370" s="5" t="str">
        <f t="shared" si="4"/>
        <v>Mumbai -&gt; Chennai</v>
      </c>
    </row>
    <row r="371" ht="15.75" customHeight="1">
      <c r="A371" s="5" t="s">
        <v>1530</v>
      </c>
      <c r="B371" s="5" t="s">
        <v>240</v>
      </c>
      <c r="C371" s="5" t="s">
        <v>163</v>
      </c>
      <c r="D371" s="5" t="s">
        <v>20</v>
      </c>
      <c r="E371" s="6" t="str">
        <f t="array" ref="E371">IFERROR(INDEX(Airlines!$B:$B,MATCH(D371,Airlines!$A:$A,0)),"")</f>
        <v>Vistara</v>
      </c>
      <c r="F371" s="6" t="str">
        <f>VLOOKUP(A371,Bookings!$A:$F,6,FALSE())</f>
        <v>Economy</v>
      </c>
      <c r="G371" s="6" t="str">
        <f t="array" ref="G371">IFERROR(INDEX(Flights!$E:$E,MATCH(B371,Flights!$A:$A,0)),"")</f>
        <v>Mumbai</v>
      </c>
      <c r="H371" s="6" t="str">
        <f>VLOOKUP(B371,Flights!A:H,6,FALSE())</f>
        <v>Chennai</v>
      </c>
      <c r="I371" s="6" t="str">
        <f t="array" ref="I371">IFERROR(INDEX(Bookings!$G:$G,MATCH(B371,Bookings!$B:$B,0)),"")</f>
        <v>1</v>
      </c>
      <c r="J371" s="5">
        <f>VLOOKUP(B371,Bookings!B:H,7,FALSE())</f>
        <v>23.5</v>
      </c>
      <c r="K371" s="5" t="str">
        <f t="shared" si="1"/>
        <v>Long</v>
      </c>
      <c r="L371" s="11">
        <f t="array" ref="L371">IFERROR(INDEX(Bookings!$K:$K,MATCH(A371,Bookings!$A:$A,0)),"")</f>
        <v>3998</v>
      </c>
      <c r="M371" s="5" t="str">
        <f t="shared" si="2"/>
        <v>Low</v>
      </c>
      <c r="N371" s="5">
        <f t="array" ref="N371">IFERROR(INDEX(Bookings!$I:$I,MATCH(A371,Bookings!$A:$A,0)),"")</f>
        <v>49</v>
      </c>
      <c r="O371" s="5" t="str">
        <f t="shared" si="3"/>
        <v>Advance</v>
      </c>
      <c r="P371" s="5" t="str">
        <f t="shared" si="4"/>
        <v>Mumbai -&gt; Chennai</v>
      </c>
    </row>
    <row r="372" ht="15.75" customHeight="1">
      <c r="A372" s="5" t="s">
        <v>1532</v>
      </c>
      <c r="B372" s="5" t="s">
        <v>280</v>
      </c>
      <c r="C372" s="5" t="s">
        <v>163</v>
      </c>
      <c r="D372" s="5" t="s">
        <v>20</v>
      </c>
      <c r="E372" s="6" t="str">
        <f t="array" ref="E372">IFERROR(INDEX(Airlines!$B:$B,MATCH(D372,Airlines!$A:$A,0)),"")</f>
        <v>Vistara</v>
      </c>
      <c r="F372" s="6" t="str">
        <f>VLOOKUP(A372,Bookings!$A:$F,6,FALSE())</f>
        <v>Economy</v>
      </c>
      <c r="G372" s="6" t="str">
        <f t="array" ref="G372">IFERROR(INDEX(Flights!$E:$E,MATCH(B372,Flights!$A:$A,0)),"")</f>
        <v>Mumbai</v>
      </c>
      <c r="H372" s="6" t="str">
        <f>VLOOKUP(B372,Flights!A:H,6,FALSE())</f>
        <v>Chennai</v>
      </c>
      <c r="I372" s="6" t="str">
        <f t="array" ref="I372">IFERROR(INDEX(Bookings!$G:$G,MATCH(B372,Bookings!$B:$B,0)),"")</f>
        <v>2+</v>
      </c>
      <c r="J372" s="5">
        <f>VLOOKUP(B372,Bookings!B:H,7,FALSE())</f>
        <v>22.42</v>
      </c>
      <c r="K372" s="5" t="str">
        <f t="shared" si="1"/>
        <v>Long</v>
      </c>
      <c r="L372" s="11">
        <f t="array" ref="L372">IFERROR(INDEX(Bookings!$K:$K,MATCH(A372,Bookings!$A:$A,0)),"")</f>
        <v>16716</v>
      </c>
      <c r="M372" s="5" t="str">
        <f t="shared" si="2"/>
        <v>High</v>
      </c>
      <c r="N372" s="5">
        <f t="array" ref="N372">IFERROR(INDEX(Bookings!$I:$I,MATCH(A372,Bookings!$A:$A,0)),"")</f>
        <v>3</v>
      </c>
      <c r="O372" s="5" t="str">
        <f t="shared" si="3"/>
        <v>Last Minute</v>
      </c>
      <c r="P372" s="5" t="str">
        <f t="shared" si="4"/>
        <v>Mumbai -&gt; Chennai</v>
      </c>
    </row>
    <row r="373" ht="15.75" customHeight="1">
      <c r="A373" s="5" t="s">
        <v>1534</v>
      </c>
      <c r="B373" s="5" t="s">
        <v>199</v>
      </c>
      <c r="C373" s="5" t="s">
        <v>163</v>
      </c>
      <c r="D373" s="5" t="s">
        <v>20</v>
      </c>
      <c r="E373" s="6" t="str">
        <f t="array" ref="E373">IFERROR(INDEX(Airlines!$B:$B,MATCH(D373,Airlines!$A:$A,0)),"")</f>
        <v>Vistara</v>
      </c>
      <c r="F373" s="6" t="str">
        <f>VLOOKUP(A373,Bookings!$A:$F,6,FALSE())</f>
        <v>Economy</v>
      </c>
      <c r="G373" s="6" t="str">
        <f t="array" ref="G373">IFERROR(INDEX(Flights!$E:$E,MATCH(B373,Flights!$A:$A,0)),"")</f>
        <v>Mumbai</v>
      </c>
      <c r="H373" s="6" t="str">
        <f>VLOOKUP(B373,Flights!A:H,6,FALSE())</f>
        <v>Chennai</v>
      </c>
      <c r="I373" s="6" t="str">
        <f t="array" ref="I373">IFERROR(INDEX(Bookings!$G:$G,MATCH(B373,Bookings!$B:$B,0)),"")</f>
        <v>2+</v>
      </c>
      <c r="J373" s="5">
        <f>VLOOKUP(B373,Bookings!B:H,7,FALSE())</f>
        <v>28.83</v>
      </c>
      <c r="K373" s="5" t="str">
        <f t="shared" si="1"/>
        <v>Long</v>
      </c>
      <c r="L373" s="11">
        <f t="array" ref="L373">IFERROR(INDEX(Bookings!$K:$K,MATCH(A373,Bookings!$A:$A,0)),"")</f>
        <v>16716</v>
      </c>
      <c r="M373" s="5" t="str">
        <f t="shared" si="2"/>
        <v>High</v>
      </c>
      <c r="N373" s="5">
        <f t="array" ref="N373">IFERROR(INDEX(Bookings!$I:$I,MATCH(A373,Bookings!$A:$A,0)),"")</f>
        <v>3</v>
      </c>
      <c r="O373" s="5" t="str">
        <f t="shared" si="3"/>
        <v>Last Minute</v>
      </c>
      <c r="P373" s="5" t="str">
        <f t="shared" si="4"/>
        <v>Mumbai -&gt; Chennai</v>
      </c>
    </row>
    <row r="374" ht="15.75" customHeight="1">
      <c r="A374" s="5" t="s">
        <v>1536</v>
      </c>
      <c r="B374" s="5" t="s">
        <v>203</v>
      </c>
      <c r="C374" s="5" t="s">
        <v>163</v>
      </c>
      <c r="D374" s="5" t="s">
        <v>45</v>
      </c>
      <c r="E374" s="6" t="str">
        <f t="array" ref="E374">IFERROR(INDEX(Airlines!$B:$B,MATCH(D374,Airlines!$A:$A,0)),"")</f>
        <v>Air_India</v>
      </c>
      <c r="F374" s="6" t="str">
        <f>VLOOKUP(A374,Bookings!$A:$F,6,FALSE())</f>
        <v>Economy</v>
      </c>
      <c r="G374" s="6" t="str">
        <f t="array" ref="G374">IFERROR(INDEX(Flights!$E:$E,MATCH(B374,Flights!$A:$A,0)),"")</f>
        <v>Mumbai</v>
      </c>
      <c r="H374" s="6" t="str">
        <f>VLOOKUP(B374,Flights!A:H,6,FALSE())</f>
        <v>Chennai</v>
      </c>
      <c r="I374" s="6" t="str">
        <f t="array" ref="I374">IFERROR(INDEX(Bookings!$G:$G,MATCH(B374,Bookings!$B:$B,0)),"")</f>
        <v>2+</v>
      </c>
      <c r="J374" s="5">
        <f>VLOOKUP(B374,Bookings!B:H,7,FALSE())</f>
        <v>33.83</v>
      </c>
      <c r="K374" s="5" t="str">
        <f t="shared" si="1"/>
        <v>Long</v>
      </c>
      <c r="L374" s="11">
        <f t="array" ref="L374">IFERROR(INDEX(Bookings!$K:$K,MATCH(A374,Bookings!$A:$A,0)),"")</f>
        <v>18398</v>
      </c>
      <c r="M374" s="5" t="str">
        <f t="shared" si="2"/>
        <v>High</v>
      </c>
      <c r="N374" s="5">
        <f t="array" ref="N374">IFERROR(INDEX(Bookings!$I:$I,MATCH(A374,Bookings!$A:$A,0)),"")</f>
        <v>3</v>
      </c>
      <c r="O374" s="5" t="str">
        <f t="shared" si="3"/>
        <v>Last Minute</v>
      </c>
      <c r="P374" s="5" t="str">
        <f t="shared" si="4"/>
        <v>Mumbai -&gt; Chennai</v>
      </c>
    </row>
    <row r="375" ht="15.75" customHeight="1">
      <c r="A375" s="5" t="s">
        <v>1537</v>
      </c>
      <c r="B375" s="5" t="s">
        <v>282</v>
      </c>
      <c r="C375" s="5" t="s">
        <v>163</v>
      </c>
      <c r="D375" s="5" t="s">
        <v>20</v>
      </c>
      <c r="E375" s="6" t="str">
        <f t="array" ref="E375">IFERROR(INDEX(Airlines!$B:$B,MATCH(D375,Airlines!$A:$A,0)),"")</f>
        <v>Vistara</v>
      </c>
      <c r="F375" s="6" t="str">
        <f>VLOOKUP(A375,Bookings!$A:$F,6,FALSE())</f>
        <v>Business</v>
      </c>
      <c r="G375" s="6" t="str">
        <f t="array" ref="G375">IFERROR(INDEX(Flights!$E:$E,MATCH(B375,Flights!$A:$A,0)),"")</f>
        <v>Mumbai</v>
      </c>
      <c r="H375" s="6" t="str">
        <f>VLOOKUP(B375,Flights!A:H,6,FALSE())</f>
        <v>Chennai</v>
      </c>
      <c r="I375" s="6" t="str">
        <f t="array" ref="I375">IFERROR(INDEX(Bookings!$G:$G,MATCH(B375,Bookings!$B:$B,0)),"")</f>
        <v>1</v>
      </c>
      <c r="J375" s="5">
        <f>VLOOKUP(B375,Bookings!B:H,7,FALSE())</f>
        <v>12</v>
      </c>
      <c r="K375" s="5" t="str">
        <f t="shared" si="1"/>
        <v>Long</v>
      </c>
      <c r="L375" s="11">
        <f t="array" ref="L375">IFERROR(INDEX(Bookings!$K:$K,MATCH(A375,Bookings!$A:$A,0)),"")</f>
        <v>61933</v>
      </c>
      <c r="M375" s="5" t="str">
        <f t="shared" si="2"/>
        <v>High</v>
      </c>
      <c r="N375" s="5">
        <f t="array" ref="N375">IFERROR(INDEX(Bookings!$I:$I,MATCH(A375,Bookings!$A:$A,0)),"")</f>
        <v>39</v>
      </c>
      <c r="O375" s="5" t="str">
        <f t="shared" si="3"/>
        <v>Advance</v>
      </c>
      <c r="P375" s="5" t="str">
        <f t="shared" si="4"/>
        <v>Mumbai -&gt; Chennai</v>
      </c>
    </row>
    <row r="376" ht="15.75" customHeight="1">
      <c r="A376" s="5" t="s">
        <v>1539</v>
      </c>
      <c r="B376" s="5" t="s">
        <v>226</v>
      </c>
      <c r="C376" s="5" t="s">
        <v>163</v>
      </c>
      <c r="D376" s="5" t="s">
        <v>20</v>
      </c>
      <c r="E376" s="6" t="str">
        <f t="array" ref="E376">IFERROR(INDEX(Airlines!$B:$B,MATCH(D376,Airlines!$A:$A,0)),"")</f>
        <v>Vistara</v>
      </c>
      <c r="F376" s="6" t="str">
        <f>VLOOKUP(A376,Bookings!$A:$F,6,FALSE())</f>
        <v>Business</v>
      </c>
      <c r="G376" s="6" t="str">
        <f t="array" ref="G376">IFERROR(INDEX(Flights!$E:$E,MATCH(B376,Flights!$A:$A,0)),"")</f>
        <v>Mumbai</v>
      </c>
      <c r="H376" s="6" t="str">
        <f>VLOOKUP(B376,Flights!A:H,6,FALSE())</f>
        <v>Chennai</v>
      </c>
      <c r="I376" s="6" t="str">
        <f t="array" ref="I376">IFERROR(INDEX(Bookings!$G:$G,MATCH(B376,Bookings!$B:$B,0)),"")</f>
        <v>1</v>
      </c>
      <c r="J376" s="5">
        <f>VLOOKUP(B376,Bookings!B:H,7,FALSE())</f>
        <v>15.25</v>
      </c>
      <c r="K376" s="5" t="str">
        <f t="shared" si="1"/>
        <v>Long</v>
      </c>
      <c r="L376" s="11">
        <f t="array" ref="L376">IFERROR(INDEX(Bookings!$K:$K,MATCH(A376,Bookings!$A:$A,0)),"")</f>
        <v>7336</v>
      </c>
      <c r="M376" s="5" t="str">
        <f t="shared" si="2"/>
        <v>Medium</v>
      </c>
      <c r="N376" s="5">
        <f t="array" ref="N376">IFERROR(INDEX(Bookings!$I:$I,MATCH(A376,Bookings!$A:$A,0)),"")</f>
        <v>38</v>
      </c>
      <c r="O376" s="5" t="str">
        <f t="shared" si="3"/>
        <v>Advance</v>
      </c>
      <c r="P376" s="5" t="str">
        <f t="shared" si="4"/>
        <v>Mumbai -&gt; Chennai</v>
      </c>
    </row>
    <row r="377" ht="15.75" customHeight="1">
      <c r="A377" s="5" t="s">
        <v>1541</v>
      </c>
      <c r="B377" s="5" t="s">
        <v>249</v>
      </c>
      <c r="C377" s="5" t="s">
        <v>163</v>
      </c>
      <c r="D377" s="5" t="s">
        <v>45</v>
      </c>
      <c r="E377" s="6" t="str">
        <f t="array" ref="E377">IFERROR(INDEX(Airlines!$B:$B,MATCH(D377,Airlines!$A:$A,0)),"")</f>
        <v>Air_India</v>
      </c>
      <c r="F377" s="6" t="str">
        <f>VLOOKUP(A377,Bookings!$A:$F,6,FALSE())</f>
        <v>Economy</v>
      </c>
      <c r="G377" s="6" t="str">
        <f t="array" ref="G377">IFERROR(INDEX(Flights!$E:$E,MATCH(B377,Flights!$A:$A,0)),"")</f>
        <v>Mumbai</v>
      </c>
      <c r="H377" s="6" t="str">
        <f>VLOOKUP(B377,Flights!A:H,6,FALSE())</f>
        <v>Chennai</v>
      </c>
      <c r="I377" s="6" t="str">
        <f t="array" ref="I377">IFERROR(INDEX(Bookings!$G:$G,MATCH(B377,Bookings!$B:$B,0)),"")</f>
        <v>1</v>
      </c>
      <c r="J377" s="5">
        <f>VLOOKUP(B377,Bookings!B:H,7,FALSE())</f>
        <v>28.83</v>
      </c>
      <c r="K377" s="5" t="str">
        <f t="shared" si="1"/>
        <v>Long</v>
      </c>
      <c r="L377" s="11">
        <f t="array" ref="L377">IFERROR(INDEX(Bookings!$K:$K,MATCH(A377,Bookings!$A:$A,0)),"")</f>
        <v>21211</v>
      </c>
      <c r="M377" s="5" t="str">
        <f t="shared" si="2"/>
        <v>High</v>
      </c>
      <c r="N377" s="5">
        <f t="array" ref="N377">IFERROR(INDEX(Bookings!$I:$I,MATCH(A377,Bookings!$A:$A,0)),"")</f>
        <v>7</v>
      </c>
      <c r="O377" s="5" t="str">
        <f t="shared" si="3"/>
        <v>Last Minute</v>
      </c>
      <c r="P377" s="5" t="str">
        <f t="shared" si="4"/>
        <v>Mumbai -&gt; Chennai</v>
      </c>
    </row>
    <row r="378" ht="15.75" customHeight="1">
      <c r="A378" s="5" t="s">
        <v>1543</v>
      </c>
      <c r="B378" s="5" t="s">
        <v>246</v>
      </c>
      <c r="C378" s="5" t="s">
        <v>163</v>
      </c>
      <c r="D378" s="5" t="s">
        <v>45</v>
      </c>
      <c r="E378" s="6" t="str">
        <f t="array" ref="E378">IFERROR(INDEX(Airlines!$B:$B,MATCH(D378,Airlines!$A:$A,0)),"")</f>
        <v>Air_India</v>
      </c>
      <c r="F378" s="6" t="str">
        <f>VLOOKUP(A378,Bookings!$A:$F,6,FALSE())</f>
        <v>Economy</v>
      </c>
      <c r="G378" s="6" t="str">
        <f t="array" ref="G378">IFERROR(INDEX(Flights!$E:$E,MATCH(B378,Flights!$A:$A,0)),"")</f>
        <v>Mumbai</v>
      </c>
      <c r="H378" s="6" t="str">
        <f>VLOOKUP(B378,Flights!A:H,6,FALSE())</f>
        <v>Chennai</v>
      </c>
      <c r="I378" s="6" t="str">
        <f t="array" ref="I378">IFERROR(INDEX(Bookings!$G:$G,MATCH(B378,Bookings!$B:$B,0)),"")</f>
        <v>1</v>
      </c>
      <c r="J378" s="5">
        <f>VLOOKUP(B378,Bookings!B:H,7,FALSE())</f>
        <v>27.08</v>
      </c>
      <c r="K378" s="5" t="str">
        <f t="shared" si="1"/>
        <v>Long</v>
      </c>
      <c r="L378" s="11">
        <f t="array" ref="L378">IFERROR(INDEX(Bookings!$K:$K,MATCH(A378,Bookings!$A:$A,0)),"")</f>
        <v>21211</v>
      </c>
      <c r="M378" s="5" t="str">
        <f t="shared" si="2"/>
        <v>High</v>
      </c>
      <c r="N378" s="5">
        <f t="array" ref="N378">IFERROR(INDEX(Bookings!$I:$I,MATCH(A378,Bookings!$A:$A,0)),"")</f>
        <v>5</v>
      </c>
      <c r="O378" s="5" t="str">
        <f t="shared" si="3"/>
        <v>Last Minute</v>
      </c>
      <c r="P378" s="5" t="str">
        <f t="shared" si="4"/>
        <v>Mumbai -&gt; Chennai</v>
      </c>
    </row>
    <row r="379" ht="15.75" customHeight="1">
      <c r="A379" s="5" t="s">
        <v>1545</v>
      </c>
      <c r="B379" s="5" t="s">
        <v>242</v>
      </c>
      <c r="C379" s="5" t="s">
        <v>163</v>
      </c>
      <c r="D379" s="5" t="s">
        <v>20</v>
      </c>
      <c r="E379" s="6" t="str">
        <f t="array" ref="E379">IFERROR(INDEX(Airlines!$B:$B,MATCH(D379,Airlines!$A:$A,0)),"")</f>
        <v>Vistara</v>
      </c>
      <c r="F379" s="6" t="str">
        <f>VLOOKUP(A379,Bookings!$A:$F,6,FALSE())</f>
        <v>Economy</v>
      </c>
      <c r="G379" s="6" t="str">
        <f t="array" ref="G379">IFERROR(INDEX(Flights!$E:$E,MATCH(B379,Flights!$A:$A,0)),"")</f>
        <v>Mumbai</v>
      </c>
      <c r="H379" s="6" t="str">
        <f>VLOOKUP(B379,Flights!A:H,6,FALSE())</f>
        <v>Chennai</v>
      </c>
      <c r="I379" s="6" t="str">
        <f t="array" ref="I379">IFERROR(INDEX(Bookings!$G:$G,MATCH(B379,Bookings!$B:$B,0)),"")</f>
        <v>1</v>
      </c>
      <c r="J379" s="5">
        <f>VLOOKUP(B379,Bookings!B:H,7,FALSE())</f>
        <v>24</v>
      </c>
      <c r="K379" s="5" t="str">
        <f t="shared" si="1"/>
        <v>Long</v>
      </c>
      <c r="L379" s="11">
        <f t="array" ref="L379">IFERROR(INDEX(Bookings!$K:$K,MATCH(A379,Bookings!$A:$A,0)),"")</f>
        <v>4249</v>
      </c>
      <c r="M379" s="5" t="str">
        <f t="shared" si="2"/>
        <v>Low</v>
      </c>
      <c r="N379" s="5">
        <f t="array" ref="N379">IFERROR(INDEX(Bookings!$I:$I,MATCH(A379,Bookings!$A:$A,0)),"")</f>
        <v>44</v>
      </c>
      <c r="O379" s="5" t="str">
        <f t="shared" si="3"/>
        <v>Advance</v>
      </c>
      <c r="P379" s="5" t="str">
        <f t="shared" si="4"/>
        <v>Mumbai -&gt; Chennai</v>
      </c>
    </row>
    <row r="380" ht="15.75" customHeight="1">
      <c r="A380" s="5" t="s">
        <v>1546</v>
      </c>
      <c r="B380" s="5" t="s">
        <v>210</v>
      </c>
      <c r="C380" s="5" t="s">
        <v>163</v>
      </c>
      <c r="D380" s="5" t="s">
        <v>45</v>
      </c>
      <c r="E380" s="6" t="str">
        <f t="array" ref="E380">IFERROR(INDEX(Airlines!$B:$B,MATCH(D380,Airlines!$A:$A,0)),"")</f>
        <v>Air_India</v>
      </c>
      <c r="F380" s="6" t="str">
        <f>VLOOKUP(A380,Bookings!$A:$F,6,FALSE())</f>
        <v>Business</v>
      </c>
      <c r="G380" s="6" t="str">
        <f t="array" ref="G380">IFERROR(INDEX(Flights!$E:$E,MATCH(B380,Flights!$A:$A,0)),"")</f>
        <v>Mumbai</v>
      </c>
      <c r="H380" s="6" t="str">
        <f>VLOOKUP(B380,Flights!A:H,6,FALSE())</f>
        <v>Chennai</v>
      </c>
      <c r="I380" s="6" t="str">
        <f t="array" ref="I380">IFERROR(INDEX(Bookings!$G:$G,MATCH(B380,Bookings!$B:$B,0)),"")</f>
        <v>1</v>
      </c>
      <c r="J380" s="5">
        <f>VLOOKUP(B380,Bookings!B:H,7,FALSE())</f>
        <v>11.75</v>
      </c>
      <c r="K380" s="5" t="str">
        <f t="shared" si="1"/>
        <v>Long</v>
      </c>
      <c r="L380" s="11">
        <f t="array" ref="L380">IFERROR(INDEX(Bookings!$K:$K,MATCH(A380,Bookings!$A:$A,0)),"")</f>
        <v>51117</v>
      </c>
      <c r="M380" s="5" t="str">
        <f t="shared" si="2"/>
        <v>High</v>
      </c>
      <c r="N380" s="5">
        <f t="array" ref="N380">IFERROR(INDEX(Bookings!$I:$I,MATCH(A380,Bookings!$A:$A,0)),"")</f>
        <v>36</v>
      </c>
      <c r="O380" s="5" t="str">
        <f t="shared" si="3"/>
        <v>Advance</v>
      </c>
      <c r="P380" s="5" t="str">
        <f t="shared" si="4"/>
        <v>Mumbai -&gt; Chennai</v>
      </c>
    </row>
    <row r="381" ht="15.75" customHeight="1">
      <c r="A381" s="5" t="s">
        <v>1547</v>
      </c>
      <c r="B381" s="5" t="s">
        <v>192</v>
      </c>
      <c r="C381" s="5" t="s">
        <v>163</v>
      </c>
      <c r="D381" s="5" t="s">
        <v>29</v>
      </c>
      <c r="E381" s="6" t="str">
        <f t="array" ref="E381">IFERROR(INDEX(Airlines!$B:$B,MATCH(D381,Airlines!$A:$A,0)),"")</f>
        <v>AirAsia</v>
      </c>
      <c r="F381" s="6" t="str">
        <f>VLOOKUP(A381,Bookings!$A:$F,6,FALSE())</f>
        <v>Economy</v>
      </c>
      <c r="G381" s="6" t="str">
        <f t="array" ref="G381">IFERROR(INDEX(Flights!$E:$E,MATCH(B381,Flights!$A:$A,0)),"")</f>
        <v>Mumbai</v>
      </c>
      <c r="H381" s="6" t="str">
        <f>VLOOKUP(B381,Flights!A:H,6,FALSE())</f>
        <v>Chennai</v>
      </c>
      <c r="I381" s="6" t="str">
        <f t="array" ref="I381">IFERROR(INDEX(Bookings!$G:$G,MATCH(B381,Bookings!$B:$B,0)),"")</f>
        <v>1</v>
      </c>
      <c r="J381" s="5">
        <f>VLOOKUP(B381,Bookings!B:H,7,FALSE())</f>
        <v>4.33</v>
      </c>
      <c r="K381" s="5" t="str">
        <f t="shared" si="1"/>
        <v>Medium</v>
      </c>
      <c r="L381" s="11">
        <f t="array" ref="L381">IFERROR(INDEX(Bookings!$K:$K,MATCH(A381,Bookings!$A:$A,0)),"")</f>
        <v>1890</v>
      </c>
      <c r="M381" s="5" t="str">
        <f t="shared" si="2"/>
        <v>Low</v>
      </c>
      <c r="N381" s="5">
        <f t="array" ref="N381">IFERROR(INDEX(Bookings!$I:$I,MATCH(A381,Bookings!$A:$A,0)),"")</f>
        <v>29</v>
      </c>
      <c r="O381" s="5" t="str">
        <f t="shared" si="3"/>
        <v>Moderate</v>
      </c>
      <c r="P381" s="5" t="str">
        <f t="shared" si="4"/>
        <v>Mumbai -&gt; Chennai</v>
      </c>
    </row>
    <row r="382" ht="15.75" customHeight="1">
      <c r="A382" s="5" t="s">
        <v>1550</v>
      </c>
      <c r="B382" s="5" t="s">
        <v>232</v>
      </c>
      <c r="C382" s="5" t="s">
        <v>163</v>
      </c>
      <c r="D382" s="5" t="s">
        <v>43</v>
      </c>
      <c r="E382" s="6" t="str">
        <f t="array" ref="E382">IFERROR(INDEX(Airlines!$B:$B,MATCH(D382,Airlines!$A:$A,0)),"")</f>
        <v>Indigo</v>
      </c>
      <c r="F382" s="6" t="str">
        <f>VLOOKUP(A382,Bookings!$A:$F,6,FALSE())</f>
        <v>Economy</v>
      </c>
      <c r="G382" s="6" t="str">
        <f t="array" ref="G382">IFERROR(INDEX(Flights!$E:$E,MATCH(B382,Flights!$A:$A,0)),"")</f>
        <v>Mumbai</v>
      </c>
      <c r="H382" s="6" t="str">
        <f>VLOOKUP(B382,Flights!A:H,6,FALSE())</f>
        <v>Chennai</v>
      </c>
      <c r="I382" s="6" t="str">
        <f t="array" ref="I382">IFERROR(INDEX(Bookings!$G:$G,MATCH(B382,Bookings!$B:$B,0)),"")</f>
        <v>1</v>
      </c>
      <c r="J382" s="5">
        <f>VLOOKUP(B382,Bookings!B:H,7,FALSE())</f>
        <v>7.5</v>
      </c>
      <c r="K382" s="5" t="str">
        <f t="shared" si="1"/>
        <v>Medium</v>
      </c>
      <c r="L382" s="11">
        <f t="array" ref="L382">IFERROR(INDEX(Bookings!$K:$K,MATCH(A382,Bookings!$A:$A,0)),"")</f>
        <v>11141</v>
      </c>
      <c r="M382" s="5" t="str">
        <f t="shared" si="2"/>
        <v>Medium</v>
      </c>
      <c r="N382" s="5">
        <f t="array" ref="N382">IFERROR(INDEX(Bookings!$I:$I,MATCH(A382,Bookings!$A:$A,0)),"")</f>
        <v>9</v>
      </c>
      <c r="O382" s="5" t="str">
        <f t="shared" si="3"/>
        <v>Short Notice</v>
      </c>
      <c r="P382" s="5" t="str">
        <f t="shared" si="4"/>
        <v>Mumbai -&gt; Chennai</v>
      </c>
    </row>
    <row r="383" ht="15.75" customHeight="1">
      <c r="A383" s="5" t="s">
        <v>1552</v>
      </c>
      <c r="B383" s="5" t="s">
        <v>178</v>
      </c>
      <c r="C383" s="5" t="s">
        <v>163</v>
      </c>
      <c r="D383" s="5" t="s">
        <v>20</v>
      </c>
      <c r="E383" s="6" t="str">
        <f t="array" ref="E383">IFERROR(INDEX(Airlines!$B:$B,MATCH(D383,Airlines!$A:$A,0)),"")</f>
        <v>Vistara</v>
      </c>
      <c r="F383" s="6" t="str">
        <f>VLOOKUP(A383,Bookings!$A:$F,6,FALSE())</f>
        <v>Economy</v>
      </c>
      <c r="G383" s="6" t="str">
        <f t="array" ref="G383">IFERROR(INDEX(Flights!$E:$E,MATCH(B383,Flights!$A:$A,0)),"")</f>
        <v>Mumbai</v>
      </c>
      <c r="H383" s="6" t="str">
        <f>VLOOKUP(B383,Flights!A:H,6,FALSE())</f>
        <v>Chennai</v>
      </c>
      <c r="I383" s="6" t="str">
        <f t="array" ref="I383">IFERROR(INDEX(Bookings!$G:$G,MATCH(B383,Bookings!$B:$B,0)),"")</f>
        <v>2+</v>
      </c>
      <c r="J383" s="5">
        <f>VLOOKUP(B383,Bookings!B:H,7,FALSE())</f>
        <v>16.42</v>
      </c>
      <c r="K383" s="5" t="str">
        <f t="shared" si="1"/>
        <v>Long</v>
      </c>
      <c r="L383" s="11">
        <f t="array" ref="L383">IFERROR(INDEX(Bookings!$K:$K,MATCH(A383,Bookings!$A:$A,0)),"")</f>
        <v>17103</v>
      </c>
      <c r="M383" s="5" t="str">
        <f t="shared" si="2"/>
        <v>High</v>
      </c>
      <c r="N383" s="5">
        <f t="array" ref="N383">IFERROR(INDEX(Bookings!$I:$I,MATCH(A383,Bookings!$A:$A,0)),"")</f>
        <v>9</v>
      </c>
      <c r="O383" s="5" t="str">
        <f t="shared" si="3"/>
        <v>Short Notice</v>
      </c>
      <c r="P383" s="5" t="str">
        <f t="shared" si="4"/>
        <v>Mumbai -&gt; Chennai</v>
      </c>
    </row>
    <row r="384" ht="15.75" customHeight="1">
      <c r="A384" s="5" t="s">
        <v>1554</v>
      </c>
      <c r="B384" s="5" t="s">
        <v>236</v>
      </c>
      <c r="C384" s="5" t="s">
        <v>163</v>
      </c>
      <c r="D384" s="5" t="s">
        <v>58</v>
      </c>
      <c r="E384" s="6" t="str">
        <f t="array" ref="E384">IFERROR(INDEX(Airlines!$B:$B,MATCH(D384,Airlines!$A:$A,0)),"")</f>
        <v>Go_First</v>
      </c>
      <c r="F384" s="6" t="str">
        <f>VLOOKUP(A384,Bookings!$A:$F,6,FALSE())</f>
        <v>Economy</v>
      </c>
      <c r="G384" s="6" t="str">
        <f t="array" ref="G384">IFERROR(INDEX(Flights!$E:$E,MATCH(B384,Flights!$A:$A,0)),"")</f>
        <v>Mumbai</v>
      </c>
      <c r="H384" s="6" t="str">
        <f>VLOOKUP(B384,Flights!A:H,6,FALSE())</f>
        <v>Chennai</v>
      </c>
      <c r="I384" s="6" t="str">
        <f t="array" ref="I384">IFERROR(INDEX(Bookings!$G:$G,MATCH(B384,Bookings!$B:$B,0)),"")</f>
        <v>1</v>
      </c>
      <c r="J384" s="5">
        <f>VLOOKUP(B384,Bookings!B:H,7,FALSE())</f>
        <v>7</v>
      </c>
      <c r="K384" s="5" t="str">
        <f t="shared" si="1"/>
        <v>Medium</v>
      </c>
      <c r="L384" s="11">
        <f t="array" ref="L384">IFERROR(INDEX(Bookings!$K:$K,MATCH(A384,Bookings!$A:$A,0)),"")</f>
        <v>4601</v>
      </c>
      <c r="M384" s="5" t="str">
        <f t="shared" si="2"/>
        <v>Low</v>
      </c>
      <c r="N384" s="5" t="str">
        <f t="array" ref="N384">IFERROR(INDEX(Bookings!$I:$I,MATCH(A384,Bookings!$A:$A,0)),"")</f>
        <v/>
      </c>
      <c r="O384" s="5" t="str">
        <f t="shared" si="3"/>
        <v>Last Minute</v>
      </c>
      <c r="P384" s="5" t="str">
        <f t="shared" si="4"/>
        <v>Mumbai -&gt; Chennai</v>
      </c>
    </row>
    <row r="385" ht="15.75" customHeight="1">
      <c r="A385" s="5" t="s">
        <v>1555</v>
      </c>
      <c r="B385" s="5" t="s">
        <v>205</v>
      </c>
      <c r="C385" s="5" t="s">
        <v>163</v>
      </c>
      <c r="D385" s="5" t="s">
        <v>45</v>
      </c>
      <c r="E385" s="6" t="str">
        <f t="array" ref="E385">IFERROR(INDEX(Airlines!$B:$B,MATCH(D385,Airlines!$A:$A,0)),"")</f>
        <v>Air_India</v>
      </c>
      <c r="F385" s="6" t="str">
        <f>VLOOKUP(A385,Bookings!$A:$F,6,FALSE())</f>
        <v>Economy</v>
      </c>
      <c r="G385" s="6" t="str">
        <f t="array" ref="G385">IFERROR(INDEX(Flights!$E:$E,MATCH(B385,Flights!$A:$A,0)),"")</f>
        <v>Mumbai</v>
      </c>
      <c r="H385" s="6" t="str">
        <f>VLOOKUP(B385,Flights!A:H,6,FALSE())</f>
        <v>Chennai</v>
      </c>
      <c r="I385" s="6" t="str">
        <f t="array" ref="I385">IFERROR(INDEX(Bookings!$G:$G,MATCH(B385,Bookings!$B:$B,0)),"")</f>
        <v>2+</v>
      </c>
      <c r="J385" s="5">
        <f>VLOOKUP(B385,Bookings!B:H,7,FALSE())</f>
        <v>11</v>
      </c>
      <c r="K385" s="5" t="str">
        <f t="shared" si="1"/>
        <v>Long</v>
      </c>
      <c r="L385" s="11">
        <f t="array" ref="L385">IFERROR(INDEX(Bookings!$K:$K,MATCH(A385,Bookings!$A:$A,0)),"")</f>
        <v>23583</v>
      </c>
      <c r="M385" s="5" t="str">
        <f t="shared" si="2"/>
        <v>High</v>
      </c>
      <c r="N385" s="5">
        <f t="array" ref="N385">IFERROR(INDEX(Bookings!$I:$I,MATCH(A385,Bookings!$A:$A,0)),"")</f>
        <v>15</v>
      </c>
      <c r="O385" s="5" t="str">
        <f t="shared" si="3"/>
        <v>Short Notice</v>
      </c>
      <c r="P385" s="5" t="str">
        <f t="shared" si="4"/>
        <v>Mumbai -&gt; Chennai</v>
      </c>
    </row>
    <row r="386" ht="15.75" customHeight="1">
      <c r="A386" s="5" t="s">
        <v>1557</v>
      </c>
      <c r="B386" s="5" t="s">
        <v>267</v>
      </c>
      <c r="C386" s="5" t="s">
        <v>163</v>
      </c>
      <c r="D386" s="5" t="s">
        <v>43</v>
      </c>
      <c r="E386" s="6" t="str">
        <f t="array" ref="E386">IFERROR(INDEX(Airlines!$B:$B,MATCH(D386,Airlines!$A:$A,0)),"")</f>
        <v>Indigo</v>
      </c>
      <c r="F386" s="6" t="str">
        <f>VLOOKUP(A386,Bookings!$A:$F,6,FALSE())</f>
        <v>Economy</v>
      </c>
      <c r="G386" s="6" t="str">
        <f t="array" ref="G386">IFERROR(INDEX(Flights!$E:$E,MATCH(B386,Flights!$A:$A,0)),"")</f>
        <v>Mumbai</v>
      </c>
      <c r="H386" s="6" t="str">
        <f>VLOOKUP(B386,Flights!A:H,6,FALSE())</f>
        <v>Chennai</v>
      </c>
      <c r="I386" s="6" t="str">
        <f t="array" ref="I386">IFERROR(INDEX(Bookings!$G:$G,MATCH(B386,Bookings!$B:$B,0)),"")</f>
        <v>1</v>
      </c>
      <c r="J386" s="5">
        <f>VLOOKUP(B386,Bookings!B:H,7,FALSE())</f>
        <v>4.92</v>
      </c>
      <c r="K386" s="5" t="str">
        <f t="shared" si="1"/>
        <v>Medium</v>
      </c>
      <c r="L386" s="11">
        <f t="array" ref="L386">IFERROR(INDEX(Bookings!$K:$K,MATCH(A386,Bookings!$A:$A,0)),"")</f>
        <v>4069</v>
      </c>
      <c r="M386" s="5" t="str">
        <f t="shared" si="2"/>
        <v>Low</v>
      </c>
      <c r="N386" s="5">
        <f t="array" ref="N386">IFERROR(INDEX(Bookings!$I:$I,MATCH(A386,Bookings!$A:$A,0)),"")</f>
        <v>27</v>
      </c>
      <c r="O386" s="5" t="str">
        <f t="shared" si="3"/>
        <v>Moderate</v>
      </c>
      <c r="P386" s="5" t="str">
        <f t="shared" si="4"/>
        <v>Mumbai -&gt; Chennai</v>
      </c>
    </row>
    <row r="387" ht="15.75" customHeight="1">
      <c r="A387" s="5" t="s">
        <v>1558</v>
      </c>
      <c r="B387" s="5" t="s">
        <v>187</v>
      </c>
      <c r="C387" s="5" t="s">
        <v>163</v>
      </c>
      <c r="D387" s="5" t="s">
        <v>45</v>
      </c>
      <c r="E387" s="6" t="str">
        <f t="array" ref="E387">IFERROR(INDEX(Airlines!$B:$B,MATCH(D387,Airlines!$A:$A,0)),"")</f>
        <v>Air_India</v>
      </c>
      <c r="F387" s="6" t="str">
        <f>VLOOKUP(A387,Bookings!$A:$F,6,FALSE())</f>
        <v>Economy</v>
      </c>
      <c r="G387" s="6" t="str">
        <f t="array" ref="G387">IFERROR(INDEX(Flights!$E:$E,MATCH(B387,Flights!$A:$A,0)),"")</f>
        <v>Mumbai</v>
      </c>
      <c r="H387" s="6" t="str">
        <f>VLOOKUP(B387,Flights!A:H,6,FALSE())</f>
        <v>Chennai</v>
      </c>
      <c r="I387" s="6" t="str">
        <f t="array" ref="I387">IFERROR(INDEX(Bookings!$G:$G,MATCH(B387,Bookings!$B:$B,0)),"")</f>
        <v>1</v>
      </c>
      <c r="J387" s="5">
        <f>VLOOKUP(B387,Bookings!B:H,7,FALSE())</f>
        <v>25.08</v>
      </c>
      <c r="K387" s="5" t="str">
        <f t="shared" si="1"/>
        <v>Long</v>
      </c>
      <c r="L387" s="11">
        <f t="array" ref="L387">IFERROR(INDEX(Bookings!$K:$K,MATCH(A387,Bookings!$A:$A,0)),"")</f>
        <v>5685</v>
      </c>
      <c r="M387" s="5" t="str">
        <f t="shared" si="2"/>
        <v>Medium</v>
      </c>
      <c r="N387" s="5">
        <f t="array" ref="N387">IFERROR(INDEX(Bookings!$I:$I,MATCH(A387,Bookings!$A:$A,0)),"")</f>
        <v>45</v>
      </c>
      <c r="O387" s="5" t="str">
        <f t="shared" si="3"/>
        <v>Advance</v>
      </c>
      <c r="P387" s="5" t="str">
        <f t="shared" si="4"/>
        <v>Mumbai -&gt; Chennai</v>
      </c>
    </row>
    <row r="388" ht="15.75" customHeight="1">
      <c r="A388" s="5" t="s">
        <v>1559</v>
      </c>
      <c r="B388" s="5" t="s">
        <v>172</v>
      </c>
      <c r="C388" s="5" t="s">
        <v>163</v>
      </c>
      <c r="D388" s="5" t="s">
        <v>43</v>
      </c>
      <c r="E388" s="6" t="str">
        <f t="array" ref="E388">IFERROR(INDEX(Airlines!$B:$B,MATCH(D388,Airlines!$A:$A,0)),"")</f>
        <v>Indigo</v>
      </c>
      <c r="F388" s="6" t="str">
        <f>VLOOKUP(A388,Bookings!$A:$F,6,FALSE())</f>
        <v>Economy</v>
      </c>
      <c r="G388" s="6" t="str">
        <f t="array" ref="G388">IFERROR(INDEX(Flights!$E:$E,MATCH(B388,Flights!$A:$A,0)),"")</f>
        <v>Mumbai</v>
      </c>
      <c r="H388" s="6" t="str">
        <f>VLOOKUP(B388,Flights!A:H,6,FALSE())</f>
        <v>Chennai</v>
      </c>
      <c r="I388" s="6" t="str">
        <f t="array" ref="I388">IFERROR(INDEX(Bookings!$G:$G,MATCH(B388,Bookings!$B:$B,0)),"")</f>
        <v>1</v>
      </c>
      <c r="J388" s="5">
        <f>VLOOKUP(B388,Bookings!B:H,7,FALSE())</f>
        <v>6.17</v>
      </c>
      <c r="K388" s="5" t="str">
        <f t="shared" si="1"/>
        <v>Medium</v>
      </c>
      <c r="L388" s="11">
        <f t="array" ref="L388">IFERROR(INDEX(Bookings!$K:$K,MATCH(A388,Bookings!$A:$A,0)),"")</f>
        <v>1890</v>
      </c>
      <c r="M388" s="5" t="str">
        <f t="shared" si="2"/>
        <v>Low</v>
      </c>
      <c r="N388" s="5">
        <f t="array" ref="N388">IFERROR(INDEX(Bookings!$I:$I,MATCH(A388,Bookings!$A:$A,0)),"")</f>
        <v>46</v>
      </c>
      <c r="O388" s="5" t="str">
        <f t="shared" si="3"/>
        <v>Advance</v>
      </c>
      <c r="P388" s="5" t="str">
        <f t="shared" si="4"/>
        <v>Mumbai -&gt; Chennai</v>
      </c>
    </row>
    <row r="389" ht="15.75" customHeight="1">
      <c r="A389" s="5" t="s">
        <v>1560</v>
      </c>
      <c r="B389" s="5" t="s">
        <v>161</v>
      </c>
      <c r="C389" s="5" t="s">
        <v>163</v>
      </c>
      <c r="D389" s="5" t="s">
        <v>29</v>
      </c>
      <c r="E389" s="6" t="str">
        <f t="array" ref="E389">IFERROR(INDEX(Airlines!$B:$B,MATCH(D389,Airlines!$A:$A,0)),"")</f>
        <v>AirAsia</v>
      </c>
      <c r="F389" s="6" t="str">
        <f>VLOOKUP(A389,Bookings!$A:$F,6,FALSE())</f>
        <v>Economy</v>
      </c>
      <c r="G389" s="6" t="str">
        <f t="array" ref="G389">IFERROR(INDEX(Flights!$E:$E,MATCH(B389,Flights!$A:$A,0)),"")</f>
        <v>Mumbai</v>
      </c>
      <c r="H389" s="6" t="str">
        <f>VLOOKUP(B389,Flights!A:H,6,FALSE())</f>
        <v>Chennai</v>
      </c>
      <c r="I389" s="6" t="str">
        <f t="array" ref="I389">IFERROR(INDEX(Bookings!$G:$G,MATCH(B389,Bookings!$B:$B,0)),"")</f>
        <v>1</v>
      </c>
      <c r="J389" s="5">
        <f>VLOOKUP(B389,Bookings!B:H,7,FALSE())</f>
        <v>12.33</v>
      </c>
      <c r="K389" s="5" t="str">
        <f t="shared" si="1"/>
        <v>Long</v>
      </c>
      <c r="L389" s="11">
        <f t="array" ref="L389">IFERROR(INDEX(Bookings!$K:$K,MATCH(A389,Bookings!$A:$A,0)),"")</f>
        <v>1890</v>
      </c>
      <c r="M389" s="5" t="str">
        <f t="shared" si="2"/>
        <v>Low</v>
      </c>
      <c r="N389" s="5">
        <f t="array" ref="N389">IFERROR(INDEX(Bookings!$I:$I,MATCH(A389,Bookings!$A:$A,0)),"")</f>
        <v>46</v>
      </c>
      <c r="O389" s="5" t="str">
        <f t="shared" si="3"/>
        <v>Advance</v>
      </c>
      <c r="P389" s="5" t="str">
        <f t="shared" si="4"/>
        <v>Mumbai -&gt; Chennai</v>
      </c>
    </row>
    <row r="390" ht="15.75" customHeight="1">
      <c r="A390" s="5" t="s">
        <v>1561</v>
      </c>
      <c r="B390" s="5" t="s">
        <v>214</v>
      </c>
      <c r="C390" s="5" t="s">
        <v>163</v>
      </c>
      <c r="D390" s="5" t="s">
        <v>43</v>
      </c>
      <c r="E390" s="6" t="str">
        <f t="array" ref="E390">IFERROR(INDEX(Airlines!$B:$B,MATCH(D390,Airlines!$A:$A,0)),"")</f>
        <v>Indigo</v>
      </c>
      <c r="F390" s="6" t="str">
        <f>VLOOKUP(A390,Bookings!$A:$F,6,FALSE())</f>
        <v>Economy</v>
      </c>
      <c r="G390" s="6" t="str">
        <f t="array" ref="G390">IFERROR(INDEX(Flights!$E:$E,MATCH(B390,Flights!$A:$A,0)),"")</f>
        <v>Mumbai</v>
      </c>
      <c r="H390" s="6" t="str">
        <f>VLOOKUP(B390,Flights!A:H,6,FALSE())</f>
        <v>Chennai</v>
      </c>
      <c r="I390" s="6" t="str">
        <f t="array" ref="I390">IFERROR(INDEX(Bookings!$G:$G,MATCH(B390,Bookings!$B:$B,0)),"")</f>
        <v>0</v>
      </c>
      <c r="J390" s="5">
        <f>VLOOKUP(B390,Bookings!B:H,7,FALSE())</f>
        <v>2.08</v>
      </c>
      <c r="K390" s="5" t="str">
        <f t="shared" si="1"/>
        <v>Short</v>
      </c>
      <c r="L390" s="11">
        <f t="array" ref="L390">IFERROR(INDEX(Bookings!$K:$K,MATCH(A390,Bookings!$A:$A,0)),"")</f>
        <v>3000</v>
      </c>
      <c r="M390" s="5" t="str">
        <f t="shared" si="2"/>
        <v>Low</v>
      </c>
      <c r="N390" s="5">
        <f t="array" ref="N390">IFERROR(INDEX(Bookings!$I:$I,MATCH(A390,Bookings!$A:$A,0)),"")</f>
        <v>46</v>
      </c>
      <c r="O390" s="5" t="str">
        <f t="shared" si="3"/>
        <v>Advance</v>
      </c>
      <c r="P390" s="5" t="str">
        <f t="shared" si="4"/>
        <v>Mumbai -&gt; Chennai</v>
      </c>
    </row>
    <row r="391" ht="15.75" customHeight="1">
      <c r="A391" s="5" t="s">
        <v>1563</v>
      </c>
      <c r="B391" s="5" t="s">
        <v>262</v>
      </c>
      <c r="C391" s="5" t="s">
        <v>163</v>
      </c>
      <c r="D391" s="5" t="s">
        <v>45</v>
      </c>
      <c r="E391" s="6" t="str">
        <f t="array" ref="E391">IFERROR(INDEX(Airlines!$B:$B,MATCH(D391,Airlines!$A:$A,0)),"")</f>
        <v>Air_India</v>
      </c>
      <c r="F391" s="6" t="str">
        <f>VLOOKUP(A391,Bookings!$A:$F,6,FALSE())</f>
        <v>Economy</v>
      </c>
      <c r="G391" s="6" t="str">
        <f t="array" ref="G391">IFERROR(INDEX(Flights!$E:$E,MATCH(B391,Flights!$A:$A,0)),"")</f>
        <v>Mumbai</v>
      </c>
      <c r="H391" s="6" t="str">
        <f>VLOOKUP(B391,Flights!A:H,6,FALSE())</f>
        <v>Chennai</v>
      </c>
      <c r="I391" s="6" t="str">
        <f t="array" ref="I391">IFERROR(INDEX(Bookings!$G:$G,MATCH(B391,Bookings!$B:$B,0)),"")</f>
        <v>1</v>
      </c>
      <c r="J391" s="5">
        <f>VLOOKUP(B391,Bookings!B:H,7,FALSE())</f>
        <v>27.58</v>
      </c>
      <c r="K391" s="5" t="str">
        <f t="shared" si="1"/>
        <v>Long</v>
      </c>
      <c r="L391" s="11">
        <f t="array" ref="L391">IFERROR(INDEX(Bookings!$K:$K,MATCH(A391,Bookings!$A:$A,0)),"")</f>
        <v>5685</v>
      </c>
      <c r="M391" s="5" t="str">
        <f t="shared" si="2"/>
        <v>Medium</v>
      </c>
      <c r="N391" s="5">
        <f t="array" ref="N391">IFERROR(INDEX(Bookings!$I:$I,MATCH(A391,Bookings!$A:$A,0)),"")</f>
        <v>48</v>
      </c>
      <c r="O391" s="5" t="str">
        <f t="shared" si="3"/>
        <v>Advance</v>
      </c>
      <c r="P391" s="5" t="str">
        <f t="shared" si="4"/>
        <v>Mumbai -&gt; Chennai</v>
      </c>
    </row>
    <row r="392" ht="15.75" customHeight="1">
      <c r="A392" s="5" t="s">
        <v>1565</v>
      </c>
      <c r="B392" s="5" t="s">
        <v>252</v>
      </c>
      <c r="C392" s="5" t="s">
        <v>163</v>
      </c>
      <c r="D392" s="5" t="s">
        <v>45</v>
      </c>
      <c r="E392" s="6" t="str">
        <f t="array" ref="E392">IFERROR(INDEX(Airlines!$B:$B,MATCH(D392,Airlines!$A:$A,0)),"")</f>
        <v>Air_India</v>
      </c>
      <c r="F392" s="6" t="str">
        <f>VLOOKUP(A392,Bookings!$A:$F,6,FALSE())</f>
        <v>Economy</v>
      </c>
      <c r="G392" s="6" t="str">
        <f t="array" ref="G392">IFERROR(INDEX(Flights!$E:$E,MATCH(B392,Flights!$A:$A,0)),"")</f>
        <v>Mumbai</v>
      </c>
      <c r="H392" s="6" t="str">
        <f>VLOOKUP(B392,Flights!A:H,6,FALSE())</f>
        <v>Chennai</v>
      </c>
      <c r="I392" s="6" t="str">
        <f t="array" ref="I392">IFERROR(INDEX(Bookings!$G:$G,MATCH(B392,Bookings!$B:$B,0)),"")</f>
        <v>1</v>
      </c>
      <c r="J392" s="5">
        <f>VLOOKUP(B392,Bookings!B:H,7,FALSE())</f>
        <v>17.75</v>
      </c>
      <c r="K392" s="5" t="str">
        <f t="shared" si="1"/>
        <v>Long</v>
      </c>
      <c r="L392" s="11">
        <f t="array" ref="L392">IFERROR(INDEX(Bookings!$K:$K,MATCH(A392,Bookings!$A:$A,0)),"")</f>
        <v>5859</v>
      </c>
      <c r="M392" s="5" t="str">
        <f t="shared" si="2"/>
        <v>Medium</v>
      </c>
      <c r="N392" s="5">
        <f t="array" ref="N392">IFERROR(INDEX(Bookings!$I:$I,MATCH(A392,Bookings!$A:$A,0)),"")</f>
        <v>48</v>
      </c>
      <c r="O392" s="5" t="str">
        <f t="shared" si="3"/>
        <v>Advance</v>
      </c>
      <c r="P392" s="5" t="str">
        <f t="shared" si="4"/>
        <v>Mumbai -&gt; Chennai</v>
      </c>
    </row>
    <row r="393" ht="15.75" customHeight="1">
      <c r="A393" s="5" t="s">
        <v>1567</v>
      </c>
      <c r="B393" s="5" t="s">
        <v>334</v>
      </c>
      <c r="C393" s="5" t="s">
        <v>288</v>
      </c>
      <c r="D393" s="5" t="s">
        <v>20</v>
      </c>
      <c r="E393" s="6" t="str">
        <f t="array" ref="E393">IFERROR(INDEX(Airlines!$B:$B,MATCH(D393,Airlines!$A:$A,0)),"")</f>
        <v>Vistara</v>
      </c>
      <c r="F393" s="6" t="str">
        <f>VLOOKUP(A393,Bookings!$A:$F,6,FALSE())</f>
        <v>Business</v>
      </c>
      <c r="G393" s="6" t="str">
        <f t="array" ref="G393">IFERROR(INDEX(Flights!$E:$E,MATCH(B393,Flights!$A:$A,0)),"")</f>
        <v>Bengaluru</v>
      </c>
      <c r="H393" s="6" t="str">
        <f>VLOOKUP(B393,Flights!A:H,6,FALSE())</f>
        <v>Delhi</v>
      </c>
      <c r="I393" s="6" t="str">
        <f t="array" ref="I393">IFERROR(INDEX(Bookings!$G:$G,MATCH(B393,Bookings!$B:$B,0)),"")</f>
        <v>0</v>
      </c>
      <c r="J393" s="5">
        <f>VLOOKUP(B393,Bookings!B:H,7,FALSE())</f>
        <v>2.75</v>
      </c>
      <c r="K393" s="5" t="str">
        <f t="shared" si="1"/>
        <v>Short</v>
      </c>
      <c r="L393" s="11">
        <f t="array" ref="L393">IFERROR(INDEX(Bookings!$K:$K,MATCH(A393,Bookings!$A:$A,0)),"")</f>
        <v>40360</v>
      </c>
      <c r="M393" s="5" t="str">
        <f t="shared" si="2"/>
        <v>High</v>
      </c>
      <c r="N393" s="5">
        <f t="array" ref="N393">IFERROR(INDEX(Bookings!$I:$I,MATCH(A393,Bookings!$A:$A,0)),"")</f>
        <v>15</v>
      </c>
      <c r="O393" s="5" t="str">
        <f t="shared" si="3"/>
        <v>Short Notice</v>
      </c>
      <c r="P393" s="5" t="str">
        <f t="shared" si="4"/>
        <v>Bengaluru -&gt; Delhi</v>
      </c>
    </row>
    <row r="394" ht="15.75" customHeight="1">
      <c r="A394" s="5" t="s">
        <v>1569</v>
      </c>
      <c r="B394" s="5" t="s">
        <v>389</v>
      </c>
      <c r="C394" s="5" t="s">
        <v>288</v>
      </c>
      <c r="D394" s="5" t="s">
        <v>45</v>
      </c>
      <c r="E394" s="6" t="str">
        <f t="array" ref="E394">IFERROR(INDEX(Airlines!$B:$B,MATCH(D394,Airlines!$A:$A,0)),"")</f>
        <v>Air_India</v>
      </c>
      <c r="F394" s="6" t="str">
        <f>VLOOKUP(A394,Bookings!$A:$F,6,FALSE())</f>
        <v>Economy</v>
      </c>
      <c r="G394" s="6" t="str">
        <f t="array" ref="G394">IFERROR(INDEX(Flights!$E:$E,MATCH(B394,Flights!$A:$A,0)),"")</f>
        <v>Bengaluru</v>
      </c>
      <c r="H394" s="6" t="str">
        <f>VLOOKUP(B394,Flights!A:H,6,FALSE())</f>
        <v>Delhi</v>
      </c>
      <c r="I394" s="6" t="str">
        <f t="array" ref="I394">IFERROR(INDEX(Bookings!$G:$G,MATCH(B394,Bookings!$B:$B,0)),"")</f>
        <v>1</v>
      </c>
      <c r="J394" s="5">
        <f>VLOOKUP(B394,Bookings!B:H,7,FALSE())</f>
        <v>27.5</v>
      </c>
      <c r="K394" s="5" t="str">
        <f t="shared" si="1"/>
        <v>Long</v>
      </c>
      <c r="L394" s="11">
        <f t="array" ref="L394">IFERROR(INDEX(Bookings!$K:$K,MATCH(A394,Bookings!$A:$A,0)),"")</f>
        <v>10744</v>
      </c>
      <c r="M394" s="5" t="str">
        <f t="shared" si="2"/>
        <v>Medium</v>
      </c>
      <c r="N394" s="5">
        <f t="array" ref="N394">IFERROR(INDEX(Bookings!$I:$I,MATCH(A394,Bookings!$A:$A,0)),"")</f>
        <v>2</v>
      </c>
      <c r="O394" s="5" t="str">
        <f t="shared" si="3"/>
        <v>Last Minute</v>
      </c>
      <c r="P394" s="5" t="str">
        <f t="shared" si="4"/>
        <v>Bengaluru -&gt; Delhi</v>
      </c>
    </row>
    <row r="395" ht="15.75" customHeight="1">
      <c r="A395" s="5" t="s">
        <v>1571</v>
      </c>
      <c r="B395" s="5" t="s">
        <v>286</v>
      </c>
      <c r="C395" s="5" t="s">
        <v>288</v>
      </c>
      <c r="D395" s="5" t="s">
        <v>45</v>
      </c>
      <c r="E395" s="6" t="str">
        <f t="array" ref="E395">IFERROR(INDEX(Airlines!$B:$B,MATCH(D395,Airlines!$A:$A,0)),"")</f>
        <v>Air_India</v>
      </c>
      <c r="F395" s="6" t="str">
        <f>VLOOKUP(A395,Bookings!$A:$F,6,FALSE())</f>
        <v>Economy</v>
      </c>
      <c r="G395" s="6" t="str">
        <f t="array" ref="G395">IFERROR(INDEX(Flights!$E:$E,MATCH(B395,Flights!$A:$A,0)),"")</f>
        <v>Bengaluru</v>
      </c>
      <c r="H395" s="6" t="str">
        <f>VLOOKUP(B395,Flights!A:H,6,FALSE())</f>
        <v>Delhi</v>
      </c>
      <c r="I395" s="6" t="str">
        <f t="array" ref="I395">IFERROR(INDEX(Bookings!$G:$G,MATCH(B395,Bookings!$B:$B,0)),"")</f>
        <v>1</v>
      </c>
      <c r="J395" s="5">
        <f>VLOOKUP(B395,Bookings!B:H,7,FALSE())</f>
        <v>7.92</v>
      </c>
      <c r="K395" s="5" t="str">
        <f t="shared" si="1"/>
        <v>Medium</v>
      </c>
      <c r="L395" s="11">
        <f t="array" ref="L395">IFERROR(INDEX(Bookings!$K:$K,MATCH(A395,Bookings!$A:$A,0)),"")</f>
        <v>18560</v>
      </c>
      <c r="M395" s="5" t="str">
        <f t="shared" si="2"/>
        <v>High</v>
      </c>
      <c r="N395" s="5">
        <f t="array" ref="N395">IFERROR(INDEX(Bookings!$I:$I,MATCH(A395,Bookings!$A:$A,0)),"")</f>
        <v>29</v>
      </c>
      <c r="O395" s="5" t="str">
        <f t="shared" si="3"/>
        <v>Moderate</v>
      </c>
      <c r="P395" s="5" t="str">
        <f t="shared" si="4"/>
        <v>Bengaluru -&gt; Delhi</v>
      </c>
    </row>
    <row r="396" ht="15.75" customHeight="1">
      <c r="A396" s="5" t="s">
        <v>1573</v>
      </c>
      <c r="B396" s="5" t="s">
        <v>366</v>
      </c>
      <c r="C396" s="5" t="s">
        <v>288</v>
      </c>
      <c r="D396" s="5" t="s">
        <v>29</v>
      </c>
      <c r="E396" s="6" t="str">
        <f t="array" ref="E396">IFERROR(INDEX(Airlines!$B:$B,MATCH(D396,Airlines!$A:$A,0)),"")</f>
        <v>AirAsia</v>
      </c>
      <c r="F396" s="6" t="str">
        <f>VLOOKUP(A396,Bookings!$A:$F,6,FALSE())</f>
        <v>Economy</v>
      </c>
      <c r="G396" s="6" t="str">
        <f t="array" ref="G396">IFERROR(INDEX(Flights!$E:$E,MATCH(B396,Flights!$A:$A,0)),"")</f>
        <v>Bengaluru</v>
      </c>
      <c r="H396" s="6" t="str">
        <f>VLOOKUP(B396,Flights!A:H,6,FALSE())</f>
        <v>Delhi</v>
      </c>
      <c r="I396" s="6" t="str">
        <f t="array" ref="I396">IFERROR(INDEX(Bookings!$G:$G,MATCH(B396,Bookings!$B:$B,0)),"")</f>
        <v>1</v>
      </c>
      <c r="J396" s="5">
        <f>VLOOKUP(B396,Bookings!B:H,7,FALSE())</f>
        <v>17.33</v>
      </c>
      <c r="K396" s="5" t="str">
        <f t="shared" si="1"/>
        <v>Long</v>
      </c>
      <c r="L396" s="11">
        <f t="array" ref="L396">IFERROR(INDEX(Bookings!$K:$K,MATCH(A396,Bookings!$A:$A,0)),"")</f>
        <v>7484</v>
      </c>
      <c r="M396" s="5" t="str">
        <f t="shared" si="2"/>
        <v>Medium</v>
      </c>
      <c r="N396" s="5">
        <f t="array" ref="N396">IFERROR(INDEX(Bookings!$I:$I,MATCH(A396,Bookings!$A:$A,0)),"")</f>
        <v>9</v>
      </c>
      <c r="O396" s="5" t="str">
        <f t="shared" si="3"/>
        <v>Short Notice</v>
      </c>
      <c r="P396" s="5" t="str">
        <f t="shared" si="4"/>
        <v>Bengaluru -&gt; Delhi</v>
      </c>
    </row>
    <row r="397" ht="15.75" customHeight="1">
      <c r="A397" s="5" t="s">
        <v>1575</v>
      </c>
      <c r="B397" s="5" t="s">
        <v>400</v>
      </c>
      <c r="C397" s="5" t="s">
        <v>288</v>
      </c>
      <c r="D397" s="5" t="s">
        <v>20</v>
      </c>
      <c r="E397" s="6" t="str">
        <f t="array" ref="E397">IFERROR(INDEX(Airlines!$B:$B,MATCH(D397,Airlines!$A:$A,0)),"")</f>
        <v>Vistara</v>
      </c>
      <c r="F397" s="6" t="str">
        <f>VLOOKUP(A397,Bookings!$A:$F,6,FALSE())</f>
        <v>Business</v>
      </c>
      <c r="G397" s="6" t="str">
        <f t="array" ref="G397">IFERROR(INDEX(Flights!$E:$E,MATCH(B397,Flights!$A:$A,0)),"")</f>
        <v>Bengaluru</v>
      </c>
      <c r="H397" s="6" t="str">
        <f>VLOOKUP(B397,Flights!A:H,6,FALSE())</f>
        <v>Delhi</v>
      </c>
      <c r="I397" s="6" t="str">
        <f t="array" ref="I397">IFERROR(INDEX(Bookings!$G:$G,MATCH(B397,Bookings!$B:$B,0)),"")</f>
        <v>1</v>
      </c>
      <c r="J397" s="5">
        <f>VLOOKUP(B397,Bookings!B:H,7,FALSE())</f>
        <v>7.42</v>
      </c>
      <c r="K397" s="5" t="str">
        <f t="shared" si="1"/>
        <v>Medium</v>
      </c>
      <c r="L397" s="11">
        <f t="array" ref="L397">IFERROR(INDEX(Bookings!$K:$K,MATCH(A397,Bookings!$A:$A,0)),"")</f>
        <v>54841</v>
      </c>
      <c r="M397" s="5" t="str">
        <f t="shared" si="2"/>
        <v>High</v>
      </c>
      <c r="N397" s="5">
        <f t="array" ref="N397">IFERROR(INDEX(Bookings!$I:$I,MATCH(A397,Bookings!$A:$A,0)),"")</f>
        <v>15</v>
      </c>
      <c r="O397" s="5" t="str">
        <f t="shared" si="3"/>
        <v>Short Notice</v>
      </c>
      <c r="P397" s="5" t="str">
        <f t="shared" si="4"/>
        <v>Bengaluru -&gt; Delhi</v>
      </c>
    </row>
    <row r="398" ht="15.75" customHeight="1">
      <c r="A398" s="5" t="s">
        <v>1578</v>
      </c>
      <c r="B398" s="5" t="s">
        <v>358</v>
      </c>
      <c r="C398" s="5" t="s">
        <v>288</v>
      </c>
      <c r="D398" s="5" t="s">
        <v>20</v>
      </c>
      <c r="E398" s="6" t="str">
        <f t="array" ref="E398">IFERROR(INDEX(Airlines!$B:$B,MATCH(D398,Airlines!$A:$A,0)),"")</f>
        <v>Vistara</v>
      </c>
      <c r="F398" s="6" t="str">
        <f>VLOOKUP(A398,Bookings!$A:$F,6,FALSE())</f>
        <v>Economy</v>
      </c>
      <c r="G398" s="6" t="str">
        <f t="array" ref="G398">IFERROR(INDEX(Flights!$E:$E,MATCH(B398,Flights!$A:$A,0)),"")</f>
        <v>Bengaluru</v>
      </c>
      <c r="H398" s="6" t="str">
        <f>VLOOKUP(B398,Flights!A:H,6,FALSE())</f>
        <v>Delhi</v>
      </c>
      <c r="I398" s="6" t="str">
        <f t="array" ref="I398">IFERROR(INDEX(Bookings!$G:$G,MATCH(B398,Bookings!$B:$B,0)),"")</f>
        <v>1</v>
      </c>
      <c r="J398" s="5">
        <f>VLOOKUP(B398,Bookings!B:H,7,FALSE())</f>
        <v>12.42</v>
      </c>
      <c r="K398" s="5" t="str">
        <f t="shared" si="1"/>
        <v>Long</v>
      </c>
      <c r="L398" s="11">
        <f t="array" ref="L398">IFERROR(INDEX(Bookings!$K:$K,MATCH(A398,Bookings!$A:$A,0)),"")</f>
        <v>4111</v>
      </c>
      <c r="M398" s="5" t="str">
        <f t="shared" si="2"/>
        <v>Low</v>
      </c>
      <c r="N398" s="5">
        <f t="array" ref="N398">IFERROR(INDEX(Bookings!$I:$I,MATCH(A398,Bookings!$A:$A,0)),"")</f>
        <v>45</v>
      </c>
      <c r="O398" s="5" t="str">
        <f t="shared" si="3"/>
        <v>Advance</v>
      </c>
      <c r="P398" s="5" t="str">
        <f t="shared" si="4"/>
        <v>Bengaluru -&gt; Delhi</v>
      </c>
    </row>
    <row r="399" ht="15.75" customHeight="1">
      <c r="A399" s="5" t="s">
        <v>1580</v>
      </c>
      <c r="B399" s="5" t="s">
        <v>297</v>
      </c>
      <c r="C399" s="5" t="s">
        <v>288</v>
      </c>
      <c r="D399" s="5" t="s">
        <v>43</v>
      </c>
      <c r="E399" s="6" t="str">
        <f t="array" ref="E399">IFERROR(INDEX(Airlines!$B:$B,MATCH(D399,Airlines!$A:$A,0)),"")</f>
        <v>Indigo</v>
      </c>
      <c r="F399" s="6" t="str">
        <f>VLOOKUP(A399,Bookings!$A:$F,6,FALSE())</f>
        <v>Economy</v>
      </c>
      <c r="G399" s="6" t="str">
        <f t="array" ref="G399">IFERROR(INDEX(Flights!$E:$E,MATCH(B399,Flights!$A:$A,0)),"")</f>
        <v>Bengaluru</v>
      </c>
      <c r="H399" s="6" t="str">
        <f>VLOOKUP(B399,Flights!A:H,6,FALSE())</f>
        <v>Delhi</v>
      </c>
      <c r="I399" s="6" t="str">
        <f t="array" ref="I399">IFERROR(INDEX(Bookings!$G:$G,MATCH(B399,Bookings!$B:$B,0)),"")</f>
        <v>1</v>
      </c>
      <c r="J399" s="5">
        <f>VLOOKUP(B399,Bookings!B:H,7,FALSE())</f>
        <v>6.67</v>
      </c>
      <c r="K399" s="5" t="str">
        <f t="shared" si="1"/>
        <v>Medium</v>
      </c>
      <c r="L399" s="11">
        <f t="array" ref="L399">IFERROR(INDEX(Bookings!$K:$K,MATCH(A399,Bookings!$A:$A,0)),"")</f>
        <v>5111</v>
      </c>
      <c r="M399" s="5" t="str">
        <f t="shared" si="2"/>
        <v>Medium</v>
      </c>
      <c r="N399" s="5">
        <f t="array" ref="N399">IFERROR(INDEX(Bookings!$I:$I,MATCH(A399,Bookings!$A:$A,0)),"")</f>
        <v>39</v>
      </c>
      <c r="O399" s="5" t="str">
        <f t="shared" si="3"/>
        <v>Advance</v>
      </c>
      <c r="P399" s="5" t="str">
        <f t="shared" si="4"/>
        <v>Bengaluru -&gt; Delhi</v>
      </c>
    </row>
    <row r="400" ht="15.75" customHeight="1">
      <c r="A400" s="5" t="s">
        <v>1582</v>
      </c>
      <c r="B400" s="5" t="s">
        <v>305</v>
      </c>
      <c r="C400" s="5" t="s">
        <v>288</v>
      </c>
      <c r="D400" s="5" t="s">
        <v>20</v>
      </c>
      <c r="E400" s="6" t="str">
        <f t="array" ref="E400">IFERROR(INDEX(Airlines!$B:$B,MATCH(D400,Airlines!$A:$A,0)),"")</f>
        <v>Vistara</v>
      </c>
      <c r="F400" s="6" t="str">
        <f>VLOOKUP(A400,Bookings!$A:$F,6,FALSE())</f>
        <v>Economy</v>
      </c>
      <c r="G400" s="6" t="str">
        <f t="array" ref="G400">IFERROR(INDEX(Flights!$E:$E,MATCH(B400,Flights!$A:$A,0)),"")</f>
        <v>Bengaluru</v>
      </c>
      <c r="H400" s="6" t="str">
        <f>VLOOKUP(B400,Flights!A:H,6,FALSE())</f>
        <v>Delhi</v>
      </c>
      <c r="I400" s="6" t="str">
        <f t="array" ref="I400">IFERROR(INDEX(Bookings!$G:$G,MATCH(B400,Bookings!$B:$B,0)),"")</f>
        <v>1</v>
      </c>
      <c r="J400" s="5">
        <f>VLOOKUP(B400,Bookings!B:H,7,FALSE())</f>
        <v>13.5</v>
      </c>
      <c r="K400" s="5" t="str">
        <f t="shared" si="1"/>
        <v>Long</v>
      </c>
      <c r="L400" s="11">
        <f t="array" ref="L400">IFERROR(INDEX(Bookings!$K:$K,MATCH(A400,Bookings!$A:$A,0)),"")</f>
        <v>4111</v>
      </c>
      <c r="M400" s="5" t="str">
        <f t="shared" si="2"/>
        <v>Low</v>
      </c>
      <c r="N400" s="5">
        <f t="array" ref="N400">IFERROR(INDEX(Bookings!$I:$I,MATCH(A400,Bookings!$A:$A,0)),"")</f>
        <v>45</v>
      </c>
      <c r="O400" s="5" t="str">
        <f t="shared" si="3"/>
        <v>Advance</v>
      </c>
      <c r="P400" s="5" t="str">
        <f t="shared" si="4"/>
        <v>Bengaluru -&gt; Delhi</v>
      </c>
    </row>
    <row r="401" ht="15.75" customHeight="1">
      <c r="A401" s="5" t="s">
        <v>1585</v>
      </c>
      <c r="B401" s="5" t="s">
        <v>402</v>
      </c>
      <c r="C401" s="5" t="s">
        <v>288</v>
      </c>
      <c r="D401" s="5" t="s">
        <v>20</v>
      </c>
      <c r="E401" s="6" t="str">
        <f t="array" ref="E401">IFERROR(INDEX(Airlines!$B:$B,MATCH(D401,Airlines!$A:$A,0)),"")</f>
        <v>Vistara</v>
      </c>
      <c r="F401" s="6" t="str">
        <f>VLOOKUP(A401,Bookings!$A:$F,6,FALSE())</f>
        <v>Economy</v>
      </c>
      <c r="G401" s="6" t="str">
        <f t="array" ref="G401">IFERROR(INDEX(Flights!$E:$E,MATCH(B401,Flights!$A:$A,0)),"")</f>
        <v>Bengaluru</v>
      </c>
      <c r="H401" s="6" t="str">
        <f>VLOOKUP(B401,Flights!A:H,6,FALSE())</f>
        <v>Delhi</v>
      </c>
      <c r="I401" s="6" t="str">
        <f t="array" ref="I401">IFERROR(INDEX(Bookings!$G:$G,MATCH(B401,Bookings!$B:$B,0)),"")</f>
        <v>1</v>
      </c>
      <c r="J401" s="5">
        <f>VLOOKUP(B401,Bookings!B:H,7,FALSE())</f>
        <v>6.83</v>
      </c>
      <c r="K401" s="5" t="str">
        <f t="shared" si="1"/>
        <v>Medium</v>
      </c>
      <c r="L401" s="11">
        <f t="array" ref="L401">IFERROR(INDEX(Bookings!$K:$K,MATCH(A401,Bookings!$A:$A,0)),"")</f>
        <v>7762</v>
      </c>
      <c r="M401" s="5" t="str">
        <f t="shared" si="2"/>
        <v>Medium</v>
      </c>
      <c r="N401" s="5">
        <f t="array" ref="N401">IFERROR(INDEX(Bookings!$I:$I,MATCH(A401,Bookings!$A:$A,0)),"")</f>
        <v>46</v>
      </c>
      <c r="O401" s="5" t="str">
        <f t="shared" si="3"/>
        <v>Advance</v>
      </c>
      <c r="P401" s="5" t="str">
        <f t="shared" si="4"/>
        <v>Bengaluru -&gt; Delhi</v>
      </c>
    </row>
    <row r="402" ht="15.75" customHeight="1">
      <c r="A402" s="5" t="s">
        <v>1587</v>
      </c>
      <c r="B402" s="5" t="s">
        <v>332</v>
      </c>
      <c r="C402" s="5" t="s">
        <v>288</v>
      </c>
      <c r="D402" s="5" t="s">
        <v>72</v>
      </c>
      <c r="E402" s="6" t="str">
        <f t="array" ref="E402">IFERROR(INDEX(Airlines!$B:$B,MATCH(D402,Airlines!$A:$A,0)),"")</f>
        <v>Spicejet</v>
      </c>
      <c r="F402" s="6" t="str">
        <f>VLOOKUP(A402,Bookings!$A:$F,6,FALSE())</f>
        <v>Economy</v>
      </c>
      <c r="G402" s="6" t="str">
        <f t="array" ref="G402">IFERROR(INDEX(Flights!$E:$E,MATCH(B402,Flights!$A:$A,0)),"")</f>
        <v>Bengaluru</v>
      </c>
      <c r="H402" s="6" t="str">
        <f>VLOOKUP(B402,Flights!A:H,6,FALSE())</f>
        <v>Delhi</v>
      </c>
      <c r="I402" s="6" t="str">
        <f t="array" ref="I402">IFERROR(INDEX(Bookings!$G:$G,MATCH(B402,Bookings!$B:$B,0)),"")</f>
        <v>1</v>
      </c>
      <c r="J402" s="5">
        <f>VLOOKUP(B402,Bookings!B:H,7,FALSE())</f>
        <v>17.83</v>
      </c>
      <c r="K402" s="5" t="str">
        <f t="shared" si="1"/>
        <v>Long</v>
      </c>
      <c r="L402" s="11">
        <f t="array" ref="L402">IFERROR(INDEX(Bookings!$K:$K,MATCH(A402,Bookings!$A:$A,0)),"")</f>
        <v>7336</v>
      </c>
      <c r="M402" s="5" t="str">
        <f t="shared" si="2"/>
        <v>Medium</v>
      </c>
      <c r="N402" s="5">
        <f t="array" ref="N402">IFERROR(INDEX(Bookings!$I:$I,MATCH(A402,Bookings!$A:$A,0)),"")</f>
        <v>3</v>
      </c>
      <c r="O402" s="5" t="str">
        <f t="shared" si="3"/>
        <v>Last Minute</v>
      </c>
      <c r="P402" s="5" t="str">
        <f t="shared" si="4"/>
        <v>Bengaluru -&gt; Delhi</v>
      </c>
    </row>
    <row r="403" ht="15.75" customHeight="1">
      <c r="A403" s="5" t="s">
        <v>1589</v>
      </c>
      <c r="B403" s="5" t="s">
        <v>413</v>
      </c>
      <c r="C403" s="5" t="s">
        <v>288</v>
      </c>
      <c r="D403" s="5" t="s">
        <v>20</v>
      </c>
      <c r="E403" s="6" t="str">
        <f t="array" ref="E403">IFERROR(INDEX(Airlines!$B:$B,MATCH(D403,Airlines!$A:$A,0)),"")</f>
        <v>Vistara</v>
      </c>
      <c r="F403" s="6" t="str">
        <f>VLOOKUP(A403,Bookings!$A:$F,6,FALSE())</f>
        <v>Economy</v>
      </c>
      <c r="G403" s="6" t="str">
        <f t="array" ref="G403">IFERROR(INDEX(Flights!$E:$E,MATCH(B403,Flights!$A:$A,0)),"")</f>
        <v>Bengaluru</v>
      </c>
      <c r="H403" s="6" t="str">
        <f>VLOOKUP(B403,Flights!A:H,6,FALSE())</f>
        <v>Delhi</v>
      </c>
      <c r="I403" s="6" t="str">
        <f t="array" ref="I403">IFERROR(INDEX(Bookings!$G:$G,MATCH(B403,Bookings!$B:$B,0)),"")</f>
        <v>1</v>
      </c>
      <c r="J403" s="5">
        <f>VLOOKUP(B403,Bookings!B:H,7,FALSE())</f>
        <v>18.25</v>
      </c>
      <c r="K403" s="5" t="str">
        <f t="shared" si="1"/>
        <v>Long</v>
      </c>
      <c r="L403" s="11">
        <f t="array" ref="L403">IFERROR(INDEX(Bookings!$K:$K,MATCH(A403,Bookings!$A:$A,0)),"")</f>
        <v>12792</v>
      </c>
      <c r="M403" s="5" t="str">
        <f t="shared" si="2"/>
        <v>Medium</v>
      </c>
      <c r="N403" s="5">
        <f t="array" ref="N403">IFERROR(INDEX(Bookings!$I:$I,MATCH(A403,Bookings!$A:$A,0)),"")</f>
        <v>2</v>
      </c>
      <c r="O403" s="5" t="str">
        <f t="shared" si="3"/>
        <v>Last Minute</v>
      </c>
      <c r="P403" s="5" t="str">
        <f t="shared" si="4"/>
        <v>Bengaluru -&gt; Delhi</v>
      </c>
    </row>
    <row r="404" ht="15.75" customHeight="1">
      <c r="A404" s="5" t="s">
        <v>1591</v>
      </c>
      <c r="B404" s="5" t="s">
        <v>393</v>
      </c>
      <c r="C404" s="5" t="s">
        <v>288</v>
      </c>
      <c r="D404" s="5" t="s">
        <v>43</v>
      </c>
      <c r="E404" s="6" t="str">
        <f t="array" ref="E404">IFERROR(INDEX(Airlines!$B:$B,MATCH(D404,Airlines!$A:$A,0)),"")</f>
        <v>Indigo</v>
      </c>
      <c r="F404" s="6" t="str">
        <f>VLOOKUP(A404,Bookings!$A:$F,6,FALSE())</f>
        <v>Economy</v>
      </c>
      <c r="G404" s="6" t="str">
        <f t="array" ref="G404">IFERROR(INDEX(Flights!$E:$E,MATCH(B404,Flights!$A:$A,0)),"")</f>
        <v>Bengaluru</v>
      </c>
      <c r="H404" s="6" t="str">
        <f>VLOOKUP(B404,Flights!A:H,6,FALSE())</f>
        <v>Delhi</v>
      </c>
      <c r="I404" s="6" t="str">
        <f t="array" ref="I404">IFERROR(INDEX(Bookings!$G:$G,MATCH(B404,Bookings!$B:$B,0)),"")</f>
        <v>1</v>
      </c>
      <c r="J404" s="5">
        <f>VLOOKUP(B404,Bookings!B:H,7,FALSE())</f>
        <v>6.75</v>
      </c>
      <c r="K404" s="5" t="str">
        <f t="shared" si="1"/>
        <v>Medium</v>
      </c>
      <c r="L404" s="11">
        <f t="array" ref="L404">IFERROR(INDEX(Bookings!$K:$K,MATCH(A404,Bookings!$A:$A,0)),"")</f>
        <v>5333</v>
      </c>
      <c r="M404" s="5" t="str">
        <f t="shared" si="2"/>
        <v>Medium</v>
      </c>
      <c r="N404" s="5">
        <f t="array" ref="N404">IFERROR(INDEX(Bookings!$I:$I,MATCH(A404,Bookings!$A:$A,0)),"")</f>
        <v>16</v>
      </c>
      <c r="O404" s="5" t="str">
        <f t="shared" si="3"/>
        <v>Moderate</v>
      </c>
      <c r="P404" s="5" t="str">
        <f t="shared" si="4"/>
        <v>Bengaluru -&gt; Delhi</v>
      </c>
    </row>
    <row r="405" ht="15.75" customHeight="1">
      <c r="A405" s="5" t="s">
        <v>1594</v>
      </c>
      <c r="B405" s="5" t="s">
        <v>408</v>
      </c>
      <c r="C405" s="5" t="s">
        <v>288</v>
      </c>
      <c r="D405" s="5" t="s">
        <v>29</v>
      </c>
      <c r="E405" s="6" t="str">
        <f t="array" ref="E405">IFERROR(INDEX(Airlines!$B:$B,MATCH(D405,Airlines!$A:$A,0)),"")</f>
        <v>AirAsia</v>
      </c>
      <c r="F405" s="6" t="str">
        <f>VLOOKUP(A405,Bookings!$A:$F,6,FALSE())</f>
        <v>Economy</v>
      </c>
      <c r="G405" s="6" t="str">
        <f t="array" ref="G405">IFERROR(INDEX(Flights!$E:$E,MATCH(B405,Flights!$A:$A,0)),"")</f>
        <v>Bengaluru</v>
      </c>
      <c r="H405" s="6" t="str">
        <f>VLOOKUP(B405,Flights!A:H,6,FALSE())</f>
        <v>Delhi</v>
      </c>
      <c r="I405" s="6" t="str">
        <f t="array" ref="I405">IFERROR(INDEX(Bookings!$G:$G,MATCH(B405,Bookings!$B:$B,0)),"")</f>
        <v>1</v>
      </c>
      <c r="J405" s="5">
        <f>VLOOKUP(B405,Bookings!B:H,7,FALSE())</f>
        <v>9.17</v>
      </c>
      <c r="K405" s="5" t="str">
        <f t="shared" si="1"/>
        <v>Medium</v>
      </c>
      <c r="L405" s="11">
        <f t="array" ref="L405">IFERROR(INDEX(Bookings!$K:$K,MATCH(A405,Bookings!$A:$A,0)),"")</f>
        <v>3467</v>
      </c>
      <c r="M405" s="5" t="str">
        <f t="shared" si="2"/>
        <v>Low</v>
      </c>
      <c r="N405" s="5">
        <f t="array" ref="N405">IFERROR(INDEX(Bookings!$I:$I,MATCH(A405,Bookings!$A:$A,0)),"")</f>
        <v>43</v>
      </c>
      <c r="O405" s="5" t="str">
        <f t="shared" si="3"/>
        <v>Advance</v>
      </c>
      <c r="P405" s="5" t="str">
        <f t="shared" si="4"/>
        <v>Bengaluru -&gt; Delhi</v>
      </c>
    </row>
    <row r="406" ht="15.75" customHeight="1">
      <c r="A406" s="5" t="s">
        <v>1598</v>
      </c>
      <c r="B406" s="5" t="s">
        <v>346</v>
      </c>
      <c r="C406" s="5" t="s">
        <v>288</v>
      </c>
      <c r="D406" s="5" t="s">
        <v>58</v>
      </c>
      <c r="E406" s="6" t="str">
        <f t="array" ref="E406">IFERROR(INDEX(Airlines!$B:$B,MATCH(D406,Airlines!$A:$A,0)),"")</f>
        <v>Go_First</v>
      </c>
      <c r="F406" s="6" t="str">
        <f>VLOOKUP(A406,Bookings!$A:$F,6,FALSE())</f>
        <v>Economy</v>
      </c>
      <c r="G406" s="6" t="str">
        <f t="array" ref="G406">IFERROR(INDEX(Flights!$E:$E,MATCH(B406,Flights!$A:$A,0)),"")</f>
        <v>Bengaluru</v>
      </c>
      <c r="H406" s="6" t="str">
        <f>VLOOKUP(B406,Flights!A:H,6,FALSE())</f>
        <v>Delhi</v>
      </c>
      <c r="I406" s="6" t="str">
        <f t="array" ref="I406">IFERROR(INDEX(Bookings!$G:$G,MATCH(B406,Bookings!$B:$B,0)),"")</f>
        <v>1</v>
      </c>
      <c r="J406" s="5">
        <f>VLOOKUP(B406,Bookings!B:H,7,FALSE())</f>
        <v>7.5</v>
      </c>
      <c r="K406" s="5" t="str">
        <f t="shared" si="1"/>
        <v>Medium</v>
      </c>
      <c r="L406" s="11">
        <f t="array" ref="L406">IFERROR(INDEX(Bookings!$K:$K,MATCH(A406,Bookings!$A:$A,0)),"")</f>
        <v>17775</v>
      </c>
      <c r="M406" s="5" t="str">
        <f t="shared" si="2"/>
        <v>High</v>
      </c>
      <c r="N406" s="5">
        <f t="array" ref="N406">IFERROR(INDEX(Bookings!$I:$I,MATCH(A406,Bookings!$A:$A,0)),"")</f>
        <v>3</v>
      </c>
      <c r="O406" s="5" t="str">
        <f t="shared" si="3"/>
        <v>Last Minute</v>
      </c>
      <c r="P406" s="5" t="str">
        <f t="shared" si="4"/>
        <v>Bengaluru -&gt; Delhi</v>
      </c>
    </row>
    <row r="407" ht="15.75" customHeight="1">
      <c r="A407" s="5" t="s">
        <v>1600</v>
      </c>
      <c r="B407" s="5" t="s">
        <v>417</v>
      </c>
      <c r="C407" s="5" t="s">
        <v>288</v>
      </c>
      <c r="D407" s="5" t="s">
        <v>20</v>
      </c>
      <c r="E407" s="6" t="str">
        <f t="array" ref="E407">IFERROR(INDEX(Airlines!$B:$B,MATCH(D407,Airlines!$A:$A,0)),"")</f>
        <v>Vistara</v>
      </c>
      <c r="F407" s="6" t="str">
        <f>VLOOKUP(A407,Bookings!$A:$F,6,FALSE())</f>
        <v>Business</v>
      </c>
      <c r="G407" s="6" t="str">
        <f t="array" ref="G407">IFERROR(INDEX(Flights!$E:$E,MATCH(B407,Flights!$A:$A,0)),"")</f>
        <v>Bengaluru</v>
      </c>
      <c r="H407" s="6" t="str">
        <f>VLOOKUP(B407,Flights!A:H,6,FALSE())</f>
        <v>Delhi</v>
      </c>
      <c r="I407" s="6" t="str">
        <f t="array" ref="I407">IFERROR(INDEX(Bookings!$G:$G,MATCH(B407,Bookings!$B:$B,0)),"")</f>
        <v>1</v>
      </c>
      <c r="J407" s="5">
        <f>VLOOKUP(B407,Bookings!B:H,7,FALSE())</f>
        <v>22.17</v>
      </c>
      <c r="K407" s="5" t="str">
        <f t="shared" si="1"/>
        <v>Long</v>
      </c>
      <c r="L407" s="11">
        <f t="array" ref="L407">IFERROR(INDEX(Bookings!$K:$K,MATCH(A407,Bookings!$A:$A,0)),"")</f>
        <v>7336</v>
      </c>
      <c r="M407" s="5" t="str">
        <f t="shared" si="2"/>
        <v>Medium</v>
      </c>
      <c r="N407" s="5">
        <f t="array" ref="N407">IFERROR(INDEX(Bookings!$I:$I,MATCH(A407,Bookings!$A:$A,0)),"")</f>
        <v>4</v>
      </c>
      <c r="O407" s="5" t="str">
        <f t="shared" si="3"/>
        <v>Last Minute</v>
      </c>
      <c r="P407" s="5" t="str">
        <f t="shared" si="4"/>
        <v>Bengaluru -&gt; Delhi</v>
      </c>
    </row>
    <row r="408" ht="15.75" customHeight="1">
      <c r="A408" s="5" t="s">
        <v>1602</v>
      </c>
      <c r="B408" s="5" t="s">
        <v>370</v>
      </c>
      <c r="C408" s="5" t="s">
        <v>288</v>
      </c>
      <c r="D408" s="5" t="s">
        <v>45</v>
      </c>
      <c r="E408" s="6" t="str">
        <f t="array" ref="E408">IFERROR(INDEX(Airlines!$B:$B,MATCH(D408,Airlines!$A:$A,0)),"")</f>
        <v>Air_India</v>
      </c>
      <c r="F408" s="6" t="str">
        <f>VLOOKUP(A408,Bookings!$A:$F,6,FALSE())</f>
        <v>Business</v>
      </c>
      <c r="G408" s="6" t="str">
        <f t="array" ref="G408">IFERROR(INDEX(Flights!$E:$E,MATCH(B408,Flights!$A:$A,0)),"")</f>
        <v>Bengaluru</v>
      </c>
      <c r="H408" s="6" t="str">
        <f>VLOOKUP(B408,Flights!A:H,6,FALSE())</f>
        <v>Delhi</v>
      </c>
      <c r="I408" s="6" t="str">
        <f t="array" ref="I408">IFERROR(INDEX(Bookings!$G:$G,MATCH(B408,Bookings!$B:$B,0)),"")</f>
        <v>1</v>
      </c>
      <c r="J408" s="5">
        <f>VLOOKUP(B408,Bookings!B:H,7,FALSE())</f>
        <v>15.08</v>
      </c>
      <c r="K408" s="5" t="str">
        <f t="shared" si="1"/>
        <v>Long</v>
      </c>
      <c r="L408" s="11">
        <f t="array" ref="L408">IFERROR(INDEX(Bookings!$K:$K,MATCH(A408,Bookings!$A:$A,0)),"")</f>
        <v>42521</v>
      </c>
      <c r="M408" s="5" t="str">
        <f t="shared" si="2"/>
        <v>High</v>
      </c>
      <c r="N408" s="5">
        <f t="array" ref="N408">IFERROR(INDEX(Bookings!$I:$I,MATCH(A408,Bookings!$A:$A,0)),"")</f>
        <v>20</v>
      </c>
      <c r="O408" s="5" t="str">
        <f t="shared" si="3"/>
        <v>Moderate</v>
      </c>
      <c r="P408" s="5" t="str">
        <f t="shared" si="4"/>
        <v>Bengaluru -&gt; Delhi</v>
      </c>
    </row>
    <row r="409" ht="15.75" customHeight="1">
      <c r="A409" s="5" t="s">
        <v>1607</v>
      </c>
      <c r="B409" s="5" t="s">
        <v>338</v>
      </c>
      <c r="C409" s="5" t="s">
        <v>288</v>
      </c>
      <c r="D409" s="5" t="s">
        <v>45</v>
      </c>
      <c r="E409" s="6" t="str">
        <f t="array" ref="E409">IFERROR(INDEX(Airlines!$B:$B,MATCH(D409,Airlines!$A:$A,0)),"")</f>
        <v>Air_India</v>
      </c>
      <c r="F409" s="6" t="str">
        <f>VLOOKUP(A409,Bookings!$A:$F,6,FALSE())</f>
        <v>Economy</v>
      </c>
      <c r="G409" s="6" t="str">
        <f t="array" ref="G409">IFERROR(INDEX(Flights!$E:$E,MATCH(B409,Flights!$A:$A,0)),"")</f>
        <v>Bengaluru</v>
      </c>
      <c r="H409" s="6" t="str">
        <f>VLOOKUP(B409,Flights!A:H,6,FALSE())</f>
        <v>Delhi</v>
      </c>
      <c r="I409" s="6" t="str">
        <f t="array" ref="I409">IFERROR(INDEX(Bookings!$G:$G,MATCH(B409,Bookings!$B:$B,0)),"")</f>
        <v>1</v>
      </c>
      <c r="J409" s="5">
        <f>VLOOKUP(B409,Bookings!B:H,7,FALSE())</f>
        <v>25.25</v>
      </c>
      <c r="K409" s="5" t="str">
        <f t="shared" si="1"/>
        <v>Long</v>
      </c>
      <c r="L409" s="11">
        <f t="array" ref="L409">IFERROR(INDEX(Bookings!$K:$K,MATCH(A409,Bookings!$A:$A,0)),"")</f>
        <v>10744</v>
      </c>
      <c r="M409" s="5" t="str">
        <f t="shared" si="2"/>
        <v>Medium</v>
      </c>
      <c r="N409" s="5">
        <f t="array" ref="N409">IFERROR(INDEX(Bookings!$I:$I,MATCH(A409,Bookings!$A:$A,0)),"")</f>
        <v>4</v>
      </c>
      <c r="O409" s="5" t="str">
        <f t="shared" si="3"/>
        <v>Last Minute</v>
      </c>
      <c r="P409" s="5" t="str">
        <f t="shared" si="4"/>
        <v>Bengaluru -&gt; Delhi</v>
      </c>
    </row>
    <row r="410" ht="15.75" customHeight="1">
      <c r="A410" s="5" t="s">
        <v>1609</v>
      </c>
      <c r="B410" s="5" t="s">
        <v>330</v>
      </c>
      <c r="C410" s="5" t="s">
        <v>288</v>
      </c>
      <c r="D410" s="5" t="s">
        <v>20</v>
      </c>
      <c r="E410" s="6" t="str">
        <f t="array" ref="E410">IFERROR(INDEX(Airlines!$B:$B,MATCH(D410,Airlines!$A:$A,0)),"")</f>
        <v>Vistara</v>
      </c>
      <c r="F410" s="6" t="str">
        <f>VLOOKUP(A410,Bookings!$A:$F,6,FALSE())</f>
        <v>Economy</v>
      </c>
      <c r="G410" s="6" t="str">
        <f t="array" ref="G410">IFERROR(INDEX(Flights!$E:$E,MATCH(B410,Flights!$A:$A,0)),"")</f>
        <v>Bengaluru</v>
      </c>
      <c r="H410" s="6" t="str">
        <f>VLOOKUP(B410,Flights!A:H,6,FALSE())</f>
        <v>Delhi</v>
      </c>
      <c r="I410" s="6" t="str">
        <f t="array" ref="I410">IFERROR(INDEX(Bookings!$G:$G,MATCH(B410,Bookings!$B:$B,0)),"")</f>
        <v>1</v>
      </c>
      <c r="J410" s="5">
        <f>VLOOKUP(B410,Bookings!B:H,7,FALSE())</f>
        <v>23.92</v>
      </c>
      <c r="K410" s="5" t="str">
        <f t="shared" si="1"/>
        <v>Long</v>
      </c>
      <c r="L410" s="11">
        <f t="array" ref="L410">IFERROR(INDEX(Bookings!$K:$K,MATCH(A410,Bookings!$A:$A,0)),"")</f>
        <v>13938</v>
      </c>
      <c r="M410" s="5" t="str">
        <f t="shared" si="2"/>
        <v>Medium</v>
      </c>
      <c r="N410" s="5">
        <f t="array" ref="N410">IFERROR(INDEX(Bookings!$I:$I,MATCH(A410,Bookings!$A:$A,0)),"")</f>
        <v>6</v>
      </c>
      <c r="O410" s="5" t="str">
        <f t="shared" si="3"/>
        <v>Last Minute</v>
      </c>
      <c r="P410" s="5" t="str">
        <f t="shared" si="4"/>
        <v>Bengaluru -&gt; Delhi</v>
      </c>
    </row>
    <row r="411" ht="15.75" customHeight="1">
      <c r="A411" s="5" t="s">
        <v>1613</v>
      </c>
      <c r="B411" s="5" t="s">
        <v>362</v>
      </c>
      <c r="C411" s="5" t="s">
        <v>288</v>
      </c>
      <c r="D411" s="5" t="s">
        <v>20</v>
      </c>
      <c r="E411" s="6" t="str">
        <f t="array" ref="E411">IFERROR(INDEX(Airlines!$B:$B,MATCH(D411,Airlines!$A:$A,0)),"")</f>
        <v>Vistara</v>
      </c>
      <c r="F411" s="6" t="str">
        <f>VLOOKUP(A411,Bookings!$A:$F,6,FALSE())</f>
        <v>Economy</v>
      </c>
      <c r="G411" s="6" t="str">
        <f t="array" ref="G411">IFERROR(INDEX(Flights!$E:$E,MATCH(B411,Flights!$A:$A,0)),"")</f>
        <v>Bengaluru</v>
      </c>
      <c r="H411" s="6" t="str">
        <f>VLOOKUP(B411,Flights!A:H,6,FALSE())</f>
        <v>Delhi</v>
      </c>
      <c r="I411" s="6" t="str">
        <f t="array" ref="I411">IFERROR(INDEX(Bookings!$G:$G,MATCH(B411,Bookings!$B:$B,0)),"")</f>
        <v>0</v>
      </c>
      <c r="J411" s="5">
        <f>VLOOKUP(B411,Bookings!B:H,7,FALSE())</f>
        <v>2.58</v>
      </c>
      <c r="K411" s="5" t="str">
        <f t="shared" si="1"/>
        <v>Short</v>
      </c>
      <c r="L411" s="11">
        <f t="array" ref="L411">IFERROR(INDEX(Bookings!$K:$K,MATCH(A411,Bookings!$A:$A,0)),"")</f>
        <v>4502</v>
      </c>
      <c r="M411" s="5" t="str">
        <f t="shared" si="2"/>
        <v>Low</v>
      </c>
      <c r="N411" s="5">
        <f t="array" ref="N411">IFERROR(INDEX(Bookings!$I:$I,MATCH(A411,Bookings!$A:$A,0)),"")</f>
        <v>45</v>
      </c>
      <c r="O411" s="5" t="str">
        <f t="shared" si="3"/>
        <v>Advance</v>
      </c>
      <c r="P411" s="5" t="str">
        <f t="shared" si="4"/>
        <v>Bengaluru -&gt; Delhi</v>
      </c>
    </row>
    <row r="412" ht="15.75" customHeight="1">
      <c r="A412" s="5" t="s">
        <v>1615</v>
      </c>
      <c r="B412" s="5" t="s">
        <v>375</v>
      </c>
      <c r="C412" s="5" t="s">
        <v>288</v>
      </c>
      <c r="D412" s="5" t="s">
        <v>20</v>
      </c>
      <c r="E412" s="6" t="str">
        <f t="array" ref="E412">IFERROR(INDEX(Airlines!$B:$B,MATCH(D412,Airlines!$A:$A,0)),"")</f>
        <v>Vistara</v>
      </c>
      <c r="F412" s="6" t="str">
        <f>VLOOKUP(A412,Bookings!$A:$F,6,FALSE())</f>
        <v>Business</v>
      </c>
      <c r="G412" s="6" t="str">
        <f t="array" ref="G412">IFERROR(INDEX(Flights!$E:$E,MATCH(B412,Flights!$A:$A,0)),"")</f>
        <v>Bengaluru</v>
      </c>
      <c r="H412" s="6" t="str">
        <f>VLOOKUP(B412,Flights!A:H,6,FALSE())</f>
        <v>Delhi</v>
      </c>
      <c r="I412" s="6" t="str">
        <f t="array" ref="I412">IFERROR(INDEX(Bookings!$G:$G,MATCH(B412,Bookings!$B:$B,0)),"")</f>
        <v>0</v>
      </c>
      <c r="J412" s="5">
        <f>VLOOKUP(B412,Bookings!B:H,7,FALSE())</f>
        <v>2.92</v>
      </c>
      <c r="K412" s="5" t="str">
        <f t="shared" si="1"/>
        <v>Short</v>
      </c>
      <c r="L412" s="11">
        <f t="array" ref="L412">IFERROR(INDEX(Bookings!$K:$K,MATCH(A412,Bookings!$A:$A,0)),"")</f>
        <v>32923</v>
      </c>
      <c r="M412" s="5" t="str">
        <f t="shared" si="2"/>
        <v>High</v>
      </c>
      <c r="N412" s="5">
        <f t="array" ref="N412">IFERROR(INDEX(Bookings!$I:$I,MATCH(A412,Bookings!$A:$A,0)),"")</f>
        <v>37</v>
      </c>
      <c r="O412" s="5" t="str">
        <f t="shared" si="3"/>
        <v>Advance</v>
      </c>
      <c r="P412" s="5" t="str">
        <f t="shared" si="4"/>
        <v>Bengaluru -&gt; Delhi</v>
      </c>
    </row>
    <row r="413" ht="15.75" customHeight="1">
      <c r="A413" s="5" t="s">
        <v>1619</v>
      </c>
      <c r="B413" s="5" t="s">
        <v>311</v>
      </c>
      <c r="C413" s="5" t="s">
        <v>288</v>
      </c>
      <c r="D413" s="5" t="s">
        <v>20</v>
      </c>
      <c r="E413" s="6" t="str">
        <f t="array" ref="E413">IFERROR(INDEX(Airlines!$B:$B,MATCH(D413,Airlines!$A:$A,0)),"")</f>
        <v>Vistara</v>
      </c>
      <c r="F413" s="6" t="str">
        <f>VLOOKUP(A413,Bookings!$A:$F,6,FALSE())</f>
        <v>Economy</v>
      </c>
      <c r="G413" s="6" t="str">
        <f t="array" ref="G413">IFERROR(INDEX(Flights!$E:$E,MATCH(B413,Flights!$A:$A,0)),"")</f>
        <v>Bengaluru</v>
      </c>
      <c r="H413" s="6" t="str">
        <f>VLOOKUP(B413,Flights!A:H,6,FALSE())</f>
        <v>Delhi</v>
      </c>
      <c r="I413" s="6" t="str">
        <f t="array" ref="I413">IFERROR(INDEX(Bookings!$G:$G,MATCH(B413,Bookings!$B:$B,0)),"")</f>
        <v>1</v>
      </c>
      <c r="J413" s="5">
        <f>VLOOKUP(B413,Bookings!B:H,7,FALSE())</f>
        <v>8.58</v>
      </c>
      <c r="K413" s="5" t="str">
        <f t="shared" si="1"/>
        <v>Medium</v>
      </c>
      <c r="L413" s="11">
        <f t="array" ref="L413">IFERROR(INDEX(Bookings!$K:$K,MATCH(A413,Bookings!$A:$A,0)),"")</f>
        <v>4111</v>
      </c>
      <c r="M413" s="5" t="str">
        <f t="shared" si="2"/>
        <v>Low</v>
      </c>
      <c r="N413" s="5">
        <f t="array" ref="N413">IFERROR(INDEX(Bookings!$I:$I,MATCH(A413,Bookings!$A:$A,0)),"")</f>
        <v>45</v>
      </c>
      <c r="O413" s="5" t="str">
        <f t="shared" si="3"/>
        <v>Advance</v>
      </c>
      <c r="P413" s="5" t="str">
        <f t="shared" si="4"/>
        <v>Bengaluru -&gt; Delhi</v>
      </c>
    </row>
    <row r="414" ht="15.75" customHeight="1">
      <c r="A414" s="5" t="s">
        <v>1621</v>
      </c>
      <c r="B414" s="5" t="s">
        <v>323</v>
      </c>
      <c r="C414" s="5" t="s">
        <v>288</v>
      </c>
      <c r="D414" s="5" t="s">
        <v>45</v>
      </c>
      <c r="E414" s="6" t="str">
        <f t="array" ref="E414">IFERROR(INDEX(Airlines!$B:$B,MATCH(D414,Airlines!$A:$A,0)),"")</f>
        <v>Air_India</v>
      </c>
      <c r="F414" s="6" t="str">
        <f>VLOOKUP(A414,Bookings!$A:$F,6,FALSE())</f>
        <v>Economy</v>
      </c>
      <c r="G414" s="6" t="str">
        <f t="array" ref="G414">IFERROR(INDEX(Flights!$E:$E,MATCH(B414,Flights!$A:$A,0)),"")</f>
        <v>Bengaluru</v>
      </c>
      <c r="H414" s="6" t="str">
        <f>VLOOKUP(B414,Flights!A:H,6,FALSE())</f>
        <v>Delhi</v>
      </c>
      <c r="I414" s="6" t="str">
        <f t="array" ref="I414">IFERROR(INDEX(Bookings!$G:$G,MATCH(B414,Bookings!$B:$B,0)),"")</f>
        <v>1</v>
      </c>
      <c r="J414" s="5">
        <f>VLOOKUP(B414,Bookings!B:H,7,FALSE())</f>
        <v>16.92</v>
      </c>
      <c r="K414" s="5" t="str">
        <f t="shared" si="1"/>
        <v>Long</v>
      </c>
      <c r="L414" s="11">
        <f t="array" ref="L414">IFERROR(INDEX(Bookings!$K:$K,MATCH(A414,Bookings!$A:$A,0)),"")</f>
        <v>11847</v>
      </c>
      <c r="M414" s="5" t="str">
        <f t="shared" si="2"/>
        <v>Medium</v>
      </c>
      <c r="N414" s="5">
        <f t="array" ref="N414">IFERROR(INDEX(Bookings!$I:$I,MATCH(A414,Bookings!$A:$A,0)),"")</f>
        <v>5</v>
      </c>
      <c r="O414" s="5" t="str">
        <f t="shared" si="3"/>
        <v>Last Minute</v>
      </c>
      <c r="P414" s="5" t="str">
        <f t="shared" si="4"/>
        <v>Bengaluru -&gt; Delhi</v>
      </c>
    </row>
    <row r="415" ht="15.75" customHeight="1">
      <c r="A415" s="5" t="s">
        <v>1622</v>
      </c>
      <c r="B415" s="5" t="s">
        <v>303</v>
      </c>
      <c r="C415" s="5" t="s">
        <v>288</v>
      </c>
      <c r="D415" s="5" t="s">
        <v>29</v>
      </c>
      <c r="E415" s="6" t="str">
        <f t="array" ref="E415">IFERROR(INDEX(Airlines!$B:$B,MATCH(D415,Airlines!$A:$A,0)),"")</f>
        <v>AirAsia</v>
      </c>
      <c r="F415" s="6" t="str">
        <f>VLOOKUP(A415,Bookings!$A:$F,6,FALSE())</f>
        <v>Economy</v>
      </c>
      <c r="G415" s="6" t="str">
        <f t="array" ref="G415">IFERROR(INDEX(Flights!$E:$E,MATCH(B415,Flights!$A:$A,0)),"")</f>
        <v>Bengaluru</v>
      </c>
      <c r="H415" s="6" t="str">
        <f>VLOOKUP(B415,Flights!A:H,6,FALSE())</f>
        <v>Delhi</v>
      </c>
      <c r="I415" s="6" t="str">
        <f t="array" ref="I415">IFERROR(INDEX(Bookings!$G:$G,MATCH(B415,Bookings!$B:$B,0)),"")</f>
        <v>0</v>
      </c>
      <c r="J415" s="5">
        <f>VLOOKUP(B415,Bookings!B:H,7,FALSE())</f>
        <v>2.92</v>
      </c>
      <c r="K415" s="5" t="str">
        <f t="shared" si="1"/>
        <v>Short</v>
      </c>
      <c r="L415" s="11">
        <f t="array" ref="L415">IFERROR(INDEX(Bookings!$K:$K,MATCH(A415,Bookings!$A:$A,0)),"")</f>
        <v>4498</v>
      </c>
      <c r="M415" s="5" t="str">
        <f t="shared" si="2"/>
        <v>Low</v>
      </c>
      <c r="N415" s="5">
        <f t="array" ref="N415">IFERROR(INDEX(Bookings!$I:$I,MATCH(A415,Bookings!$A:$A,0)),"")</f>
        <v>37</v>
      </c>
      <c r="O415" s="5" t="str">
        <f t="shared" si="3"/>
        <v>Advance</v>
      </c>
      <c r="P415" s="5" t="str">
        <f t="shared" si="4"/>
        <v>Bengaluru -&gt; Delhi</v>
      </c>
    </row>
    <row r="416" ht="15.75" customHeight="1">
      <c r="A416" s="5" t="s">
        <v>1623</v>
      </c>
      <c r="B416" s="5" t="s">
        <v>317</v>
      </c>
      <c r="C416" s="5" t="s">
        <v>288</v>
      </c>
      <c r="D416" s="5" t="s">
        <v>20</v>
      </c>
      <c r="E416" s="6" t="str">
        <f t="array" ref="E416">IFERROR(INDEX(Airlines!$B:$B,MATCH(D416,Airlines!$A:$A,0)),"")</f>
        <v>Vistara</v>
      </c>
      <c r="F416" s="6" t="str">
        <f>VLOOKUP(A416,Bookings!$A:$F,6,FALSE())</f>
        <v>Economy</v>
      </c>
      <c r="G416" s="6" t="str">
        <f t="array" ref="G416">IFERROR(INDEX(Flights!$E:$E,MATCH(B416,Flights!$A:$A,0)),"")</f>
        <v>Bengaluru</v>
      </c>
      <c r="H416" s="6" t="str">
        <f>VLOOKUP(B416,Flights!A:H,6,FALSE())</f>
        <v>Delhi</v>
      </c>
      <c r="I416" s="6" t="str">
        <f t="array" ref="I416">IFERROR(INDEX(Bookings!$G:$G,MATCH(B416,Bookings!$B:$B,0)),"")</f>
        <v>1</v>
      </c>
      <c r="J416" s="5">
        <f>VLOOKUP(B416,Bookings!B:H,7,FALSE())</f>
        <v>26.92</v>
      </c>
      <c r="K416" s="5" t="str">
        <f t="shared" si="1"/>
        <v>Long</v>
      </c>
      <c r="L416" s="11">
        <f t="array" ref="L416">IFERROR(INDEX(Bookings!$K:$K,MATCH(A416,Bookings!$A:$A,0)),"")</f>
        <v>8014</v>
      </c>
      <c r="M416" s="5" t="str">
        <f t="shared" si="2"/>
        <v>Medium</v>
      </c>
      <c r="N416" s="5">
        <f t="array" ref="N416">IFERROR(INDEX(Bookings!$I:$I,MATCH(A416,Bookings!$A:$A,0)),"")</f>
        <v>35</v>
      </c>
      <c r="O416" s="5" t="str">
        <f t="shared" si="3"/>
        <v>Advance</v>
      </c>
      <c r="P416" s="5" t="str">
        <f t="shared" si="4"/>
        <v>Bengaluru -&gt; Delhi</v>
      </c>
    </row>
    <row r="417" ht="15.75" customHeight="1">
      <c r="A417" s="5" t="s">
        <v>1625</v>
      </c>
      <c r="B417" s="5" t="s">
        <v>410</v>
      </c>
      <c r="C417" s="5" t="s">
        <v>288</v>
      </c>
      <c r="D417" s="5" t="s">
        <v>20</v>
      </c>
      <c r="E417" s="6" t="str">
        <f t="array" ref="E417">IFERROR(INDEX(Airlines!$B:$B,MATCH(D417,Airlines!$A:$A,0)),"")</f>
        <v>Vistara</v>
      </c>
      <c r="F417" s="6" t="str">
        <f>VLOOKUP(A417,Bookings!$A:$F,6,FALSE())</f>
        <v>Economy</v>
      </c>
      <c r="G417" s="6" t="str">
        <f t="array" ref="G417">IFERROR(INDEX(Flights!$E:$E,MATCH(B417,Flights!$A:$A,0)),"")</f>
        <v>Bengaluru</v>
      </c>
      <c r="H417" s="6" t="str">
        <f>VLOOKUP(B417,Flights!A:H,6,FALSE())</f>
        <v>Delhi</v>
      </c>
      <c r="I417" s="6" t="str">
        <f t="array" ref="I417">IFERROR(INDEX(Bookings!$G:$G,MATCH(B417,Bookings!$B:$B,0)),"")</f>
        <v>1</v>
      </c>
      <c r="J417" s="5">
        <f>VLOOKUP(B417,Bookings!B:H,7,FALSE())</f>
        <v>16.75</v>
      </c>
      <c r="K417" s="5" t="str">
        <f t="shared" si="1"/>
        <v>Long</v>
      </c>
      <c r="L417" s="11">
        <f t="array" ref="L417">IFERROR(INDEX(Bookings!$K:$K,MATCH(A417,Bookings!$A:$A,0)),"")</f>
        <v>3811</v>
      </c>
      <c r="M417" s="5" t="str">
        <f t="shared" si="2"/>
        <v>Low</v>
      </c>
      <c r="N417" s="5">
        <f t="array" ref="N417">IFERROR(INDEX(Bookings!$I:$I,MATCH(A417,Bookings!$A:$A,0)),"")</f>
        <v>43</v>
      </c>
      <c r="O417" s="5" t="str">
        <f t="shared" si="3"/>
        <v>Advance</v>
      </c>
      <c r="P417" s="5" t="str">
        <f t="shared" si="4"/>
        <v>Bengaluru -&gt; Delhi</v>
      </c>
    </row>
    <row r="418" ht="15.75" customHeight="1">
      <c r="A418" s="5" t="s">
        <v>1628</v>
      </c>
      <c r="B418" s="5" t="s">
        <v>314</v>
      </c>
      <c r="C418" s="5" t="s">
        <v>288</v>
      </c>
      <c r="D418" s="5" t="s">
        <v>45</v>
      </c>
      <c r="E418" s="6" t="str">
        <f t="array" ref="E418">IFERROR(INDEX(Airlines!$B:$B,MATCH(D418,Airlines!$A:$A,0)),"")</f>
        <v>Air_India</v>
      </c>
      <c r="F418" s="6" t="str">
        <f>VLOOKUP(A418,Bookings!$A:$F,6,FALSE())</f>
        <v>Economy</v>
      </c>
      <c r="G418" s="6" t="str">
        <f t="array" ref="G418">IFERROR(INDEX(Flights!$E:$E,MATCH(B418,Flights!$A:$A,0)),"")</f>
        <v>Bengaluru</v>
      </c>
      <c r="H418" s="6" t="str">
        <f>VLOOKUP(B418,Flights!A:H,6,FALSE())</f>
        <v>Delhi</v>
      </c>
      <c r="I418" s="6" t="str">
        <f t="array" ref="I418">IFERROR(INDEX(Bookings!$G:$G,MATCH(B418,Bookings!$B:$B,0)),"")</f>
        <v>1</v>
      </c>
      <c r="J418" s="5">
        <f>VLOOKUP(B418,Bookings!B:H,7,FALSE())</f>
        <v>24.08</v>
      </c>
      <c r="K418" s="5" t="str">
        <f t="shared" si="1"/>
        <v>Long</v>
      </c>
      <c r="L418" s="11">
        <f t="array" ref="L418">IFERROR(INDEX(Bookings!$K:$K,MATCH(A418,Bookings!$A:$A,0)),"")</f>
        <v>12424</v>
      </c>
      <c r="M418" s="5" t="str">
        <f t="shared" si="2"/>
        <v>Medium</v>
      </c>
      <c r="N418" s="5">
        <f t="array" ref="N418">IFERROR(INDEX(Bookings!$I:$I,MATCH(A418,Bookings!$A:$A,0)),"")</f>
        <v>9</v>
      </c>
      <c r="O418" s="5" t="str">
        <f t="shared" si="3"/>
        <v>Short Notice</v>
      </c>
      <c r="P418" s="5" t="str">
        <f t="shared" si="4"/>
        <v>Bengaluru -&gt; Delhi</v>
      </c>
    </row>
    <row r="419" ht="15.75" customHeight="1">
      <c r="A419" s="5" t="s">
        <v>1630</v>
      </c>
      <c r="B419" s="5" t="s">
        <v>354</v>
      </c>
      <c r="C419" s="5" t="s">
        <v>288</v>
      </c>
      <c r="D419" s="5" t="s">
        <v>29</v>
      </c>
      <c r="E419" s="6" t="str">
        <f t="array" ref="E419">IFERROR(INDEX(Airlines!$B:$B,MATCH(D419,Airlines!$A:$A,0)),"")</f>
        <v>AirAsia</v>
      </c>
      <c r="F419" s="6" t="str">
        <f>VLOOKUP(A419,Bookings!$A:$F,6,FALSE())</f>
        <v>Economy</v>
      </c>
      <c r="G419" s="6" t="str">
        <f t="array" ref="G419">IFERROR(INDEX(Flights!$E:$E,MATCH(B419,Flights!$A:$A,0)),"")</f>
        <v>Bengaluru</v>
      </c>
      <c r="H419" s="6" t="str">
        <f>VLOOKUP(B419,Flights!A:H,6,FALSE())</f>
        <v>Delhi</v>
      </c>
      <c r="I419" s="6" t="str">
        <f t="array" ref="I419">IFERROR(INDEX(Bookings!$G:$G,MATCH(B419,Bookings!$B:$B,0)),"")</f>
        <v>1</v>
      </c>
      <c r="J419" s="5">
        <f>VLOOKUP(B419,Bookings!B:H,7,FALSE())</f>
        <v>12</v>
      </c>
      <c r="K419" s="5" t="str">
        <f t="shared" si="1"/>
        <v>Long</v>
      </c>
      <c r="L419" s="11">
        <f t="array" ref="L419">IFERROR(INDEX(Bookings!$K:$K,MATCH(A419,Bookings!$A:$A,0)),"")</f>
        <v>2723</v>
      </c>
      <c r="M419" s="5" t="str">
        <f t="shared" si="2"/>
        <v>Low</v>
      </c>
      <c r="N419" s="5">
        <f t="array" ref="N419">IFERROR(INDEX(Bookings!$I:$I,MATCH(A419,Bookings!$A:$A,0)),"")</f>
        <v>48</v>
      </c>
      <c r="O419" s="5" t="str">
        <f t="shared" si="3"/>
        <v>Advance</v>
      </c>
      <c r="P419" s="5" t="str">
        <f t="shared" si="4"/>
        <v>Bengaluru -&gt; Delhi</v>
      </c>
    </row>
    <row r="420" ht="15.75" customHeight="1">
      <c r="A420" s="5" t="s">
        <v>1632</v>
      </c>
      <c r="B420" s="5" t="s">
        <v>397</v>
      </c>
      <c r="C420" s="5" t="s">
        <v>288</v>
      </c>
      <c r="D420" s="5" t="s">
        <v>58</v>
      </c>
      <c r="E420" s="6" t="str">
        <f t="array" ref="E420">IFERROR(INDEX(Airlines!$B:$B,MATCH(D420,Airlines!$A:$A,0)),"")</f>
        <v>Go_First</v>
      </c>
      <c r="F420" s="6" t="str">
        <f>VLOOKUP(A420,Bookings!$A:$F,6,FALSE())</f>
        <v>Economy</v>
      </c>
      <c r="G420" s="6" t="str">
        <f t="array" ref="G420">IFERROR(INDEX(Flights!$E:$E,MATCH(B420,Flights!$A:$A,0)),"")</f>
        <v>Bengaluru</v>
      </c>
      <c r="H420" s="6" t="str">
        <f>VLOOKUP(B420,Flights!A:H,6,FALSE())</f>
        <v>Delhi</v>
      </c>
      <c r="I420" s="6" t="str">
        <f t="array" ref="I420">IFERROR(INDEX(Bookings!$G:$G,MATCH(B420,Bookings!$B:$B,0)),"")</f>
        <v>1</v>
      </c>
      <c r="J420" s="5">
        <f>VLOOKUP(B420,Bookings!B:H,7,FALSE())</f>
        <v>5.75</v>
      </c>
      <c r="K420" s="5" t="str">
        <f t="shared" si="1"/>
        <v>Medium</v>
      </c>
      <c r="L420" s="11">
        <f t="array" ref="L420">IFERROR(INDEX(Bookings!$K:$K,MATCH(A420,Bookings!$A:$A,0)),"")</f>
        <v>4028</v>
      </c>
      <c r="M420" s="5" t="str">
        <f t="shared" si="2"/>
        <v>Low</v>
      </c>
      <c r="N420" s="5">
        <f t="array" ref="N420">IFERROR(INDEX(Bookings!$I:$I,MATCH(A420,Bookings!$A:$A,0)),"")</f>
        <v>26</v>
      </c>
      <c r="O420" s="5" t="str">
        <f t="shared" si="3"/>
        <v>Moderate</v>
      </c>
      <c r="P420" s="5" t="str">
        <f t="shared" si="4"/>
        <v>Bengaluru -&gt; Delhi</v>
      </c>
    </row>
    <row r="421" ht="15.75" customHeight="1">
      <c r="A421" s="5" t="s">
        <v>1634</v>
      </c>
      <c r="B421" s="5" t="s">
        <v>379</v>
      </c>
      <c r="C421" s="5" t="s">
        <v>288</v>
      </c>
      <c r="D421" s="5" t="s">
        <v>58</v>
      </c>
      <c r="E421" s="6" t="str">
        <f t="array" ref="E421">IFERROR(INDEX(Airlines!$B:$B,MATCH(D421,Airlines!$A:$A,0)),"")</f>
        <v>Go_First</v>
      </c>
      <c r="F421" s="6" t="str">
        <f>VLOOKUP(A421,Bookings!$A:$F,6,FALSE())</f>
        <v>Economy</v>
      </c>
      <c r="G421" s="6" t="str">
        <f t="array" ref="G421">IFERROR(INDEX(Flights!$E:$E,MATCH(B421,Flights!$A:$A,0)),"")</f>
        <v>Bengaluru</v>
      </c>
      <c r="H421" s="6" t="str">
        <f>VLOOKUP(B421,Flights!A:H,6,FALSE())</f>
        <v>Delhi</v>
      </c>
      <c r="I421" s="6" t="str">
        <f t="array" ref="I421">IFERROR(INDEX(Bookings!$G:$G,MATCH(B421,Bookings!$B:$B,0)),"")</f>
        <v>1</v>
      </c>
      <c r="J421" s="5">
        <f>VLOOKUP(B421,Bookings!B:H,7,FALSE())</f>
        <v>6.33</v>
      </c>
      <c r="K421" s="5" t="str">
        <f t="shared" si="1"/>
        <v>Medium</v>
      </c>
      <c r="L421" s="11">
        <f t="array" ref="L421">IFERROR(INDEX(Bookings!$K:$K,MATCH(A421,Bookings!$A:$A,0)),"")</f>
        <v>4028</v>
      </c>
      <c r="M421" s="5" t="str">
        <f t="shared" si="2"/>
        <v>Low</v>
      </c>
      <c r="N421" s="5">
        <f t="array" ref="N421">IFERROR(INDEX(Bookings!$I:$I,MATCH(A421,Bookings!$A:$A,0)),"")</f>
        <v>26</v>
      </c>
      <c r="O421" s="5" t="str">
        <f t="shared" si="3"/>
        <v>Moderate</v>
      </c>
      <c r="P421" s="5" t="str">
        <f t="shared" si="4"/>
        <v>Bengaluru -&gt; Delhi</v>
      </c>
    </row>
    <row r="422" ht="15.75" customHeight="1">
      <c r="A422" s="5" t="s">
        <v>1636</v>
      </c>
      <c r="B422" s="5" t="s">
        <v>350</v>
      </c>
      <c r="C422" s="5" t="s">
        <v>288</v>
      </c>
      <c r="D422" s="5" t="s">
        <v>58</v>
      </c>
      <c r="E422" s="6" t="str">
        <f t="array" ref="E422">IFERROR(INDEX(Airlines!$B:$B,MATCH(D422,Airlines!$A:$A,0)),"")</f>
        <v>Go_First</v>
      </c>
      <c r="F422" s="6" t="str">
        <f>VLOOKUP(A422,Bookings!$A:$F,6,FALSE())</f>
        <v>Economy</v>
      </c>
      <c r="G422" s="6" t="str">
        <f t="array" ref="G422">IFERROR(INDEX(Flights!$E:$E,MATCH(B422,Flights!$A:$A,0)),"")</f>
        <v>Bengaluru</v>
      </c>
      <c r="H422" s="6" t="str">
        <f>VLOOKUP(B422,Flights!A:H,6,FALSE())</f>
        <v>Delhi</v>
      </c>
      <c r="I422" s="6" t="str">
        <f t="array" ref="I422">IFERROR(INDEX(Bookings!$G:$G,MATCH(B422,Bookings!$B:$B,0)),"")</f>
        <v>1</v>
      </c>
      <c r="J422" s="5">
        <f>VLOOKUP(B422,Bookings!B:H,7,FALSE())</f>
        <v>10.17</v>
      </c>
      <c r="K422" s="5" t="str">
        <f t="shared" si="1"/>
        <v>Long</v>
      </c>
      <c r="L422" s="11">
        <f t="array" ref="L422">IFERROR(INDEX(Bookings!$K:$K,MATCH(A422,Bookings!$A:$A,0)),"")</f>
        <v>4028</v>
      </c>
      <c r="M422" s="5" t="str">
        <f t="shared" si="2"/>
        <v>Low</v>
      </c>
      <c r="N422" s="5">
        <f t="array" ref="N422">IFERROR(INDEX(Bookings!$I:$I,MATCH(A422,Bookings!$A:$A,0)),"")</f>
        <v>37</v>
      </c>
      <c r="O422" s="5" t="str">
        <f t="shared" si="3"/>
        <v>Advance</v>
      </c>
      <c r="P422" s="5" t="str">
        <f t="shared" si="4"/>
        <v>Bengaluru -&gt; Delhi</v>
      </c>
    </row>
    <row r="423" ht="15.75" customHeight="1">
      <c r="A423" s="5" t="s">
        <v>1639</v>
      </c>
      <c r="B423" s="5" t="s">
        <v>405</v>
      </c>
      <c r="C423" s="5" t="s">
        <v>288</v>
      </c>
      <c r="D423" s="5" t="s">
        <v>58</v>
      </c>
      <c r="E423" s="6" t="str">
        <f t="array" ref="E423">IFERROR(INDEX(Airlines!$B:$B,MATCH(D423,Airlines!$A:$A,0)),"")</f>
        <v>Go_First</v>
      </c>
      <c r="F423" s="6" t="str">
        <f>VLOOKUP(A423,Bookings!$A:$F,6,FALSE())</f>
        <v>Economy</v>
      </c>
      <c r="G423" s="6" t="str">
        <f t="array" ref="G423">IFERROR(INDEX(Flights!$E:$E,MATCH(B423,Flights!$A:$A,0)),"")</f>
        <v>Bengaluru</v>
      </c>
      <c r="H423" s="6" t="str">
        <f>VLOOKUP(B423,Flights!A:H,6,FALSE())</f>
        <v>Delhi</v>
      </c>
      <c r="I423" s="6" t="str">
        <f t="array" ref="I423">IFERROR(INDEX(Bookings!$G:$G,MATCH(B423,Bookings!$B:$B,0)),"")</f>
        <v>1</v>
      </c>
      <c r="J423" s="5">
        <f>VLOOKUP(B423,Bookings!B:H,7,FALSE())</f>
        <v>4.83</v>
      </c>
      <c r="K423" s="5" t="str">
        <f t="shared" si="1"/>
        <v>Medium</v>
      </c>
      <c r="L423" s="11">
        <f t="array" ref="L423">IFERROR(INDEX(Bookings!$K:$K,MATCH(A423,Bookings!$A:$A,0)),"")</f>
        <v>6235</v>
      </c>
      <c r="M423" s="5" t="str">
        <f t="shared" si="2"/>
        <v>Medium</v>
      </c>
      <c r="N423" s="5">
        <f t="array" ref="N423">IFERROR(INDEX(Bookings!$I:$I,MATCH(A423,Bookings!$A:$A,0)),"")</f>
        <v>42</v>
      </c>
      <c r="O423" s="5" t="str">
        <f t="shared" si="3"/>
        <v>Advance</v>
      </c>
      <c r="P423" s="5" t="str">
        <f t="shared" si="4"/>
        <v>Bengaluru -&gt; Delhi</v>
      </c>
    </row>
    <row r="424" ht="15.75" customHeight="1">
      <c r="A424" s="5" t="s">
        <v>1641</v>
      </c>
      <c r="B424" s="5" t="s">
        <v>344</v>
      </c>
      <c r="C424" s="5" t="s">
        <v>288</v>
      </c>
      <c r="D424" s="5" t="s">
        <v>43</v>
      </c>
      <c r="E424" s="6" t="str">
        <f t="array" ref="E424">IFERROR(INDEX(Airlines!$B:$B,MATCH(D424,Airlines!$A:$A,0)),"")</f>
        <v>Indigo</v>
      </c>
      <c r="F424" s="6" t="str">
        <f>VLOOKUP(A424,Bookings!$A:$F,6,FALSE())</f>
        <v>Economy</v>
      </c>
      <c r="G424" s="6" t="str">
        <f t="array" ref="G424">IFERROR(INDEX(Flights!$E:$E,MATCH(B424,Flights!$A:$A,0)),"")</f>
        <v>Bengaluru</v>
      </c>
      <c r="H424" s="6" t="str">
        <f>VLOOKUP(B424,Flights!A:H,6,FALSE())</f>
        <v>Delhi</v>
      </c>
      <c r="I424" s="6" t="str">
        <f t="array" ref="I424">IFERROR(INDEX(Bookings!$G:$G,MATCH(B424,Bookings!$B:$B,0)),"")</f>
        <v>1</v>
      </c>
      <c r="J424" s="5">
        <f>VLOOKUP(B424,Bookings!B:H,7,FALSE())</f>
        <v>9</v>
      </c>
      <c r="K424" s="5" t="str">
        <f t="shared" si="1"/>
        <v>Medium</v>
      </c>
      <c r="L424" s="11">
        <f t="array" ref="L424">IFERROR(INDEX(Bookings!$K:$K,MATCH(A424,Bookings!$A:$A,0)),"")</f>
        <v>3788</v>
      </c>
      <c r="M424" s="5" t="str">
        <f t="shared" si="2"/>
        <v>Low</v>
      </c>
      <c r="N424" s="5">
        <f t="array" ref="N424">IFERROR(INDEX(Bookings!$I:$I,MATCH(A424,Bookings!$A:$A,0)),"")</f>
        <v>27</v>
      </c>
      <c r="O424" s="5" t="str">
        <f t="shared" si="3"/>
        <v>Moderate</v>
      </c>
      <c r="P424" s="5" t="str">
        <f t="shared" si="4"/>
        <v>Bengaluru -&gt; Delhi</v>
      </c>
    </row>
    <row r="425" ht="15.75" customHeight="1">
      <c r="A425" s="5" t="s">
        <v>1644</v>
      </c>
      <c r="B425" s="5" t="s">
        <v>327</v>
      </c>
      <c r="C425" s="5" t="s">
        <v>288</v>
      </c>
      <c r="D425" s="5" t="s">
        <v>58</v>
      </c>
      <c r="E425" s="6" t="str">
        <f t="array" ref="E425">IFERROR(INDEX(Airlines!$B:$B,MATCH(D425,Airlines!$A:$A,0)),"")</f>
        <v>Go_First</v>
      </c>
      <c r="F425" s="6" t="str">
        <f>VLOOKUP(A425,Bookings!$A:$F,6,FALSE())</f>
        <v>Economy</v>
      </c>
      <c r="G425" s="6" t="str">
        <f t="array" ref="G425">IFERROR(INDEX(Flights!$E:$E,MATCH(B425,Flights!$A:$A,0)),"")</f>
        <v>Bengaluru</v>
      </c>
      <c r="H425" s="6" t="str">
        <f>VLOOKUP(B425,Flights!A:H,6,FALSE())</f>
        <v>Delhi</v>
      </c>
      <c r="I425" s="6" t="str">
        <f t="array" ref="I425">IFERROR(INDEX(Bookings!$G:$G,MATCH(B425,Bookings!$B:$B,0)),"")</f>
        <v>1</v>
      </c>
      <c r="J425" s="5">
        <f>VLOOKUP(B425,Bookings!B:H,7,FALSE())</f>
        <v>6.67</v>
      </c>
      <c r="K425" s="5" t="str">
        <f t="shared" si="1"/>
        <v>Medium</v>
      </c>
      <c r="L425" s="11">
        <f t="array" ref="L425">IFERROR(INDEX(Bookings!$K:$K,MATCH(A425,Bookings!$A:$A,0)),"")</f>
        <v>4028</v>
      </c>
      <c r="M425" s="5" t="str">
        <f t="shared" si="2"/>
        <v>Low</v>
      </c>
      <c r="N425" s="5">
        <f t="array" ref="N425">IFERROR(INDEX(Bookings!$I:$I,MATCH(A425,Bookings!$A:$A,0)),"")</f>
        <v>46</v>
      </c>
      <c r="O425" s="5" t="str">
        <f t="shared" si="3"/>
        <v>Advance</v>
      </c>
      <c r="P425" s="5" t="str">
        <f t="shared" si="4"/>
        <v>Bengaluru -&gt; Delhi</v>
      </c>
    </row>
    <row r="426" ht="15.75" customHeight="1">
      <c r="A426" s="5" t="s">
        <v>1646</v>
      </c>
      <c r="B426" s="5" t="s">
        <v>383</v>
      </c>
      <c r="C426" s="5" t="s">
        <v>288</v>
      </c>
      <c r="D426" s="5" t="s">
        <v>43</v>
      </c>
      <c r="E426" s="6" t="str">
        <f t="array" ref="E426">IFERROR(INDEX(Airlines!$B:$B,MATCH(D426,Airlines!$A:$A,0)),"")</f>
        <v>Indigo</v>
      </c>
      <c r="F426" s="6" t="str">
        <f>VLOOKUP(A426,Bookings!$A:$F,6,FALSE())</f>
        <v>Economy</v>
      </c>
      <c r="G426" s="6" t="str">
        <f t="array" ref="G426">IFERROR(INDEX(Flights!$E:$E,MATCH(B426,Flights!$A:$A,0)),"")</f>
        <v>Bengaluru</v>
      </c>
      <c r="H426" s="6" t="str">
        <f>VLOOKUP(B426,Flights!A:H,6,FALSE())</f>
        <v>Delhi</v>
      </c>
      <c r="I426" s="6" t="str">
        <f t="array" ref="I426">IFERROR(INDEX(Bookings!$G:$G,MATCH(B426,Bookings!$B:$B,0)),"")</f>
        <v>1</v>
      </c>
      <c r="J426" s="5">
        <f>VLOOKUP(B426,Bookings!B:H,7,FALSE())</f>
        <v>5.33</v>
      </c>
      <c r="K426" s="5" t="str">
        <f t="shared" si="1"/>
        <v>Medium</v>
      </c>
      <c r="L426" s="11">
        <f t="array" ref="L426">IFERROR(INDEX(Bookings!$K:$K,MATCH(A426,Bookings!$A:$A,0)),"")</f>
        <v>3245</v>
      </c>
      <c r="M426" s="5" t="str">
        <f t="shared" si="2"/>
        <v>Low</v>
      </c>
      <c r="N426" s="5">
        <f t="array" ref="N426">IFERROR(INDEX(Bookings!$I:$I,MATCH(A426,Bookings!$A:$A,0)),"")</f>
        <v>46</v>
      </c>
      <c r="O426" s="5" t="str">
        <f t="shared" si="3"/>
        <v>Advance</v>
      </c>
      <c r="P426" s="5" t="str">
        <f t="shared" si="4"/>
        <v>Bengaluru -&gt; Delhi</v>
      </c>
    </row>
    <row r="427" ht="15.75" customHeight="1">
      <c r="A427" s="5" t="s">
        <v>1649</v>
      </c>
      <c r="B427" s="5" t="s">
        <v>372</v>
      </c>
      <c r="C427" s="5" t="s">
        <v>288</v>
      </c>
      <c r="D427" s="5" t="s">
        <v>58</v>
      </c>
      <c r="E427" s="6" t="str">
        <f t="array" ref="E427">IFERROR(INDEX(Airlines!$B:$B,MATCH(D427,Airlines!$A:$A,0)),"")</f>
        <v>Go_First</v>
      </c>
      <c r="F427" s="6" t="str">
        <f>VLOOKUP(A427,Bookings!$A:$F,6,FALSE())</f>
        <v>Economy</v>
      </c>
      <c r="G427" s="6" t="str">
        <f t="array" ref="G427">IFERROR(INDEX(Flights!$E:$E,MATCH(B427,Flights!$A:$A,0)),"")</f>
        <v>Bengaluru</v>
      </c>
      <c r="H427" s="6" t="str">
        <f>VLOOKUP(B427,Flights!A:H,6,FALSE())</f>
        <v>Delhi</v>
      </c>
      <c r="I427" s="6" t="str">
        <f t="array" ref="I427">IFERROR(INDEX(Bookings!$G:$G,MATCH(B427,Bookings!$B:$B,0)),"")</f>
        <v>1</v>
      </c>
      <c r="J427" s="5">
        <f>VLOOKUP(B427,Bookings!B:H,7,FALSE())</f>
        <v>5.42</v>
      </c>
      <c r="K427" s="5" t="str">
        <f t="shared" si="1"/>
        <v>Medium</v>
      </c>
      <c r="L427" s="11">
        <f t="array" ref="L427">IFERROR(INDEX(Bookings!$K:$K,MATCH(A427,Bookings!$A:$A,0)),"")</f>
        <v>4456</v>
      </c>
      <c r="M427" s="5" t="str">
        <f t="shared" si="2"/>
        <v>Low</v>
      </c>
      <c r="N427" s="5">
        <f t="array" ref="N427">IFERROR(INDEX(Bookings!$I:$I,MATCH(A427,Bookings!$A:$A,0)),"")</f>
        <v>46</v>
      </c>
      <c r="O427" s="5" t="str">
        <f t="shared" si="3"/>
        <v>Advance</v>
      </c>
      <c r="P427" s="5" t="str">
        <f t="shared" si="4"/>
        <v>Bengaluru -&gt; Delhi</v>
      </c>
    </row>
    <row r="428" ht="15.75" customHeight="1">
      <c r="A428" s="5" t="s">
        <v>1653</v>
      </c>
      <c r="B428" s="5" t="s">
        <v>321</v>
      </c>
      <c r="C428" s="5" t="s">
        <v>288</v>
      </c>
      <c r="D428" s="5" t="s">
        <v>43</v>
      </c>
      <c r="E428" s="6" t="str">
        <f t="array" ref="E428">IFERROR(INDEX(Airlines!$B:$B,MATCH(D428,Airlines!$A:$A,0)),"")</f>
        <v>Indigo</v>
      </c>
      <c r="F428" s="6" t="str">
        <f>VLOOKUP(A428,Bookings!$A:$F,6,FALSE())</f>
        <v>Economy</v>
      </c>
      <c r="G428" s="6" t="str">
        <f t="array" ref="G428">IFERROR(INDEX(Flights!$E:$E,MATCH(B428,Flights!$A:$A,0)),"")</f>
        <v>Bengaluru</v>
      </c>
      <c r="H428" s="6" t="str">
        <f>VLOOKUP(B428,Flights!A:H,6,FALSE())</f>
        <v>Delhi</v>
      </c>
      <c r="I428" s="6" t="str">
        <f t="array" ref="I428">IFERROR(INDEX(Bookings!$G:$G,MATCH(B428,Bookings!$B:$B,0)),"")</f>
        <v>0</v>
      </c>
      <c r="J428" s="5">
        <f>VLOOKUP(B428,Bookings!B:H,7,FALSE())</f>
        <v>2.83</v>
      </c>
      <c r="K428" s="5" t="str">
        <f t="shared" si="1"/>
        <v>Short</v>
      </c>
      <c r="L428" s="11">
        <f t="array" ref="L428">IFERROR(INDEX(Bookings!$K:$K,MATCH(A428,Bookings!$A:$A,0)),"")</f>
        <v>4500</v>
      </c>
      <c r="M428" s="5" t="str">
        <f t="shared" si="2"/>
        <v>Low</v>
      </c>
      <c r="N428" s="5">
        <f t="array" ref="N428">IFERROR(INDEX(Bookings!$I:$I,MATCH(A428,Bookings!$A:$A,0)),"")</f>
        <v>46</v>
      </c>
      <c r="O428" s="5" t="str">
        <f t="shared" si="3"/>
        <v>Advance</v>
      </c>
      <c r="P428" s="5" t="str">
        <f t="shared" si="4"/>
        <v>Bengaluru -&gt; Delhi</v>
      </c>
    </row>
    <row r="429" ht="15.75" customHeight="1">
      <c r="A429" s="5" t="s">
        <v>1655</v>
      </c>
      <c r="B429" s="5" t="s">
        <v>385</v>
      </c>
      <c r="C429" s="5" t="s">
        <v>288</v>
      </c>
      <c r="D429" s="5" t="s">
        <v>58</v>
      </c>
      <c r="E429" s="6" t="str">
        <f t="array" ref="E429">IFERROR(INDEX(Airlines!$B:$B,MATCH(D429,Airlines!$A:$A,0)),"")</f>
        <v>Go_First</v>
      </c>
      <c r="F429" s="6" t="str">
        <f>VLOOKUP(A429,Bookings!$A:$F,6,FALSE())</f>
        <v>Economy</v>
      </c>
      <c r="G429" s="6" t="str">
        <f t="array" ref="G429">IFERROR(INDEX(Flights!$E:$E,MATCH(B429,Flights!$A:$A,0)),"")</f>
        <v>Bengaluru</v>
      </c>
      <c r="H429" s="6" t="str">
        <f>VLOOKUP(B429,Flights!A:H,6,FALSE())</f>
        <v>Delhi</v>
      </c>
      <c r="I429" s="6" t="str">
        <f t="array" ref="I429">IFERROR(INDEX(Bookings!$G:$G,MATCH(B429,Bookings!$B:$B,0)),"")</f>
        <v>1</v>
      </c>
      <c r="J429" s="5">
        <f>VLOOKUP(B429,Bookings!B:H,7,FALSE())</f>
        <v>5.58</v>
      </c>
      <c r="K429" s="5" t="str">
        <f t="shared" si="1"/>
        <v>Medium</v>
      </c>
      <c r="L429" s="11">
        <f t="array" ref="L429">IFERROR(INDEX(Bookings!$K:$K,MATCH(A429,Bookings!$A:$A,0)),"")</f>
        <v>5696</v>
      </c>
      <c r="M429" s="5" t="str">
        <f t="shared" si="2"/>
        <v>Medium</v>
      </c>
      <c r="N429" s="5">
        <f t="array" ref="N429">IFERROR(INDEX(Bookings!$I:$I,MATCH(A429,Bookings!$A:$A,0)),"")</f>
        <v>46</v>
      </c>
      <c r="O429" s="5" t="str">
        <f t="shared" si="3"/>
        <v>Advance</v>
      </c>
      <c r="P429" s="5" t="str">
        <f t="shared" si="4"/>
        <v>Bengaluru -&gt; Delhi</v>
      </c>
    </row>
    <row r="430" ht="15.75" customHeight="1">
      <c r="A430" s="5" t="s">
        <v>1657</v>
      </c>
      <c r="B430" s="5" t="s">
        <v>340</v>
      </c>
      <c r="C430" s="5" t="s">
        <v>288</v>
      </c>
      <c r="D430" s="5" t="s">
        <v>45</v>
      </c>
      <c r="E430" s="6" t="str">
        <f t="array" ref="E430">IFERROR(INDEX(Airlines!$B:$B,MATCH(D430,Airlines!$A:$A,0)),"")</f>
        <v>Air_India</v>
      </c>
      <c r="F430" s="6" t="str">
        <f>VLOOKUP(A430,Bookings!$A:$F,6,FALSE())</f>
        <v>Economy</v>
      </c>
      <c r="G430" s="6" t="str">
        <f t="array" ref="G430">IFERROR(INDEX(Flights!$E:$E,MATCH(B430,Flights!$A:$A,0)),"")</f>
        <v>Bengaluru</v>
      </c>
      <c r="H430" s="6" t="str">
        <f>VLOOKUP(B430,Flights!A:H,6,FALSE())</f>
        <v>Delhi</v>
      </c>
      <c r="I430" s="6" t="str">
        <f t="array" ref="I430">IFERROR(INDEX(Bookings!$G:$G,MATCH(B430,Bookings!$B:$B,0)),"")</f>
        <v>1</v>
      </c>
      <c r="J430" s="5">
        <f>VLOOKUP(B430,Bookings!B:H,7,FALSE())</f>
        <v>12.42</v>
      </c>
      <c r="K430" s="5" t="str">
        <f t="shared" si="1"/>
        <v>Long</v>
      </c>
      <c r="L430" s="11">
        <f t="array" ref="L430">IFERROR(INDEX(Bookings!$K:$K,MATCH(A430,Bookings!$A:$A,0)),"")</f>
        <v>4294</v>
      </c>
      <c r="M430" s="5" t="str">
        <f t="shared" si="2"/>
        <v>Low</v>
      </c>
      <c r="N430" s="5">
        <f t="array" ref="N430">IFERROR(INDEX(Bookings!$I:$I,MATCH(A430,Bookings!$A:$A,0)),"")</f>
        <v>48</v>
      </c>
      <c r="O430" s="5" t="str">
        <f t="shared" si="3"/>
        <v>Advance</v>
      </c>
      <c r="P430" s="5" t="str">
        <f t="shared" si="4"/>
        <v>Bengaluru -&gt; Delhi</v>
      </c>
    </row>
    <row r="431" ht="15.75" customHeight="1">
      <c r="A431" s="5" t="s">
        <v>1661</v>
      </c>
      <c r="B431" s="5" t="s">
        <v>293</v>
      </c>
      <c r="C431" s="5" t="s">
        <v>288</v>
      </c>
      <c r="D431" s="5" t="s">
        <v>45</v>
      </c>
      <c r="E431" s="6" t="str">
        <f t="array" ref="E431">IFERROR(INDEX(Airlines!$B:$B,MATCH(D431,Airlines!$A:$A,0)),"")</f>
        <v>Air_India</v>
      </c>
      <c r="F431" s="6" t="str">
        <f>VLOOKUP(A431,Bookings!$A:$F,6,FALSE())</f>
        <v>Economy</v>
      </c>
      <c r="G431" s="6" t="str">
        <f t="array" ref="G431">IFERROR(INDEX(Flights!$E:$E,MATCH(B431,Flights!$A:$A,0)),"")</f>
        <v>Bengaluru</v>
      </c>
      <c r="H431" s="6" t="str">
        <f>VLOOKUP(B431,Flights!A:H,6,FALSE())</f>
        <v>Delhi</v>
      </c>
      <c r="I431" s="6" t="str">
        <f t="array" ref="I431">IFERROR(INDEX(Bookings!$G:$G,MATCH(B431,Bookings!$B:$B,0)),"")</f>
        <v>1</v>
      </c>
      <c r="J431" s="5">
        <f>VLOOKUP(B431,Bookings!B:H,7,FALSE())</f>
        <v>11.67</v>
      </c>
      <c r="K431" s="5" t="str">
        <f t="shared" si="1"/>
        <v>Long</v>
      </c>
      <c r="L431" s="11">
        <f t="array" ref="L431">IFERROR(INDEX(Bookings!$K:$K,MATCH(A431,Bookings!$A:$A,0)),"")</f>
        <v>5906</v>
      </c>
      <c r="M431" s="5" t="str">
        <f t="shared" si="2"/>
        <v>Medium</v>
      </c>
      <c r="N431" s="5">
        <f t="array" ref="N431">IFERROR(INDEX(Bookings!$I:$I,MATCH(A431,Bookings!$A:$A,0)),"")</f>
        <v>46</v>
      </c>
      <c r="O431" s="5" t="str">
        <f t="shared" si="3"/>
        <v>Advance</v>
      </c>
      <c r="P431" s="5" t="str">
        <f t="shared" si="4"/>
        <v>Bengaluru -&gt; Delhi</v>
      </c>
    </row>
    <row r="432" ht="15.75" customHeight="1">
      <c r="A432" s="5" t="s">
        <v>1666</v>
      </c>
      <c r="B432" s="5" t="s">
        <v>541</v>
      </c>
      <c r="C432" s="5" t="s">
        <v>361</v>
      </c>
      <c r="D432" s="5" t="s">
        <v>20</v>
      </c>
      <c r="E432" s="6" t="str">
        <f t="array" ref="E432">IFERROR(INDEX(Airlines!$B:$B,MATCH(D432,Airlines!$A:$A,0)),"")</f>
        <v>Vistara</v>
      </c>
      <c r="F432" s="6" t="str">
        <f>VLOOKUP(A432,Bookings!$A:$F,6,FALSE())</f>
        <v>Business</v>
      </c>
      <c r="G432" s="6" t="str">
        <f t="array" ref="G432">IFERROR(INDEX(Flights!$E:$E,MATCH(B432,Flights!$A:$A,0)),"")</f>
        <v>Bengaluru</v>
      </c>
      <c r="H432" s="6" t="str">
        <f>VLOOKUP(B432,Flights!A:H,6,FALSE())</f>
        <v>Mumbai</v>
      </c>
      <c r="I432" s="6" t="str">
        <f t="array" ref="I432">IFERROR(INDEX(Bookings!$G:$G,MATCH(B432,Bookings!$B:$B,0)),"")</f>
        <v>0</v>
      </c>
      <c r="J432" s="5">
        <f>VLOOKUP(B432,Bookings!B:H,7,FALSE())</f>
        <v>1.92</v>
      </c>
      <c r="K432" s="5" t="str">
        <f t="shared" si="1"/>
        <v>Short</v>
      </c>
      <c r="L432" s="11">
        <f t="array" ref="L432">IFERROR(INDEX(Bookings!$K:$K,MATCH(A432,Bookings!$A:$A,0)),"")</f>
        <v>20760</v>
      </c>
      <c r="M432" s="5" t="str">
        <f t="shared" si="2"/>
        <v>High</v>
      </c>
      <c r="N432" s="5">
        <f t="array" ref="N432">IFERROR(INDEX(Bookings!$I:$I,MATCH(A432,Bookings!$A:$A,0)),"")</f>
        <v>15</v>
      </c>
      <c r="O432" s="5" t="str">
        <f t="shared" si="3"/>
        <v>Short Notice</v>
      </c>
      <c r="P432" s="5" t="str">
        <f t="shared" si="4"/>
        <v>Bengaluru -&gt; Mumbai</v>
      </c>
    </row>
    <row r="433" ht="15.75" customHeight="1">
      <c r="A433" s="5" t="s">
        <v>1671</v>
      </c>
      <c r="B433" s="5" t="s">
        <v>534</v>
      </c>
      <c r="C433" s="5" t="s">
        <v>361</v>
      </c>
      <c r="D433" s="5" t="s">
        <v>45</v>
      </c>
      <c r="E433" s="6" t="str">
        <f t="array" ref="E433">IFERROR(INDEX(Airlines!$B:$B,MATCH(D433,Airlines!$A:$A,0)),"")</f>
        <v>Air_India</v>
      </c>
      <c r="F433" s="6" t="str">
        <f>VLOOKUP(A433,Bookings!$A:$F,6,FALSE())</f>
        <v>Economy</v>
      </c>
      <c r="G433" s="6" t="str">
        <f t="array" ref="G433">IFERROR(INDEX(Flights!$E:$E,MATCH(B433,Flights!$A:$A,0)),"")</f>
        <v>Bengaluru</v>
      </c>
      <c r="H433" s="6" t="str">
        <f>VLOOKUP(B433,Flights!A:H,6,FALSE())</f>
        <v>Mumbai</v>
      </c>
      <c r="I433" s="6" t="str">
        <f t="array" ref="I433">IFERROR(INDEX(Bookings!$G:$G,MATCH(B433,Bookings!$B:$B,0)),"")</f>
        <v>1</v>
      </c>
      <c r="J433" s="5">
        <f>VLOOKUP(B433,Bookings!B:H,7,FALSE())</f>
        <v>8.25</v>
      </c>
      <c r="K433" s="5" t="str">
        <f t="shared" si="1"/>
        <v>Medium</v>
      </c>
      <c r="L433" s="11">
        <f t="array" ref="L433">IFERROR(INDEX(Bookings!$K:$K,MATCH(A433,Bookings!$A:$A,0)),"")</f>
        <v>6578</v>
      </c>
      <c r="M433" s="5" t="str">
        <f t="shared" si="2"/>
        <v>Medium</v>
      </c>
      <c r="N433" s="5">
        <f t="array" ref="N433">IFERROR(INDEX(Bookings!$I:$I,MATCH(A433,Bookings!$A:$A,0)),"")</f>
        <v>39</v>
      </c>
      <c r="O433" s="5" t="str">
        <f t="shared" si="3"/>
        <v>Advance</v>
      </c>
      <c r="P433" s="5" t="str">
        <f t="shared" si="4"/>
        <v>Bengaluru -&gt; Mumbai</v>
      </c>
    </row>
    <row r="434" ht="15.75" customHeight="1">
      <c r="A434" s="5" t="s">
        <v>1673</v>
      </c>
      <c r="B434" s="5" t="s">
        <v>440</v>
      </c>
      <c r="C434" s="5" t="s">
        <v>361</v>
      </c>
      <c r="D434" s="5" t="s">
        <v>45</v>
      </c>
      <c r="E434" s="6" t="str">
        <f t="array" ref="E434">IFERROR(INDEX(Airlines!$B:$B,MATCH(D434,Airlines!$A:$A,0)),"")</f>
        <v>Air_India</v>
      </c>
      <c r="F434" s="6" t="str">
        <f>VLOOKUP(A434,Bookings!$A:$F,6,FALSE())</f>
        <v>Economy</v>
      </c>
      <c r="G434" s="6" t="str">
        <f t="array" ref="G434">IFERROR(INDEX(Flights!$E:$E,MATCH(B434,Flights!$A:$A,0)),"")</f>
        <v>Bengaluru</v>
      </c>
      <c r="H434" s="6" t="str">
        <f>VLOOKUP(B434,Flights!A:H,6,FALSE())</f>
        <v>Mumbai</v>
      </c>
      <c r="I434" s="6" t="str">
        <f t="array" ref="I434">IFERROR(INDEX(Bookings!$G:$G,MATCH(B434,Bookings!$B:$B,0)),"")</f>
        <v>1</v>
      </c>
      <c r="J434" s="5">
        <f>VLOOKUP(B434,Bookings!B:H,7,FALSE())</f>
        <v>27.42</v>
      </c>
      <c r="K434" s="5" t="str">
        <f t="shared" si="1"/>
        <v>Long</v>
      </c>
      <c r="L434" s="11">
        <f t="array" ref="L434">IFERROR(INDEX(Bookings!$K:$K,MATCH(A434,Bookings!$A:$A,0)),"")</f>
        <v>9277</v>
      </c>
      <c r="M434" s="5" t="str">
        <f t="shared" si="2"/>
        <v>Medium</v>
      </c>
      <c r="N434" s="5">
        <f t="array" ref="N434">IFERROR(INDEX(Bookings!$I:$I,MATCH(A434,Bookings!$A:$A,0)),"")</f>
        <v>1</v>
      </c>
      <c r="O434" s="5" t="str">
        <f t="shared" si="3"/>
        <v>Last Minute</v>
      </c>
      <c r="P434" s="5" t="str">
        <f t="shared" si="4"/>
        <v>Bengaluru -&gt; Mumbai</v>
      </c>
    </row>
    <row r="435" ht="15.75" customHeight="1">
      <c r="A435" s="5" t="s">
        <v>1676</v>
      </c>
      <c r="B435" s="5" t="s">
        <v>530</v>
      </c>
      <c r="C435" s="5" t="s">
        <v>361</v>
      </c>
      <c r="D435" s="5" t="s">
        <v>20</v>
      </c>
      <c r="E435" s="6" t="str">
        <f t="array" ref="E435">IFERROR(INDEX(Airlines!$B:$B,MATCH(D435,Airlines!$A:$A,0)),"")</f>
        <v>Vistara</v>
      </c>
      <c r="F435" s="6" t="str">
        <f>VLOOKUP(A435,Bookings!$A:$F,6,FALSE())</f>
        <v>Business</v>
      </c>
      <c r="G435" s="6" t="str">
        <f t="array" ref="G435">IFERROR(INDEX(Flights!$E:$E,MATCH(B435,Flights!$A:$A,0)),"")</f>
        <v>Bengaluru</v>
      </c>
      <c r="H435" s="6" t="str">
        <f>VLOOKUP(B435,Flights!A:H,6,FALSE())</f>
        <v>Mumbai</v>
      </c>
      <c r="I435" s="6" t="str">
        <f t="array" ref="I435">IFERROR(INDEX(Bookings!$G:$G,MATCH(B435,Bookings!$B:$B,0)),"")</f>
        <v>1</v>
      </c>
      <c r="J435" s="5">
        <f>VLOOKUP(B435,Bookings!B:H,7,FALSE())</f>
        <v>7</v>
      </c>
      <c r="K435" s="5" t="str">
        <f t="shared" si="1"/>
        <v>Medium</v>
      </c>
      <c r="L435" s="11">
        <f t="array" ref="L435">IFERROR(INDEX(Bookings!$K:$K,MATCH(A435,Bookings!$A:$A,0)),"")</f>
        <v>61404</v>
      </c>
      <c r="M435" s="5" t="str">
        <f t="shared" si="2"/>
        <v>High</v>
      </c>
      <c r="N435" s="5">
        <f t="array" ref="N435">IFERROR(INDEX(Bookings!$I:$I,MATCH(A435,Bookings!$A:$A,0)),"")</f>
        <v>23</v>
      </c>
      <c r="O435" s="5" t="str">
        <f t="shared" si="3"/>
        <v>Moderate</v>
      </c>
      <c r="P435" s="5" t="str">
        <f t="shared" si="4"/>
        <v>Bengaluru -&gt; Mumbai</v>
      </c>
    </row>
    <row r="436" ht="15.75" customHeight="1">
      <c r="A436" s="5" t="s">
        <v>1679</v>
      </c>
      <c r="B436" s="5" t="s">
        <v>420</v>
      </c>
      <c r="C436" s="5" t="s">
        <v>361</v>
      </c>
      <c r="D436" s="5" t="s">
        <v>20</v>
      </c>
      <c r="E436" s="6" t="str">
        <f t="array" ref="E436">IFERROR(INDEX(Airlines!$B:$B,MATCH(D436,Airlines!$A:$A,0)),"")</f>
        <v>Vistara</v>
      </c>
      <c r="F436" s="6" t="str">
        <f>VLOOKUP(A436,Bookings!$A:$F,6,FALSE())</f>
        <v>Economy</v>
      </c>
      <c r="G436" s="6" t="str">
        <f t="array" ref="G436">IFERROR(INDEX(Flights!$E:$E,MATCH(B436,Flights!$A:$A,0)),"")</f>
        <v>Bengaluru</v>
      </c>
      <c r="H436" s="6" t="str">
        <f>VLOOKUP(B436,Flights!A:H,6,FALSE())</f>
        <v>Mumbai</v>
      </c>
      <c r="I436" s="6" t="str">
        <f t="array" ref="I436">IFERROR(INDEX(Bookings!$G:$G,MATCH(B436,Bookings!$B:$B,0)),"")</f>
        <v>1</v>
      </c>
      <c r="J436" s="5">
        <f>VLOOKUP(B436,Bookings!B:H,7,FALSE())</f>
        <v>28.17</v>
      </c>
      <c r="K436" s="5" t="str">
        <f t="shared" si="1"/>
        <v>Long</v>
      </c>
      <c r="L436" s="11">
        <f t="array" ref="L436">IFERROR(INDEX(Bookings!$K:$K,MATCH(A436,Bookings!$A:$A,0)),"")</f>
        <v>19400</v>
      </c>
      <c r="M436" s="5" t="str">
        <f t="shared" si="2"/>
        <v>High</v>
      </c>
      <c r="N436" s="5">
        <f t="array" ref="N436">IFERROR(INDEX(Bookings!$I:$I,MATCH(A436,Bookings!$A:$A,0)),"")</f>
        <v>1</v>
      </c>
      <c r="O436" s="5" t="str">
        <f t="shared" si="3"/>
        <v>Last Minute</v>
      </c>
      <c r="P436" s="5" t="str">
        <f t="shared" si="4"/>
        <v>Bengaluru -&gt; Mumbai</v>
      </c>
    </row>
    <row r="437" ht="15.75" customHeight="1">
      <c r="A437" s="5" t="s">
        <v>1683</v>
      </c>
      <c r="B437" s="5" t="s">
        <v>508</v>
      </c>
      <c r="C437" s="5" t="s">
        <v>361</v>
      </c>
      <c r="D437" s="5" t="s">
        <v>43</v>
      </c>
      <c r="E437" s="6" t="str">
        <f t="array" ref="E437">IFERROR(INDEX(Airlines!$B:$B,MATCH(D437,Airlines!$A:$A,0)),"")</f>
        <v>Indigo</v>
      </c>
      <c r="F437" s="6" t="str">
        <f>VLOOKUP(A437,Bookings!$A:$F,6,FALSE())</f>
        <v>Economy</v>
      </c>
      <c r="G437" s="6" t="str">
        <f t="array" ref="G437">IFERROR(INDEX(Flights!$E:$E,MATCH(B437,Flights!$A:$A,0)),"")</f>
        <v>Bengaluru</v>
      </c>
      <c r="H437" s="6" t="str">
        <f>VLOOKUP(B437,Flights!A:H,6,FALSE())</f>
        <v>Mumbai</v>
      </c>
      <c r="I437" s="6" t="str">
        <f t="array" ref="I437">IFERROR(INDEX(Bookings!$G:$G,MATCH(B437,Bookings!$B:$B,0)),"")</f>
        <v>1</v>
      </c>
      <c r="J437" s="5">
        <f>VLOOKUP(B437,Bookings!B:H,7,FALSE())</f>
        <v>5.08</v>
      </c>
      <c r="K437" s="5" t="str">
        <f t="shared" si="1"/>
        <v>Medium</v>
      </c>
      <c r="L437" s="11">
        <f t="array" ref="L437">IFERROR(INDEX(Bookings!$K:$K,MATCH(A437,Bookings!$A:$A,0)),"")</f>
        <v>4190</v>
      </c>
      <c r="M437" s="5" t="str">
        <f t="shared" si="2"/>
        <v>Low</v>
      </c>
      <c r="N437" s="5" t="str">
        <f t="array" ref="N437">IFERROR(INDEX(Bookings!$I:$I,MATCH(A437,Bookings!$A:$A,0)),"")</f>
        <v/>
      </c>
      <c r="O437" s="5" t="str">
        <f t="shared" si="3"/>
        <v>Last Minute</v>
      </c>
      <c r="P437" s="5" t="str">
        <f t="shared" si="4"/>
        <v>Bengaluru -&gt; Mumbai</v>
      </c>
    </row>
    <row r="438" ht="15.75" customHeight="1">
      <c r="A438" s="5" t="s">
        <v>1686</v>
      </c>
      <c r="B438" s="5" t="s">
        <v>483</v>
      </c>
      <c r="C438" s="5" t="s">
        <v>361</v>
      </c>
      <c r="D438" s="5" t="s">
        <v>43</v>
      </c>
      <c r="E438" s="6" t="str">
        <f t="array" ref="E438">IFERROR(INDEX(Airlines!$B:$B,MATCH(D438,Airlines!$A:$A,0)),"")</f>
        <v>Indigo</v>
      </c>
      <c r="F438" s="6" t="str">
        <f>VLOOKUP(A438,Bookings!$A:$F,6,FALSE())</f>
        <v>Economy</v>
      </c>
      <c r="G438" s="6" t="str">
        <f t="array" ref="G438">IFERROR(INDEX(Flights!$E:$E,MATCH(B438,Flights!$A:$A,0)),"")</f>
        <v>Bengaluru</v>
      </c>
      <c r="H438" s="6" t="str">
        <f>VLOOKUP(B438,Flights!A:H,6,FALSE())</f>
        <v>Mumbai</v>
      </c>
      <c r="I438" s="6" t="str">
        <f t="array" ref="I438">IFERROR(INDEX(Bookings!$G:$G,MATCH(B438,Bookings!$B:$B,0)),"")</f>
        <v>1</v>
      </c>
      <c r="J438" s="5">
        <f>VLOOKUP(B438,Bookings!B:H,7,FALSE())</f>
        <v>9.42</v>
      </c>
      <c r="K438" s="5" t="str">
        <f t="shared" si="1"/>
        <v>Medium</v>
      </c>
      <c r="L438" s="11">
        <f t="array" ref="L438">IFERROR(INDEX(Bookings!$K:$K,MATCH(A438,Bookings!$A:$A,0)),"")</f>
        <v>5178</v>
      </c>
      <c r="M438" s="5" t="str">
        <f t="shared" si="2"/>
        <v>Medium</v>
      </c>
      <c r="N438" s="5">
        <f t="array" ref="N438">IFERROR(INDEX(Bookings!$I:$I,MATCH(A438,Bookings!$A:$A,0)),"")</f>
        <v>15</v>
      </c>
      <c r="O438" s="5" t="str">
        <f t="shared" si="3"/>
        <v>Short Notice</v>
      </c>
      <c r="P438" s="5" t="str">
        <f t="shared" si="4"/>
        <v>Bengaluru -&gt; Mumbai</v>
      </c>
    </row>
    <row r="439" ht="15.75" customHeight="1">
      <c r="A439" s="5" t="s">
        <v>1690</v>
      </c>
      <c r="B439" s="5" t="s">
        <v>496</v>
      </c>
      <c r="C439" s="5" t="s">
        <v>361</v>
      </c>
      <c r="D439" s="5" t="s">
        <v>20</v>
      </c>
      <c r="E439" s="6" t="str">
        <f t="array" ref="E439">IFERROR(INDEX(Airlines!$B:$B,MATCH(D439,Airlines!$A:$A,0)),"")</f>
        <v>Vistara</v>
      </c>
      <c r="F439" s="6" t="str">
        <f>VLOOKUP(A439,Bookings!$A:$F,6,FALSE())</f>
        <v>Economy</v>
      </c>
      <c r="G439" s="6" t="str">
        <f t="array" ref="G439">IFERROR(INDEX(Flights!$E:$E,MATCH(B439,Flights!$A:$A,0)),"")</f>
        <v>Bengaluru</v>
      </c>
      <c r="H439" s="6" t="str">
        <f>VLOOKUP(B439,Flights!A:H,6,FALSE())</f>
        <v>Mumbai</v>
      </c>
      <c r="I439" s="6" t="str">
        <f t="array" ref="I439">IFERROR(INDEX(Bookings!$G:$G,MATCH(B439,Bookings!$B:$B,0)),"")</f>
        <v>1</v>
      </c>
      <c r="J439" s="5">
        <f>VLOOKUP(B439,Bookings!B:H,7,FALSE())</f>
        <v>16</v>
      </c>
      <c r="K439" s="5" t="str">
        <f t="shared" si="1"/>
        <v>Long</v>
      </c>
      <c r="L439" s="11">
        <f t="array" ref="L439">IFERROR(INDEX(Bookings!$K:$K,MATCH(A439,Bookings!$A:$A,0)),"")</f>
        <v>19421</v>
      </c>
      <c r="M439" s="5" t="str">
        <f t="shared" si="2"/>
        <v>High</v>
      </c>
      <c r="N439" s="5">
        <f t="array" ref="N439">IFERROR(INDEX(Bookings!$I:$I,MATCH(A439,Bookings!$A:$A,0)),"")</f>
        <v>1</v>
      </c>
      <c r="O439" s="5" t="str">
        <f t="shared" si="3"/>
        <v>Last Minute</v>
      </c>
      <c r="P439" s="5" t="str">
        <f t="shared" si="4"/>
        <v>Bengaluru -&gt; Mumbai</v>
      </c>
    </row>
    <row r="440" ht="15.75" customHeight="1">
      <c r="A440" s="5" t="s">
        <v>1695</v>
      </c>
      <c r="B440" s="5" t="s">
        <v>444</v>
      </c>
      <c r="C440" s="5" t="s">
        <v>361</v>
      </c>
      <c r="D440" s="5" t="s">
        <v>43</v>
      </c>
      <c r="E440" s="6" t="str">
        <f t="array" ref="E440">IFERROR(INDEX(Airlines!$B:$B,MATCH(D440,Airlines!$A:$A,0)),"")</f>
        <v>Indigo</v>
      </c>
      <c r="F440" s="6" t="str">
        <f>VLOOKUP(A440,Bookings!$A:$F,6,FALSE())</f>
        <v>Economy</v>
      </c>
      <c r="G440" s="6" t="str">
        <f t="array" ref="G440">IFERROR(INDEX(Flights!$E:$E,MATCH(B440,Flights!$A:$A,0)),"")</f>
        <v>Bengaluru</v>
      </c>
      <c r="H440" s="6" t="str">
        <f>VLOOKUP(B440,Flights!A:H,6,FALSE())</f>
        <v>Mumbai</v>
      </c>
      <c r="I440" s="6" t="str">
        <f t="array" ref="I440">IFERROR(INDEX(Bookings!$G:$G,MATCH(B440,Bookings!$B:$B,0)),"")</f>
        <v>1</v>
      </c>
      <c r="J440" s="5">
        <f>VLOOKUP(B440,Bookings!B:H,7,FALSE())</f>
        <v>8.67</v>
      </c>
      <c r="K440" s="5" t="str">
        <f t="shared" si="1"/>
        <v>Medium</v>
      </c>
      <c r="L440" s="11">
        <f t="array" ref="L440">IFERROR(INDEX(Bookings!$K:$K,MATCH(A440,Bookings!$A:$A,0)),"")</f>
        <v>5178</v>
      </c>
      <c r="M440" s="5" t="str">
        <f t="shared" si="2"/>
        <v>Medium</v>
      </c>
      <c r="N440" s="5">
        <f t="array" ref="N440">IFERROR(INDEX(Bookings!$I:$I,MATCH(A440,Bookings!$A:$A,0)),"")</f>
        <v>11</v>
      </c>
      <c r="O440" s="5" t="str">
        <f t="shared" si="3"/>
        <v>Short Notice</v>
      </c>
      <c r="P440" s="5" t="str">
        <f t="shared" si="4"/>
        <v>Bengaluru -&gt; Mumbai</v>
      </c>
    </row>
    <row r="441" ht="15.75" customHeight="1">
      <c r="A441" s="5" t="s">
        <v>1698</v>
      </c>
      <c r="B441" s="5" t="s">
        <v>466</v>
      </c>
      <c r="C441" s="5" t="s">
        <v>361</v>
      </c>
      <c r="D441" s="5" t="s">
        <v>20</v>
      </c>
      <c r="E441" s="6" t="str">
        <f t="array" ref="E441">IFERROR(INDEX(Airlines!$B:$B,MATCH(D441,Airlines!$A:$A,0)),"")</f>
        <v>Vistara</v>
      </c>
      <c r="F441" s="6" t="str">
        <f>VLOOKUP(A441,Bookings!$A:$F,6,FALSE())</f>
        <v>Business</v>
      </c>
      <c r="G441" s="6" t="str">
        <f t="array" ref="G441">IFERROR(INDEX(Flights!$E:$E,MATCH(B441,Flights!$A:$A,0)),"")</f>
        <v>Bengaluru</v>
      </c>
      <c r="H441" s="6" t="str">
        <f>VLOOKUP(B441,Flights!A:H,6,FALSE())</f>
        <v>Mumbai</v>
      </c>
      <c r="I441" s="6" t="str">
        <f t="array" ref="I441">IFERROR(INDEX(Bookings!$G:$G,MATCH(B441,Bookings!$B:$B,0)),"")</f>
        <v>1</v>
      </c>
      <c r="J441" s="5">
        <f>VLOOKUP(B441,Bookings!B:H,7,FALSE())</f>
        <v>14</v>
      </c>
      <c r="K441" s="5" t="str">
        <f t="shared" si="1"/>
        <v>Long</v>
      </c>
      <c r="L441" s="11">
        <f t="array" ref="L441">IFERROR(INDEX(Bookings!$K:$K,MATCH(A441,Bookings!$A:$A,0)),"")</f>
        <v>74844</v>
      </c>
      <c r="M441" s="5" t="str">
        <f t="shared" si="2"/>
        <v>High</v>
      </c>
      <c r="N441" s="5">
        <f t="array" ref="N441">IFERROR(INDEX(Bookings!$I:$I,MATCH(A441,Bookings!$A:$A,0)),"")</f>
        <v>39</v>
      </c>
      <c r="O441" s="5" t="str">
        <f t="shared" si="3"/>
        <v>Advance</v>
      </c>
      <c r="P441" s="5" t="str">
        <f t="shared" si="4"/>
        <v>Bengaluru -&gt; Mumbai</v>
      </c>
    </row>
    <row r="442" ht="15.75" customHeight="1">
      <c r="A442" s="5" t="s">
        <v>1700</v>
      </c>
      <c r="B442" s="5" t="s">
        <v>545</v>
      </c>
      <c r="C442" s="5" t="s">
        <v>361</v>
      </c>
      <c r="D442" s="5" t="s">
        <v>20</v>
      </c>
      <c r="E442" s="6" t="str">
        <f t="array" ref="E442">IFERROR(INDEX(Airlines!$B:$B,MATCH(D442,Airlines!$A:$A,0)),"")</f>
        <v>Vistara</v>
      </c>
      <c r="F442" s="6" t="str">
        <f>VLOOKUP(A442,Bookings!$A:$F,6,FALSE())</f>
        <v>Economy</v>
      </c>
      <c r="G442" s="6" t="str">
        <f t="array" ref="G442">IFERROR(INDEX(Flights!$E:$E,MATCH(B442,Flights!$A:$A,0)),"")</f>
        <v>Bengaluru</v>
      </c>
      <c r="H442" s="6" t="str">
        <f>VLOOKUP(B442,Flights!A:H,6,FALSE())</f>
        <v>Mumbai</v>
      </c>
      <c r="I442" s="6" t="str">
        <f t="array" ref="I442">IFERROR(INDEX(Bookings!$G:$G,MATCH(B442,Bookings!$B:$B,0)),"")</f>
        <v>1</v>
      </c>
      <c r="J442" s="5">
        <f>VLOOKUP(B442,Bookings!B:H,7,FALSE())</f>
        <v>12.08</v>
      </c>
      <c r="K442" s="5" t="str">
        <f t="shared" si="1"/>
        <v>Long</v>
      </c>
      <c r="L442" s="11">
        <f t="array" ref="L442">IFERROR(INDEX(Bookings!$K:$K,MATCH(A442,Bookings!$A:$A,0)),"")</f>
        <v>7212</v>
      </c>
      <c r="M442" s="5" t="str">
        <f t="shared" si="2"/>
        <v>Medium</v>
      </c>
      <c r="N442" s="5">
        <f t="array" ref="N442">IFERROR(INDEX(Bookings!$I:$I,MATCH(A442,Bookings!$A:$A,0)),"")</f>
        <v>44</v>
      </c>
      <c r="O442" s="5" t="str">
        <f t="shared" si="3"/>
        <v>Advance</v>
      </c>
      <c r="P442" s="5" t="str">
        <f t="shared" si="4"/>
        <v>Bengaluru -&gt; Mumbai</v>
      </c>
    </row>
    <row r="443" ht="15.75" customHeight="1">
      <c r="A443" s="5" t="s">
        <v>1703</v>
      </c>
      <c r="B443" s="5" t="s">
        <v>476</v>
      </c>
      <c r="C443" s="5" t="s">
        <v>361</v>
      </c>
      <c r="D443" s="5" t="s">
        <v>20</v>
      </c>
      <c r="E443" s="6" t="str">
        <f t="array" ref="E443">IFERROR(INDEX(Airlines!$B:$B,MATCH(D443,Airlines!$A:$A,0)),"")</f>
        <v>Vistara</v>
      </c>
      <c r="F443" s="6" t="str">
        <f>VLOOKUP(A443,Bookings!$A:$F,6,FALSE())</f>
        <v>Business</v>
      </c>
      <c r="G443" s="6" t="str">
        <f t="array" ref="G443">IFERROR(INDEX(Flights!$E:$E,MATCH(B443,Flights!$A:$A,0)),"")</f>
        <v>Bengaluru</v>
      </c>
      <c r="H443" s="6" t="str">
        <f>VLOOKUP(B443,Flights!A:H,6,FALSE())</f>
        <v>Mumbai</v>
      </c>
      <c r="I443" s="6" t="str">
        <f t="array" ref="I443">IFERROR(INDEX(Bookings!$G:$G,MATCH(B443,Bookings!$B:$B,0)),"")</f>
        <v>1</v>
      </c>
      <c r="J443" s="5">
        <f>VLOOKUP(B443,Bookings!B:H,7,FALSE())</f>
        <v>13.25</v>
      </c>
      <c r="K443" s="5" t="str">
        <f t="shared" si="1"/>
        <v>Long</v>
      </c>
      <c r="L443" s="11">
        <f t="array" ref="L443">IFERROR(INDEX(Bookings!$K:$K,MATCH(A443,Bookings!$A:$A,0)),"")</f>
        <v>69244</v>
      </c>
      <c r="M443" s="5" t="str">
        <f t="shared" si="2"/>
        <v>High</v>
      </c>
      <c r="N443" s="5">
        <f t="array" ref="N443">IFERROR(INDEX(Bookings!$I:$I,MATCH(A443,Bookings!$A:$A,0)),"")</f>
        <v>38</v>
      </c>
      <c r="O443" s="5" t="str">
        <f t="shared" si="3"/>
        <v>Advance</v>
      </c>
      <c r="P443" s="5" t="str">
        <f t="shared" si="4"/>
        <v>Bengaluru -&gt; Mumbai</v>
      </c>
    </row>
    <row r="444" ht="15.75" customHeight="1">
      <c r="A444" s="5" t="s">
        <v>1707</v>
      </c>
      <c r="B444" s="5" t="s">
        <v>424</v>
      </c>
      <c r="C444" s="5" t="s">
        <v>361</v>
      </c>
      <c r="D444" s="5" t="s">
        <v>45</v>
      </c>
      <c r="E444" s="6" t="str">
        <f t="array" ref="E444">IFERROR(INDEX(Airlines!$B:$B,MATCH(D444,Airlines!$A:$A,0)),"")</f>
        <v>Air_India</v>
      </c>
      <c r="F444" s="6" t="str">
        <f>VLOOKUP(A444,Bookings!$A:$F,6,FALSE())</f>
        <v>Economy</v>
      </c>
      <c r="G444" s="6" t="str">
        <f t="array" ref="G444">IFERROR(INDEX(Flights!$E:$E,MATCH(B444,Flights!$A:$A,0)),"")</f>
        <v>Bengaluru</v>
      </c>
      <c r="H444" s="6" t="str">
        <f>VLOOKUP(B444,Flights!A:H,6,FALSE())</f>
        <v>Mumbai</v>
      </c>
      <c r="I444" s="6" t="str">
        <f t="array" ref="I444">IFERROR(INDEX(Bookings!$G:$G,MATCH(B444,Bookings!$B:$B,0)),"")</f>
        <v>1</v>
      </c>
      <c r="J444" s="5">
        <f>VLOOKUP(B444,Bookings!B:H,7,FALSE())</f>
        <v>6.67</v>
      </c>
      <c r="K444" s="5" t="str">
        <f t="shared" si="1"/>
        <v>Medium</v>
      </c>
      <c r="L444" s="11">
        <f t="array" ref="L444">IFERROR(INDEX(Bookings!$K:$K,MATCH(A444,Bookings!$A:$A,0)),"")</f>
        <v>9277</v>
      </c>
      <c r="M444" s="5" t="str">
        <f t="shared" si="2"/>
        <v>Medium</v>
      </c>
      <c r="N444" s="5" t="str">
        <f t="array" ref="N444">IFERROR(INDEX(Bookings!$I:$I,MATCH(A444,Bookings!$A:$A,0)),"")</f>
        <v/>
      </c>
      <c r="O444" s="5" t="str">
        <f t="shared" si="3"/>
        <v>Last Minute</v>
      </c>
      <c r="P444" s="5" t="str">
        <f t="shared" si="4"/>
        <v>Bengaluru -&gt; Mumbai</v>
      </c>
    </row>
    <row r="445" ht="15.75" customHeight="1">
      <c r="A445" s="5" t="s">
        <v>1709</v>
      </c>
      <c r="B445" s="5" t="s">
        <v>472</v>
      </c>
      <c r="C445" s="5" t="s">
        <v>361</v>
      </c>
      <c r="D445" s="5" t="s">
        <v>29</v>
      </c>
      <c r="E445" s="6" t="str">
        <f t="array" ref="E445">IFERROR(INDEX(Airlines!$B:$B,MATCH(D445,Airlines!$A:$A,0)),"")</f>
        <v>AirAsia</v>
      </c>
      <c r="F445" s="6" t="str">
        <f>VLOOKUP(A445,Bookings!$A:$F,6,FALSE())</f>
        <v>Economy</v>
      </c>
      <c r="G445" s="6" t="str">
        <f t="array" ref="G445">IFERROR(INDEX(Flights!$E:$E,MATCH(B445,Flights!$A:$A,0)),"")</f>
        <v>Bengaluru</v>
      </c>
      <c r="H445" s="6" t="str">
        <f>VLOOKUP(B445,Flights!A:H,6,FALSE())</f>
        <v>Mumbai</v>
      </c>
      <c r="I445" s="6" t="str">
        <f t="array" ref="I445">IFERROR(INDEX(Bookings!$G:$G,MATCH(B445,Bookings!$B:$B,0)),"")</f>
        <v>1</v>
      </c>
      <c r="J445" s="5">
        <f>VLOOKUP(B445,Bookings!B:H,7,FALSE())</f>
        <v>6.67</v>
      </c>
      <c r="K445" s="5" t="str">
        <f t="shared" si="1"/>
        <v>Medium</v>
      </c>
      <c r="L445" s="11">
        <f t="array" ref="L445">IFERROR(INDEX(Bookings!$K:$K,MATCH(A445,Bookings!$A:$A,0)),"")</f>
        <v>7336</v>
      </c>
      <c r="M445" s="5" t="str">
        <f t="shared" si="2"/>
        <v>Medium</v>
      </c>
      <c r="N445" s="5">
        <f t="array" ref="N445">IFERROR(INDEX(Bookings!$I:$I,MATCH(A445,Bookings!$A:$A,0)),"")</f>
        <v>46</v>
      </c>
      <c r="O445" s="5" t="str">
        <f t="shared" si="3"/>
        <v>Advance</v>
      </c>
      <c r="P445" s="5" t="str">
        <f t="shared" si="4"/>
        <v>Bengaluru -&gt; Mumbai</v>
      </c>
    </row>
    <row r="446" ht="15.75" customHeight="1">
      <c r="A446" s="5" t="s">
        <v>1712</v>
      </c>
      <c r="B446" s="5" t="s">
        <v>438</v>
      </c>
      <c r="C446" s="5" t="s">
        <v>361</v>
      </c>
      <c r="D446" s="5" t="s">
        <v>20</v>
      </c>
      <c r="E446" s="6" t="str">
        <f t="array" ref="E446">IFERROR(INDEX(Airlines!$B:$B,MATCH(D446,Airlines!$A:$A,0)),"")</f>
        <v>Vistara</v>
      </c>
      <c r="F446" s="6" t="str">
        <f>VLOOKUP(A446,Bookings!$A:$F,6,FALSE())</f>
        <v>Economy</v>
      </c>
      <c r="G446" s="6" t="str">
        <f t="array" ref="G446">IFERROR(INDEX(Flights!$E:$E,MATCH(B446,Flights!$A:$A,0)),"")</f>
        <v>Bengaluru</v>
      </c>
      <c r="H446" s="6" t="str">
        <f>VLOOKUP(B446,Flights!A:H,6,FALSE())</f>
        <v>Mumbai</v>
      </c>
      <c r="I446" s="6" t="str">
        <f t="array" ref="I446">IFERROR(INDEX(Bookings!$G:$G,MATCH(B446,Bookings!$B:$B,0)),"")</f>
        <v>2+</v>
      </c>
      <c r="J446" s="5">
        <f>VLOOKUP(B446,Bookings!B:H,7,FALSE())</f>
        <v>8.58</v>
      </c>
      <c r="K446" s="5" t="str">
        <f t="shared" si="1"/>
        <v>Medium</v>
      </c>
      <c r="L446" s="11">
        <f t="array" ref="L446">IFERROR(INDEX(Bookings!$K:$K,MATCH(A446,Bookings!$A:$A,0)),"")</f>
        <v>19197</v>
      </c>
      <c r="M446" s="5" t="str">
        <f t="shared" si="2"/>
        <v>High</v>
      </c>
      <c r="N446" s="5">
        <f t="array" ref="N446">IFERROR(INDEX(Bookings!$I:$I,MATCH(A446,Bookings!$A:$A,0)),"")</f>
        <v>3</v>
      </c>
      <c r="O446" s="5" t="str">
        <f t="shared" si="3"/>
        <v>Last Minute</v>
      </c>
      <c r="P446" s="5" t="str">
        <f t="shared" si="4"/>
        <v>Bengaluru -&gt; Mumbai</v>
      </c>
    </row>
    <row r="447" ht="15.75" customHeight="1">
      <c r="A447" s="5" t="s">
        <v>1714</v>
      </c>
      <c r="B447" s="5" t="s">
        <v>537</v>
      </c>
      <c r="C447" s="5" t="s">
        <v>361</v>
      </c>
      <c r="D447" s="5" t="s">
        <v>45</v>
      </c>
      <c r="E447" s="6" t="str">
        <f t="array" ref="E447">IFERROR(INDEX(Airlines!$B:$B,MATCH(D447,Airlines!$A:$A,0)),"")</f>
        <v>Air_India</v>
      </c>
      <c r="F447" s="6" t="str">
        <f>VLOOKUP(A447,Bookings!$A:$F,6,FALSE())</f>
        <v>Business</v>
      </c>
      <c r="G447" s="6" t="str">
        <f t="array" ref="G447">IFERROR(INDEX(Flights!$E:$E,MATCH(B447,Flights!$A:$A,0)),"")</f>
        <v>Bengaluru</v>
      </c>
      <c r="H447" s="6" t="str">
        <f>VLOOKUP(B447,Flights!A:H,6,FALSE())</f>
        <v>Mumbai</v>
      </c>
      <c r="I447" s="6" t="str">
        <f t="array" ref="I447">IFERROR(INDEX(Bookings!$G:$G,MATCH(B447,Bookings!$B:$B,0)),"")</f>
        <v>1</v>
      </c>
      <c r="J447" s="5">
        <f>VLOOKUP(B447,Bookings!B:H,7,FALSE())</f>
        <v>9.08</v>
      </c>
      <c r="K447" s="5" t="str">
        <f t="shared" si="1"/>
        <v>Medium</v>
      </c>
      <c r="L447" s="11">
        <f t="array" ref="L447">IFERROR(INDEX(Bookings!$K:$K,MATCH(A447,Bookings!$A:$A,0)),"")</f>
        <v>42622</v>
      </c>
      <c r="M447" s="5" t="str">
        <f t="shared" si="2"/>
        <v>High</v>
      </c>
      <c r="N447" s="5">
        <f t="array" ref="N447">IFERROR(INDEX(Bookings!$I:$I,MATCH(A447,Bookings!$A:$A,0)),"")</f>
        <v>24</v>
      </c>
      <c r="O447" s="5" t="str">
        <f t="shared" si="3"/>
        <v>Moderate</v>
      </c>
      <c r="P447" s="5" t="str">
        <f t="shared" si="4"/>
        <v>Bengaluru -&gt; Mumbai</v>
      </c>
    </row>
    <row r="448" ht="15.75" customHeight="1">
      <c r="A448" s="5" t="s">
        <v>1715</v>
      </c>
      <c r="B448" s="5" t="s">
        <v>525</v>
      </c>
      <c r="C448" s="5" t="s">
        <v>361</v>
      </c>
      <c r="D448" s="5" t="s">
        <v>20</v>
      </c>
      <c r="E448" s="6" t="str">
        <f t="array" ref="E448">IFERROR(INDEX(Airlines!$B:$B,MATCH(D448,Airlines!$A:$A,0)),"")</f>
        <v>Vistara</v>
      </c>
      <c r="F448" s="6" t="str">
        <f>VLOOKUP(A448,Bookings!$A:$F,6,FALSE())</f>
        <v>Economy</v>
      </c>
      <c r="G448" s="6" t="str">
        <f t="array" ref="G448">IFERROR(INDEX(Flights!$E:$E,MATCH(B448,Flights!$A:$A,0)),"")</f>
        <v>Bengaluru</v>
      </c>
      <c r="H448" s="6" t="str">
        <f>VLOOKUP(B448,Flights!A:H,6,FALSE())</f>
        <v>Mumbai</v>
      </c>
      <c r="I448" s="6" t="str">
        <f t="array" ref="I448">IFERROR(INDEX(Bookings!$G:$G,MATCH(B448,Bookings!$B:$B,0)),"")</f>
        <v>1</v>
      </c>
      <c r="J448" s="5">
        <f>VLOOKUP(B448,Bookings!B:H,7,FALSE())</f>
        <v>6.58</v>
      </c>
      <c r="K448" s="5" t="str">
        <f t="shared" si="1"/>
        <v>Medium</v>
      </c>
      <c r="L448" s="11">
        <f t="array" ref="L448">IFERROR(INDEX(Bookings!$K:$K,MATCH(A448,Bookings!$A:$A,0)),"")</f>
        <v>4792</v>
      </c>
      <c r="M448" s="5" t="str">
        <f t="shared" si="2"/>
        <v>Medium</v>
      </c>
      <c r="N448" s="5">
        <f t="array" ref="N448">IFERROR(INDEX(Bookings!$I:$I,MATCH(A448,Bookings!$A:$A,0)),"")</f>
        <v>44</v>
      </c>
      <c r="O448" s="5" t="str">
        <f t="shared" si="3"/>
        <v>Advance</v>
      </c>
      <c r="P448" s="5" t="str">
        <f t="shared" si="4"/>
        <v>Bengaluru -&gt; Mumbai</v>
      </c>
    </row>
    <row r="449" ht="15.75" customHeight="1">
      <c r="A449" s="5" t="s">
        <v>1718</v>
      </c>
      <c r="B449" s="5" t="s">
        <v>505</v>
      </c>
      <c r="C449" s="5" t="s">
        <v>361</v>
      </c>
      <c r="D449" s="5" t="s">
        <v>20</v>
      </c>
      <c r="E449" s="6" t="str">
        <f t="array" ref="E449">IFERROR(INDEX(Airlines!$B:$B,MATCH(D449,Airlines!$A:$A,0)),"")</f>
        <v>Vistara</v>
      </c>
      <c r="F449" s="6" t="str">
        <f>VLOOKUP(A449,Bookings!$A:$F,6,FALSE())</f>
        <v>Economy</v>
      </c>
      <c r="G449" s="6" t="str">
        <f t="array" ref="G449">IFERROR(INDEX(Flights!$E:$E,MATCH(B449,Flights!$A:$A,0)),"")</f>
        <v>Bengaluru</v>
      </c>
      <c r="H449" s="6" t="str">
        <f>VLOOKUP(B449,Flights!A:H,6,FALSE())</f>
        <v>Mumbai</v>
      </c>
      <c r="I449" s="6" t="str">
        <f t="array" ref="I449">IFERROR(INDEX(Bookings!$G:$G,MATCH(B449,Bookings!$B:$B,0)),"")</f>
        <v>1</v>
      </c>
      <c r="J449" s="5">
        <f>VLOOKUP(B449,Bookings!B:H,7,FALSE())</f>
        <v>26.08</v>
      </c>
      <c r="K449" s="5" t="str">
        <f t="shared" si="1"/>
        <v>Long</v>
      </c>
      <c r="L449" s="11">
        <f t="array" ref="L449">IFERROR(INDEX(Bookings!$K:$K,MATCH(A449,Bookings!$A:$A,0)),"")</f>
        <v>4792</v>
      </c>
      <c r="M449" s="5" t="str">
        <f t="shared" si="2"/>
        <v>Medium</v>
      </c>
      <c r="N449" s="5">
        <f t="array" ref="N449">IFERROR(INDEX(Bookings!$I:$I,MATCH(A449,Bookings!$A:$A,0)),"")</f>
        <v>44</v>
      </c>
      <c r="O449" s="5" t="str">
        <f t="shared" si="3"/>
        <v>Advance</v>
      </c>
      <c r="P449" s="5" t="str">
        <f t="shared" si="4"/>
        <v>Bengaluru -&gt; Mumbai</v>
      </c>
    </row>
    <row r="450" ht="15.75" customHeight="1">
      <c r="A450" s="5" t="s">
        <v>1720</v>
      </c>
      <c r="B450" s="5" t="s">
        <v>498</v>
      </c>
      <c r="C450" s="5" t="s">
        <v>361</v>
      </c>
      <c r="D450" s="5" t="s">
        <v>45</v>
      </c>
      <c r="E450" s="6" t="str">
        <f t="array" ref="E450">IFERROR(INDEX(Airlines!$B:$B,MATCH(D450,Airlines!$A:$A,0)),"")</f>
        <v>Air_India</v>
      </c>
      <c r="F450" s="6" t="str">
        <f>VLOOKUP(A450,Bookings!$A:$F,6,FALSE())</f>
        <v>Business</v>
      </c>
      <c r="G450" s="6" t="str">
        <f t="array" ref="G450">IFERROR(INDEX(Flights!$E:$E,MATCH(B450,Flights!$A:$A,0)),"")</f>
        <v>Bengaluru</v>
      </c>
      <c r="H450" s="6" t="str">
        <f>VLOOKUP(B450,Flights!A:H,6,FALSE())</f>
        <v>Mumbai</v>
      </c>
      <c r="I450" s="6" t="str">
        <f t="array" ref="I450">IFERROR(INDEX(Bookings!$G:$G,MATCH(B450,Bookings!$B:$B,0)),"")</f>
        <v>1</v>
      </c>
      <c r="J450" s="5">
        <f>VLOOKUP(B450,Bookings!B:H,7,FALSE())</f>
        <v>15.83</v>
      </c>
      <c r="K450" s="5" t="str">
        <f t="shared" si="1"/>
        <v>Long</v>
      </c>
      <c r="L450" s="11">
        <f t="array" ref="L450">IFERROR(INDEX(Bookings!$K:$K,MATCH(A450,Bookings!$A:$A,0)),"")</f>
        <v>54684</v>
      </c>
      <c r="M450" s="5" t="str">
        <f t="shared" si="2"/>
        <v>High</v>
      </c>
      <c r="N450" s="5">
        <f t="array" ref="N450">IFERROR(INDEX(Bookings!$I:$I,MATCH(A450,Bookings!$A:$A,0)),"")</f>
        <v>19</v>
      </c>
      <c r="O450" s="5" t="str">
        <f t="shared" si="3"/>
        <v>Moderate</v>
      </c>
      <c r="P450" s="5" t="str">
        <f t="shared" si="4"/>
        <v>Bengaluru -&gt; Mumbai</v>
      </c>
    </row>
    <row r="451" ht="15.75" customHeight="1">
      <c r="A451" s="5" t="s">
        <v>1722</v>
      </c>
      <c r="B451" s="5" t="s">
        <v>470</v>
      </c>
      <c r="C451" s="5" t="s">
        <v>361</v>
      </c>
      <c r="D451" s="5" t="s">
        <v>20</v>
      </c>
      <c r="E451" s="6" t="str">
        <f t="array" ref="E451">IFERROR(INDEX(Airlines!$B:$B,MATCH(D451,Airlines!$A:$A,0)),"")</f>
        <v>Vistara</v>
      </c>
      <c r="F451" s="6" t="str">
        <f>VLOOKUP(A451,Bookings!$A:$F,6,FALSE())</f>
        <v>Business</v>
      </c>
      <c r="G451" s="6" t="str">
        <f t="array" ref="G451">IFERROR(INDEX(Flights!$E:$E,MATCH(B451,Flights!$A:$A,0)),"")</f>
        <v>Bengaluru</v>
      </c>
      <c r="H451" s="6" t="str">
        <f>VLOOKUP(B451,Flights!A:H,6,FALSE())</f>
        <v>Mumbai</v>
      </c>
      <c r="I451" s="6" t="str">
        <f t="array" ref="I451">IFERROR(INDEX(Bookings!$G:$G,MATCH(B451,Bookings!$B:$B,0)),"")</f>
        <v>1</v>
      </c>
      <c r="J451" s="5">
        <f>VLOOKUP(B451,Bookings!B:H,7,FALSE())</f>
        <v>9.33</v>
      </c>
      <c r="K451" s="5" t="str">
        <f t="shared" si="1"/>
        <v>Medium</v>
      </c>
      <c r="L451" s="11">
        <f t="array" ref="L451">IFERROR(INDEX(Bookings!$K:$K,MATCH(A451,Bookings!$A:$A,0)),"")</f>
        <v>62524</v>
      </c>
      <c r="M451" s="5" t="str">
        <f t="shared" si="2"/>
        <v>High</v>
      </c>
      <c r="N451" s="5">
        <f t="array" ref="N451">IFERROR(INDEX(Bookings!$I:$I,MATCH(A451,Bookings!$A:$A,0)),"")</f>
        <v>38</v>
      </c>
      <c r="O451" s="5" t="str">
        <f t="shared" si="3"/>
        <v>Advance</v>
      </c>
      <c r="P451" s="5" t="str">
        <f t="shared" si="4"/>
        <v>Bengaluru -&gt; Mumbai</v>
      </c>
    </row>
    <row r="452" ht="15.75" customHeight="1">
      <c r="A452" s="5" t="s">
        <v>1723</v>
      </c>
      <c r="B452" s="5" t="s">
        <v>454</v>
      </c>
      <c r="C452" s="5" t="s">
        <v>361</v>
      </c>
      <c r="D452" s="5" t="s">
        <v>20</v>
      </c>
      <c r="E452" s="6" t="str">
        <f t="array" ref="E452">IFERROR(INDEX(Airlines!$B:$B,MATCH(D452,Airlines!$A:$A,0)),"")</f>
        <v>Vistara</v>
      </c>
      <c r="F452" s="6" t="str">
        <f>VLOOKUP(A452,Bookings!$A:$F,6,FALSE())</f>
        <v>Economy</v>
      </c>
      <c r="G452" s="6" t="str">
        <f t="array" ref="G452">IFERROR(INDEX(Flights!$E:$E,MATCH(B452,Flights!$A:$A,0)),"")</f>
        <v>Bengaluru</v>
      </c>
      <c r="H452" s="6" t="str">
        <f>VLOOKUP(B452,Flights!A:H,6,FALSE())</f>
        <v>Mumbai</v>
      </c>
      <c r="I452" s="6" t="str">
        <f t="array" ref="I452">IFERROR(INDEX(Bookings!$G:$G,MATCH(B452,Bookings!$B:$B,0)),"")</f>
        <v>1</v>
      </c>
      <c r="J452" s="5">
        <f>VLOOKUP(B452,Bookings!B:H,7,FALSE())</f>
        <v>25.75</v>
      </c>
      <c r="K452" s="5" t="str">
        <f t="shared" si="1"/>
        <v>Long</v>
      </c>
      <c r="L452" s="11">
        <f t="array" ref="L452">IFERROR(INDEX(Bookings!$K:$K,MATCH(A452,Bookings!$A:$A,0)),"")</f>
        <v>14733</v>
      </c>
      <c r="M452" s="5" t="str">
        <f t="shared" si="2"/>
        <v>Medium</v>
      </c>
      <c r="N452" s="5">
        <f t="array" ref="N452">IFERROR(INDEX(Bookings!$I:$I,MATCH(A452,Bookings!$A:$A,0)),"")</f>
        <v>8</v>
      </c>
      <c r="O452" s="5" t="str">
        <f t="shared" si="3"/>
        <v>Short Notice</v>
      </c>
      <c r="P452" s="5" t="str">
        <f t="shared" si="4"/>
        <v>Bengaluru -&gt; Mumbai</v>
      </c>
    </row>
    <row r="453" ht="15.75" customHeight="1">
      <c r="A453" s="5" t="s">
        <v>1726</v>
      </c>
      <c r="B453" s="5" t="s">
        <v>479</v>
      </c>
      <c r="C453" s="5" t="s">
        <v>361</v>
      </c>
      <c r="D453" s="5" t="s">
        <v>20</v>
      </c>
      <c r="E453" s="6" t="str">
        <f t="array" ref="E453">IFERROR(INDEX(Airlines!$B:$B,MATCH(D453,Airlines!$A:$A,0)),"")</f>
        <v>Vistara</v>
      </c>
      <c r="F453" s="6" t="str">
        <f>VLOOKUP(A453,Bookings!$A:$F,6,FALSE())</f>
        <v>Economy</v>
      </c>
      <c r="G453" s="6" t="str">
        <f t="array" ref="G453">IFERROR(INDEX(Flights!$E:$E,MATCH(B453,Flights!$A:$A,0)),"")</f>
        <v>Bengaluru</v>
      </c>
      <c r="H453" s="6" t="str">
        <f>VLOOKUP(B453,Flights!A:H,6,FALSE())</f>
        <v>Mumbai</v>
      </c>
      <c r="I453" s="6" t="str">
        <f t="array" ref="I453">IFERROR(INDEX(Bookings!$G:$G,MATCH(B453,Bookings!$B:$B,0)),"")</f>
        <v>1</v>
      </c>
      <c r="J453" s="5">
        <f>VLOOKUP(B453,Bookings!B:H,7,FALSE())</f>
        <v>28.5</v>
      </c>
      <c r="K453" s="5" t="str">
        <f t="shared" si="1"/>
        <v>Long</v>
      </c>
      <c r="L453" s="11">
        <f t="array" ref="L453">IFERROR(INDEX(Bookings!$K:$K,MATCH(A453,Bookings!$A:$A,0)),"")</f>
        <v>14733</v>
      </c>
      <c r="M453" s="5" t="str">
        <f t="shared" si="2"/>
        <v>Medium</v>
      </c>
      <c r="N453" s="5">
        <f t="array" ref="N453">IFERROR(INDEX(Bookings!$I:$I,MATCH(A453,Bookings!$A:$A,0)),"")</f>
        <v>8</v>
      </c>
      <c r="O453" s="5" t="str">
        <f t="shared" si="3"/>
        <v>Short Notice</v>
      </c>
      <c r="P453" s="5" t="str">
        <f t="shared" si="4"/>
        <v>Bengaluru -&gt; Mumbai</v>
      </c>
    </row>
    <row r="454" ht="15.75" customHeight="1">
      <c r="A454" s="5" t="s">
        <v>1729</v>
      </c>
      <c r="B454" s="5" t="s">
        <v>460</v>
      </c>
      <c r="C454" s="5" t="s">
        <v>361</v>
      </c>
      <c r="D454" s="5" t="s">
        <v>58</v>
      </c>
      <c r="E454" s="6" t="str">
        <f t="array" ref="E454">IFERROR(INDEX(Airlines!$B:$B,MATCH(D454,Airlines!$A:$A,0)),"")</f>
        <v>Go_First</v>
      </c>
      <c r="F454" s="6" t="str">
        <f>VLOOKUP(A454,Bookings!$A:$F,6,FALSE())</f>
        <v>Economy</v>
      </c>
      <c r="G454" s="6" t="str">
        <f t="array" ref="G454">IFERROR(INDEX(Flights!$E:$E,MATCH(B454,Flights!$A:$A,0)),"")</f>
        <v>Bengaluru</v>
      </c>
      <c r="H454" s="6" t="str">
        <f>VLOOKUP(B454,Flights!A:H,6,FALSE())</f>
        <v>Mumbai</v>
      </c>
      <c r="I454" s="6" t="str">
        <f t="array" ref="I454">IFERROR(INDEX(Bookings!$G:$G,MATCH(B454,Bookings!$B:$B,0)),"")</f>
        <v>1</v>
      </c>
      <c r="J454" s="5">
        <f>VLOOKUP(B454,Bookings!B:H,7,FALSE())</f>
        <v>6.33</v>
      </c>
      <c r="K454" s="5" t="str">
        <f t="shared" si="1"/>
        <v>Medium</v>
      </c>
      <c r="L454" s="11">
        <f t="array" ref="L454">IFERROR(INDEX(Bookings!$K:$K,MATCH(A454,Bookings!$A:$A,0)),"")</f>
        <v>7336</v>
      </c>
      <c r="M454" s="5" t="str">
        <f t="shared" si="2"/>
        <v>Medium</v>
      </c>
      <c r="N454" s="5">
        <f t="array" ref="N454">IFERROR(INDEX(Bookings!$I:$I,MATCH(A454,Bookings!$A:$A,0)),"")</f>
        <v>33</v>
      </c>
      <c r="O454" s="5" t="str">
        <f t="shared" si="3"/>
        <v>Advance</v>
      </c>
      <c r="P454" s="5" t="str">
        <f t="shared" si="4"/>
        <v>Bengaluru -&gt; Mumbai</v>
      </c>
    </row>
    <row r="455" ht="15.75" customHeight="1">
      <c r="A455" s="5" t="s">
        <v>1732</v>
      </c>
      <c r="B455" s="5" t="s">
        <v>447</v>
      </c>
      <c r="C455" s="5" t="s">
        <v>361</v>
      </c>
      <c r="D455" s="5" t="s">
        <v>20</v>
      </c>
      <c r="E455" s="6" t="str">
        <f t="array" ref="E455">IFERROR(INDEX(Airlines!$B:$B,MATCH(D455,Airlines!$A:$A,0)),"")</f>
        <v>Vistara</v>
      </c>
      <c r="F455" s="6" t="str">
        <f>VLOOKUP(A455,Bookings!$A:$F,6,FALSE())</f>
        <v>Economy</v>
      </c>
      <c r="G455" s="6" t="str">
        <f t="array" ref="G455">IFERROR(INDEX(Flights!$E:$E,MATCH(B455,Flights!$A:$A,0)),"")</f>
        <v>Bengaluru</v>
      </c>
      <c r="H455" s="6" t="str">
        <f>VLOOKUP(B455,Flights!A:H,6,FALSE())</f>
        <v>Mumbai</v>
      </c>
      <c r="I455" s="6" t="str">
        <f t="array" ref="I455">IFERROR(INDEX(Bookings!$G:$G,MATCH(B455,Bookings!$B:$B,0)),"")</f>
        <v>1</v>
      </c>
      <c r="J455" s="5">
        <f>VLOOKUP(B455,Bookings!B:H,7,FALSE())</f>
        <v>13.08</v>
      </c>
      <c r="K455" s="5" t="str">
        <f t="shared" si="1"/>
        <v>Long</v>
      </c>
      <c r="L455" s="11">
        <f t="array" ref="L455">IFERROR(INDEX(Bookings!$K:$K,MATCH(A455,Bookings!$A:$A,0)),"")</f>
        <v>6568</v>
      </c>
      <c r="M455" s="5" t="str">
        <f t="shared" si="2"/>
        <v>Medium</v>
      </c>
      <c r="N455" s="5">
        <f t="array" ref="N455">IFERROR(INDEX(Bookings!$I:$I,MATCH(A455,Bookings!$A:$A,0)),"")</f>
        <v>43</v>
      </c>
      <c r="O455" s="5" t="str">
        <f t="shared" si="3"/>
        <v>Advance</v>
      </c>
      <c r="P455" s="5" t="str">
        <f t="shared" si="4"/>
        <v>Bengaluru -&gt; Mumbai</v>
      </c>
    </row>
    <row r="456" ht="15.75" customHeight="1">
      <c r="A456" s="5" t="s">
        <v>1735</v>
      </c>
      <c r="B456" s="5" t="s">
        <v>491</v>
      </c>
      <c r="C456" s="5" t="s">
        <v>361</v>
      </c>
      <c r="D456" s="5" t="s">
        <v>20</v>
      </c>
      <c r="E456" s="6" t="str">
        <f t="array" ref="E456">IFERROR(INDEX(Airlines!$B:$B,MATCH(D456,Airlines!$A:$A,0)),"")</f>
        <v>Vistara</v>
      </c>
      <c r="F456" s="6" t="str">
        <f>VLOOKUP(A456,Bookings!$A:$F,6,FALSE())</f>
        <v>Economy</v>
      </c>
      <c r="G456" s="6" t="str">
        <f t="array" ref="G456">IFERROR(INDEX(Flights!$E:$E,MATCH(B456,Flights!$A:$A,0)),"")</f>
        <v>Bengaluru</v>
      </c>
      <c r="H456" s="6" t="str">
        <f>VLOOKUP(B456,Flights!A:H,6,FALSE())</f>
        <v>Mumbai</v>
      </c>
      <c r="I456" s="6" t="str">
        <f t="array" ref="I456">IFERROR(INDEX(Bookings!$G:$G,MATCH(B456,Bookings!$B:$B,0)),"")</f>
        <v>1</v>
      </c>
      <c r="J456" s="5">
        <f>VLOOKUP(B456,Bookings!B:H,7,FALSE())</f>
        <v>14</v>
      </c>
      <c r="K456" s="5" t="str">
        <f t="shared" si="1"/>
        <v>Long</v>
      </c>
      <c r="L456" s="11">
        <f t="array" ref="L456">IFERROR(INDEX(Bookings!$K:$K,MATCH(A456,Bookings!$A:$A,0)),"")</f>
        <v>6568</v>
      </c>
      <c r="M456" s="5" t="str">
        <f t="shared" si="2"/>
        <v>Medium</v>
      </c>
      <c r="N456" s="5">
        <f t="array" ref="N456">IFERROR(INDEX(Bookings!$I:$I,MATCH(A456,Bookings!$A:$A,0)),"")</f>
        <v>43</v>
      </c>
      <c r="O456" s="5" t="str">
        <f t="shared" si="3"/>
        <v>Advance</v>
      </c>
      <c r="P456" s="5" t="str">
        <f t="shared" si="4"/>
        <v>Bengaluru -&gt; Mumbai</v>
      </c>
    </row>
    <row r="457" ht="15.75" customHeight="1">
      <c r="A457" s="5" t="s">
        <v>1737</v>
      </c>
      <c r="B457" s="5" t="s">
        <v>434</v>
      </c>
      <c r="C457" s="5" t="s">
        <v>361</v>
      </c>
      <c r="D457" s="5" t="s">
        <v>45</v>
      </c>
      <c r="E457" s="6" t="str">
        <f t="array" ref="E457">IFERROR(INDEX(Airlines!$B:$B,MATCH(D457,Airlines!$A:$A,0)),"")</f>
        <v>Air_India</v>
      </c>
      <c r="F457" s="6" t="str">
        <f>VLOOKUP(A457,Bookings!$A:$F,6,FALSE())</f>
        <v>Economy</v>
      </c>
      <c r="G457" s="6" t="str">
        <f t="array" ref="G457">IFERROR(INDEX(Flights!$E:$E,MATCH(B457,Flights!$A:$A,0)),"")</f>
        <v>Bengaluru</v>
      </c>
      <c r="H457" s="6" t="str">
        <f>VLOOKUP(B457,Flights!A:H,6,FALSE())</f>
        <v>Mumbai</v>
      </c>
      <c r="I457" s="6" t="str">
        <f t="array" ref="I457">IFERROR(INDEX(Bookings!$G:$G,MATCH(B457,Bookings!$B:$B,0)),"")</f>
        <v>1</v>
      </c>
      <c r="J457" s="5">
        <f>VLOOKUP(B457,Bookings!B:H,7,FALSE())</f>
        <v>15.92</v>
      </c>
      <c r="K457" s="5" t="str">
        <f t="shared" si="1"/>
        <v>Long</v>
      </c>
      <c r="L457" s="11">
        <f t="array" ref="L457">IFERROR(INDEX(Bookings!$K:$K,MATCH(A457,Bookings!$A:$A,0)),"")</f>
        <v>11545</v>
      </c>
      <c r="M457" s="5" t="str">
        <f t="shared" si="2"/>
        <v>Medium</v>
      </c>
      <c r="N457" s="5">
        <f t="array" ref="N457">IFERROR(INDEX(Bookings!$I:$I,MATCH(A457,Bookings!$A:$A,0)),"")</f>
        <v>8</v>
      </c>
      <c r="O457" s="5" t="str">
        <f t="shared" si="3"/>
        <v>Short Notice</v>
      </c>
      <c r="P457" s="5" t="str">
        <f t="shared" si="4"/>
        <v>Bengaluru -&gt; Mumbai</v>
      </c>
    </row>
    <row r="458" ht="15.75" customHeight="1">
      <c r="A458" s="5" t="s">
        <v>1738</v>
      </c>
      <c r="B458" s="5" t="s">
        <v>493</v>
      </c>
      <c r="C458" s="5" t="s">
        <v>361</v>
      </c>
      <c r="D458" s="5" t="s">
        <v>45</v>
      </c>
      <c r="E458" s="6" t="str">
        <f t="array" ref="E458">IFERROR(INDEX(Airlines!$B:$B,MATCH(D458,Airlines!$A:$A,0)),"")</f>
        <v>Air_India</v>
      </c>
      <c r="F458" s="6" t="str">
        <f>VLOOKUP(A458,Bookings!$A:$F,6,FALSE())</f>
        <v>Economy</v>
      </c>
      <c r="G458" s="6" t="str">
        <f t="array" ref="G458">IFERROR(INDEX(Flights!$E:$E,MATCH(B458,Flights!$A:$A,0)),"")</f>
        <v>Bengaluru</v>
      </c>
      <c r="H458" s="6" t="str">
        <f>VLOOKUP(B458,Flights!A:H,6,FALSE())</f>
        <v>Mumbai</v>
      </c>
      <c r="I458" s="6" t="str">
        <f t="array" ref="I458">IFERROR(INDEX(Bookings!$G:$G,MATCH(B458,Bookings!$B:$B,0)),"")</f>
        <v>1</v>
      </c>
      <c r="J458" s="5">
        <f>VLOOKUP(B458,Bookings!B:H,7,FALSE())</f>
        <v>13.67</v>
      </c>
      <c r="K458" s="5" t="str">
        <f t="shared" si="1"/>
        <v>Long</v>
      </c>
      <c r="L458" s="11">
        <f t="array" ref="L458">IFERROR(INDEX(Bookings!$K:$K,MATCH(A458,Bookings!$A:$A,0)),"")</f>
        <v>5761</v>
      </c>
      <c r="M458" s="5" t="str">
        <f t="shared" si="2"/>
        <v>Medium</v>
      </c>
      <c r="N458" s="5">
        <f t="array" ref="N458">IFERROR(INDEX(Bookings!$I:$I,MATCH(A458,Bookings!$A:$A,0)),"")</f>
        <v>42</v>
      </c>
      <c r="O458" s="5" t="str">
        <f t="shared" si="3"/>
        <v>Advance</v>
      </c>
      <c r="P458" s="5" t="str">
        <f t="shared" si="4"/>
        <v>Bengaluru -&gt; Mumbai</v>
      </c>
    </row>
    <row r="459" ht="15.75" customHeight="1">
      <c r="A459" s="5" t="s">
        <v>1742</v>
      </c>
      <c r="B459" s="5" t="s">
        <v>514</v>
      </c>
      <c r="C459" s="5" t="s">
        <v>361</v>
      </c>
      <c r="D459" s="5" t="s">
        <v>45</v>
      </c>
      <c r="E459" s="6" t="str">
        <f t="array" ref="E459">IFERROR(INDEX(Airlines!$B:$B,MATCH(D459,Airlines!$A:$A,0)),"")</f>
        <v>Air_India</v>
      </c>
      <c r="F459" s="6" t="str">
        <f>VLOOKUP(A459,Bookings!$A:$F,6,FALSE())</f>
        <v>Economy</v>
      </c>
      <c r="G459" s="6" t="str">
        <f t="array" ref="G459">IFERROR(INDEX(Flights!$E:$E,MATCH(B459,Flights!$A:$A,0)),"")</f>
        <v>Bengaluru</v>
      </c>
      <c r="H459" s="6" t="str">
        <f>VLOOKUP(B459,Flights!A:H,6,FALSE())</f>
        <v>Mumbai</v>
      </c>
      <c r="I459" s="6" t="str">
        <f t="array" ref="I459">IFERROR(INDEX(Bookings!$G:$G,MATCH(B459,Bookings!$B:$B,0)),"")</f>
        <v>1</v>
      </c>
      <c r="J459" s="5">
        <f>VLOOKUP(B459,Bookings!B:H,7,FALSE())</f>
        <v>28.83</v>
      </c>
      <c r="K459" s="5" t="str">
        <f t="shared" si="1"/>
        <v>Long</v>
      </c>
      <c r="L459" s="11">
        <f t="array" ref="L459">IFERROR(INDEX(Bookings!$K:$K,MATCH(A459,Bookings!$A:$A,0)),"")</f>
        <v>13295</v>
      </c>
      <c r="M459" s="5" t="str">
        <f t="shared" si="2"/>
        <v>Medium</v>
      </c>
      <c r="N459" s="5">
        <f t="array" ref="N459">IFERROR(INDEX(Bookings!$I:$I,MATCH(A459,Bookings!$A:$A,0)),"")</f>
        <v>14</v>
      </c>
      <c r="O459" s="5" t="str">
        <f t="shared" si="3"/>
        <v>Short Notice</v>
      </c>
      <c r="P459" s="5" t="str">
        <f t="shared" si="4"/>
        <v>Bengaluru -&gt; Mumbai</v>
      </c>
    </row>
    <row r="460" ht="15.75" customHeight="1">
      <c r="A460" s="5" t="s">
        <v>1745</v>
      </c>
      <c r="B460" s="5" t="s">
        <v>428</v>
      </c>
      <c r="C460" s="5" t="s">
        <v>361</v>
      </c>
      <c r="D460" s="5" t="s">
        <v>45</v>
      </c>
      <c r="E460" s="6" t="str">
        <f t="array" ref="E460">IFERROR(INDEX(Airlines!$B:$B,MATCH(D460,Airlines!$A:$A,0)),"")</f>
        <v>Air_India</v>
      </c>
      <c r="F460" s="6" t="str">
        <f>VLOOKUP(A460,Bookings!$A:$F,6,FALSE())</f>
        <v>Business</v>
      </c>
      <c r="G460" s="6" t="str">
        <f t="array" ref="G460">IFERROR(INDEX(Flights!$E:$E,MATCH(B460,Flights!$A:$A,0)),"")</f>
        <v>Bengaluru</v>
      </c>
      <c r="H460" s="6" t="str">
        <f>VLOOKUP(B460,Flights!A:H,6,FALSE())</f>
        <v>Mumbai</v>
      </c>
      <c r="I460" s="6" t="str">
        <f t="array" ref="I460">IFERROR(INDEX(Bookings!$G:$G,MATCH(B460,Bookings!$B:$B,0)),"")</f>
        <v>1</v>
      </c>
      <c r="J460" s="5">
        <f>VLOOKUP(B460,Bookings!B:H,7,FALSE())</f>
        <v>26.08</v>
      </c>
      <c r="K460" s="5" t="str">
        <f t="shared" si="1"/>
        <v>Long</v>
      </c>
      <c r="L460" s="11">
        <f t="array" ref="L460">IFERROR(INDEX(Bookings!$K:$K,MATCH(A460,Bookings!$A:$A,0)),"")</f>
        <v>29170</v>
      </c>
      <c r="M460" s="5" t="str">
        <f t="shared" si="2"/>
        <v>High</v>
      </c>
      <c r="N460" s="5">
        <f t="array" ref="N460">IFERROR(INDEX(Bookings!$I:$I,MATCH(A460,Bookings!$A:$A,0)),"")</f>
        <v>46</v>
      </c>
      <c r="O460" s="5" t="str">
        <f t="shared" si="3"/>
        <v>Advance</v>
      </c>
      <c r="P460" s="5" t="str">
        <f t="shared" si="4"/>
        <v>Bengaluru -&gt; Mumbai</v>
      </c>
    </row>
    <row r="461" ht="15.75" customHeight="1">
      <c r="A461" s="5" t="s">
        <v>1750</v>
      </c>
      <c r="B461" s="5" t="s">
        <v>517</v>
      </c>
      <c r="C461" s="5" t="s">
        <v>361</v>
      </c>
      <c r="D461" s="5" t="s">
        <v>58</v>
      </c>
      <c r="E461" s="6" t="str">
        <f t="array" ref="E461">IFERROR(INDEX(Airlines!$B:$B,MATCH(D461,Airlines!$A:$A,0)),"")</f>
        <v>Go_First</v>
      </c>
      <c r="F461" s="6" t="str">
        <f>VLOOKUP(A461,Bookings!$A:$F,6,FALSE())</f>
        <v>Economy</v>
      </c>
      <c r="G461" s="6" t="str">
        <f t="array" ref="G461">IFERROR(INDEX(Flights!$E:$E,MATCH(B461,Flights!$A:$A,0)),"")</f>
        <v>Bengaluru</v>
      </c>
      <c r="H461" s="6" t="str">
        <f>VLOOKUP(B461,Flights!A:H,6,FALSE())</f>
        <v>Mumbai</v>
      </c>
      <c r="I461" s="6" t="str">
        <f t="array" ref="I461">IFERROR(INDEX(Bookings!$G:$G,MATCH(B461,Bookings!$B:$B,0)),"")</f>
        <v>1</v>
      </c>
      <c r="J461" s="5">
        <f>VLOOKUP(B461,Bookings!B:H,7,FALSE())</f>
        <v>11.58</v>
      </c>
      <c r="K461" s="5" t="str">
        <f t="shared" si="1"/>
        <v>Long</v>
      </c>
      <c r="L461" s="11">
        <f t="array" ref="L461">IFERROR(INDEX(Bookings!$K:$K,MATCH(A461,Bookings!$A:$A,0)),"")</f>
        <v>4299</v>
      </c>
      <c r="M461" s="5" t="str">
        <f t="shared" si="2"/>
        <v>Low</v>
      </c>
      <c r="N461" s="5">
        <f t="array" ref="N461">IFERROR(INDEX(Bookings!$I:$I,MATCH(A461,Bookings!$A:$A,0)),"")</f>
        <v>44</v>
      </c>
      <c r="O461" s="5" t="str">
        <f t="shared" si="3"/>
        <v>Advance</v>
      </c>
      <c r="P461" s="5" t="str">
        <f t="shared" si="4"/>
        <v>Bengaluru -&gt; Mumbai</v>
      </c>
    </row>
    <row r="462" ht="15.75" customHeight="1">
      <c r="A462" s="5" t="s">
        <v>1753</v>
      </c>
      <c r="B462" s="5" t="s">
        <v>449</v>
      </c>
      <c r="C462" s="5" t="s">
        <v>361</v>
      </c>
      <c r="D462" s="5" t="s">
        <v>43</v>
      </c>
      <c r="E462" s="6" t="str">
        <f t="array" ref="E462">IFERROR(INDEX(Airlines!$B:$B,MATCH(D462,Airlines!$A:$A,0)),"")</f>
        <v>Indigo</v>
      </c>
      <c r="F462" s="6" t="str">
        <f>VLOOKUP(A462,Bookings!$A:$F,6,FALSE())</f>
        <v>Economy</v>
      </c>
      <c r="G462" s="6" t="str">
        <f t="array" ref="G462">IFERROR(INDEX(Flights!$E:$E,MATCH(B462,Flights!$A:$A,0)),"")</f>
        <v>Bengaluru</v>
      </c>
      <c r="H462" s="6" t="str">
        <f>VLOOKUP(B462,Flights!A:H,6,FALSE())</f>
        <v>Mumbai</v>
      </c>
      <c r="I462" s="6" t="str">
        <f t="array" ref="I462">IFERROR(INDEX(Bookings!$G:$G,MATCH(B462,Bookings!$B:$B,0)),"")</f>
        <v>1</v>
      </c>
      <c r="J462" s="5">
        <f>VLOOKUP(B462,Bookings!B:H,7,FALSE())</f>
        <v>6</v>
      </c>
      <c r="K462" s="5" t="str">
        <f t="shared" si="1"/>
        <v>Medium</v>
      </c>
      <c r="L462" s="11">
        <f t="array" ref="L462">IFERROR(INDEX(Bookings!$K:$K,MATCH(A462,Bookings!$A:$A,0)),"")</f>
        <v>3012</v>
      </c>
      <c r="M462" s="5" t="str">
        <f t="shared" si="2"/>
        <v>Low</v>
      </c>
      <c r="N462" s="5">
        <f t="array" ref="N462">IFERROR(INDEX(Bookings!$I:$I,MATCH(A462,Bookings!$A:$A,0)),"")</f>
        <v>46</v>
      </c>
      <c r="O462" s="5" t="str">
        <f t="shared" si="3"/>
        <v>Advance</v>
      </c>
      <c r="P462" s="5" t="str">
        <f t="shared" si="4"/>
        <v>Bengaluru -&gt; Mumbai</v>
      </c>
    </row>
    <row r="463" ht="15.75" customHeight="1">
      <c r="A463" s="5" t="s">
        <v>1755</v>
      </c>
      <c r="B463" s="5" t="s">
        <v>484</v>
      </c>
      <c r="C463" s="5" t="s">
        <v>361</v>
      </c>
      <c r="D463" s="5" t="s">
        <v>43</v>
      </c>
      <c r="E463" s="6" t="str">
        <f t="array" ref="E463">IFERROR(INDEX(Airlines!$B:$B,MATCH(D463,Airlines!$A:$A,0)),"")</f>
        <v>Indigo</v>
      </c>
      <c r="F463" s="6" t="str">
        <f>VLOOKUP(A463,Bookings!$A:$F,6,FALSE())</f>
        <v>Economy</v>
      </c>
      <c r="G463" s="6" t="str">
        <f t="array" ref="G463">IFERROR(INDEX(Flights!$E:$E,MATCH(B463,Flights!$A:$A,0)),"")</f>
        <v>Bengaluru</v>
      </c>
      <c r="H463" s="6" t="str">
        <f>VLOOKUP(B463,Flights!A:H,6,FALSE())</f>
        <v>Mumbai</v>
      </c>
      <c r="I463" s="6" t="str">
        <f t="array" ref="I463">IFERROR(INDEX(Bookings!$G:$G,MATCH(B463,Bookings!$B:$B,0)),"")</f>
        <v>1</v>
      </c>
      <c r="J463" s="5">
        <f>VLOOKUP(B463,Bookings!B:H,7,FALSE())</f>
        <v>7.83</v>
      </c>
      <c r="K463" s="5" t="str">
        <f t="shared" si="1"/>
        <v>Medium</v>
      </c>
      <c r="L463" s="11">
        <f t="array" ref="L463">IFERROR(INDEX(Bookings!$K:$K,MATCH(A463,Bookings!$A:$A,0)),"")</f>
        <v>3012</v>
      </c>
      <c r="M463" s="5" t="str">
        <f t="shared" si="2"/>
        <v>Low</v>
      </c>
      <c r="N463" s="5">
        <f t="array" ref="N463">IFERROR(INDEX(Bookings!$I:$I,MATCH(A463,Bookings!$A:$A,0)),"")</f>
        <v>46</v>
      </c>
      <c r="O463" s="5" t="str">
        <f t="shared" si="3"/>
        <v>Advance</v>
      </c>
      <c r="P463" s="5" t="str">
        <f t="shared" si="4"/>
        <v>Bengaluru -&gt; Mumbai</v>
      </c>
    </row>
    <row r="464" ht="15.75" customHeight="1">
      <c r="A464" s="5" t="s">
        <v>1760</v>
      </c>
      <c r="B464" s="5" t="s">
        <v>418</v>
      </c>
      <c r="C464" s="5" t="s">
        <v>361</v>
      </c>
      <c r="D464" s="5" t="s">
        <v>58</v>
      </c>
      <c r="E464" s="6" t="str">
        <f t="array" ref="E464">IFERROR(INDEX(Airlines!$B:$B,MATCH(D464,Airlines!$A:$A,0)),"")</f>
        <v>Go_First</v>
      </c>
      <c r="F464" s="6" t="str">
        <f>VLOOKUP(A464,Bookings!$A:$F,6,FALSE())</f>
        <v>Economy</v>
      </c>
      <c r="G464" s="6" t="str">
        <f t="array" ref="G464">IFERROR(INDEX(Flights!$E:$E,MATCH(B464,Flights!$A:$A,0)),"")</f>
        <v>Bengaluru</v>
      </c>
      <c r="H464" s="6" t="str">
        <f>VLOOKUP(B464,Flights!A:H,6,FALSE())</f>
        <v>Mumbai</v>
      </c>
      <c r="I464" s="6" t="str">
        <f t="array" ref="I464">IFERROR(INDEX(Bookings!$G:$G,MATCH(B464,Bookings!$B:$B,0)),"")</f>
        <v>1</v>
      </c>
      <c r="J464" s="5">
        <f>VLOOKUP(B464,Bookings!B:H,7,FALSE())</f>
        <v>8.92</v>
      </c>
      <c r="K464" s="5" t="str">
        <f t="shared" si="1"/>
        <v>Medium</v>
      </c>
      <c r="L464" s="11">
        <f t="array" ref="L464">IFERROR(INDEX(Bookings!$K:$K,MATCH(A464,Bookings!$A:$A,0)),"")</f>
        <v>6389</v>
      </c>
      <c r="M464" s="5" t="str">
        <f t="shared" si="2"/>
        <v>Medium</v>
      </c>
      <c r="N464" s="5">
        <f t="array" ref="N464">IFERROR(INDEX(Bookings!$I:$I,MATCH(A464,Bookings!$A:$A,0)),"")</f>
        <v>46</v>
      </c>
      <c r="O464" s="5" t="str">
        <f t="shared" si="3"/>
        <v>Advance</v>
      </c>
      <c r="P464" s="5" t="str">
        <f t="shared" si="4"/>
        <v>Bengaluru -&gt; Mumbai</v>
      </c>
    </row>
    <row r="465" ht="15.75" customHeight="1">
      <c r="A465" s="5" t="s">
        <v>1763</v>
      </c>
      <c r="B465" s="5" t="s">
        <v>488</v>
      </c>
      <c r="C465" s="5" t="s">
        <v>361</v>
      </c>
      <c r="D465" s="5" t="s">
        <v>58</v>
      </c>
      <c r="E465" s="6" t="str">
        <f t="array" ref="E465">IFERROR(INDEX(Airlines!$B:$B,MATCH(D465,Airlines!$A:$A,0)),"")</f>
        <v>Go_First</v>
      </c>
      <c r="F465" s="6" t="str">
        <f>VLOOKUP(A465,Bookings!$A:$F,6,FALSE())</f>
        <v>Economy</v>
      </c>
      <c r="G465" s="6" t="str">
        <f t="array" ref="G465">IFERROR(INDEX(Flights!$E:$E,MATCH(B465,Flights!$A:$A,0)),"")</f>
        <v>Bengaluru</v>
      </c>
      <c r="H465" s="6" t="str">
        <f>VLOOKUP(B465,Flights!A:H,6,FALSE())</f>
        <v>Mumbai</v>
      </c>
      <c r="I465" s="6" t="str">
        <f t="array" ref="I465">IFERROR(INDEX(Bookings!$G:$G,MATCH(B465,Bookings!$B:$B,0)),"")</f>
        <v>1</v>
      </c>
      <c r="J465" s="5">
        <f>VLOOKUP(B465,Bookings!B:H,7,FALSE())</f>
        <v>11.92</v>
      </c>
      <c r="K465" s="5" t="str">
        <f t="shared" si="1"/>
        <v>Long</v>
      </c>
      <c r="L465" s="11">
        <f t="array" ref="L465">IFERROR(INDEX(Bookings!$K:$K,MATCH(A465,Bookings!$A:$A,0)),"")</f>
        <v>6389</v>
      </c>
      <c r="M465" s="5" t="str">
        <f t="shared" si="2"/>
        <v>Medium</v>
      </c>
      <c r="N465" s="5">
        <f t="array" ref="N465">IFERROR(INDEX(Bookings!$I:$I,MATCH(A465,Bookings!$A:$A,0)),"")</f>
        <v>46</v>
      </c>
      <c r="O465" s="5" t="str">
        <f t="shared" si="3"/>
        <v>Advance</v>
      </c>
      <c r="P465" s="5" t="str">
        <f t="shared" si="4"/>
        <v>Bengaluru -&gt; Mumbai</v>
      </c>
    </row>
    <row r="466" ht="15.75" customHeight="1">
      <c r="A466" s="5" t="s">
        <v>1766</v>
      </c>
      <c r="B466" s="5" t="s">
        <v>462</v>
      </c>
      <c r="C466" s="5" t="s">
        <v>361</v>
      </c>
      <c r="D466" s="5" t="s">
        <v>45</v>
      </c>
      <c r="E466" s="6" t="str">
        <f t="array" ref="E466">IFERROR(INDEX(Airlines!$B:$B,MATCH(D466,Airlines!$A:$A,0)),"")</f>
        <v>Air_India</v>
      </c>
      <c r="F466" s="6" t="str">
        <f>VLOOKUP(A466,Bookings!$A:$F,6,FALSE())</f>
        <v>Economy</v>
      </c>
      <c r="G466" s="6" t="str">
        <f t="array" ref="G466">IFERROR(INDEX(Flights!$E:$E,MATCH(B466,Flights!$A:$A,0)),"")</f>
        <v>Bengaluru</v>
      </c>
      <c r="H466" s="6" t="str">
        <f>VLOOKUP(B466,Flights!A:H,6,FALSE())</f>
        <v>Mumbai</v>
      </c>
      <c r="I466" s="6" t="str">
        <f t="array" ref="I466">IFERROR(INDEX(Bookings!$G:$G,MATCH(B466,Bookings!$B:$B,0)),"")</f>
        <v>1</v>
      </c>
      <c r="J466" s="5">
        <f>VLOOKUP(B466,Bookings!B:H,7,FALSE())</f>
        <v>5.58</v>
      </c>
      <c r="K466" s="5" t="str">
        <f t="shared" si="1"/>
        <v>Medium</v>
      </c>
      <c r="L466" s="11">
        <f t="array" ref="L466">IFERROR(INDEX(Bookings!$K:$K,MATCH(A466,Bookings!$A:$A,0)),"")</f>
        <v>3961</v>
      </c>
      <c r="M466" s="5" t="str">
        <f t="shared" si="2"/>
        <v>Low</v>
      </c>
      <c r="N466" s="5">
        <f t="array" ref="N466">IFERROR(INDEX(Bookings!$I:$I,MATCH(A466,Bookings!$A:$A,0)),"")</f>
        <v>46</v>
      </c>
      <c r="O466" s="5" t="str">
        <f t="shared" si="3"/>
        <v>Advance</v>
      </c>
      <c r="P466" s="5" t="str">
        <f t="shared" si="4"/>
        <v>Bengaluru -&gt; Mumbai</v>
      </c>
    </row>
    <row r="467" ht="15.75" customHeight="1">
      <c r="A467" s="5" t="s">
        <v>1769</v>
      </c>
      <c r="B467" s="5" t="s">
        <v>457</v>
      </c>
      <c r="C467" s="5" t="s">
        <v>361</v>
      </c>
      <c r="D467" s="5" t="s">
        <v>45</v>
      </c>
      <c r="E467" s="6" t="str">
        <f t="array" ref="E467">IFERROR(INDEX(Airlines!$B:$B,MATCH(D467,Airlines!$A:$A,0)),"")</f>
        <v>Air_India</v>
      </c>
      <c r="F467" s="6" t="str">
        <f>VLOOKUP(A467,Bookings!$A:$F,6,FALSE())</f>
        <v>Economy</v>
      </c>
      <c r="G467" s="6" t="str">
        <f t="array" ref="G467">IFERROR(INDEX(Flights!$E:$E,MATCH(B467,Flights!$A:$A,0)),"")</f>
        <v>Bengaluru</v>
      </c>
      <c r="H467" s="6" t="str">
        <f>VLOOKUP(B467,Flights!A:H,6,FALSE())</f>
        <v>Mumbai</v>
      </c>
      <c r="I467" s="6" t="str">
        <f t="array" ref="I467">IFERROR(INDEX(Bookings!$G:$G,MATCH(B467,Bookings!$B:$B,0)),"")</f>
        <v>1</v>
      </c>
      <c r="J467" s="5">
        <f>VLOOKUP(B467,Bookings!B:H,7,FALSE())</f>
        <v>23.5</v>
      </c>
      <c r="K467" s="5" t="str">
        <f t="shared" si="1"/>
        <v>Long</v>
      </c>
      <c r="L467" s="11">
        <f t="array" ref="L467">IFERROR(INDEX(Bookings!$K:$K,MATCH(A467,Bookings!$A:$A,0)),"")</f>
        <v>6578</v>
      </c>
      <c r="M467" s="5" t="str">
        <f t="shared" si="2"/>
        <v>Medium</v>
      </c>
      <c r="N467" s="5">
        <f t="array" ref="N467">IFERROR(INDEX(Bookings!$I:$I,MATCH(A467,Bookings!$A:$A,0)),"")</f>
        <v>46</v>
      </c>
      <c r="O467" s="5" t="str">
        <f t="shared" si="3"/>
        <v>Advance</v>
      </c>
      <c r="P467" s="5" t="str">
        <f t="shared" si="4"/>
        <v>Bengaluru -&gt; Mumbai</v>
      </c>
    </row>
    <row r="468" ht="15.75" customHeight="1">
      <c r="A468" s="5" t="s">
        <v>1771</v>
      </c>
      <c r="B468" s="5" t="s">
        <v>521</v>
      </c>
      <c r="C468" s="5" t="s">
        <v>361</v>
      </c>
      <c r="D468" s="5" t="s">
        <v>45</v>
      </c>
      <c r="E468" s="6" t="str">
        <f t="array" ref="E468">IFERROR(INDEX(Airlines!$B:$B,MATCH(D468,Airlines!$A:$A,0)),"")</f>
        <v>Air_India</v>
      </c>
      <c r="F468" s="6" t="str">
        <f>VLOOKUP(A468,Bookings!$A:$F,6,FALSE())</f>
        <v>Economy</v>
      </c>
      <c r="G468" s="6" t="str">
        <f t="array" ref="G468">IFERROR(INDEX(Flights!$E:$E,MATCH(B468,Flights!$A:$A,0)),"")</f>
        <v>Bengaluru</v>
      </c>
      <c r="H468" s="6" t="str">
        <f>VLOOKUP(B468,Flights!A:H,6,FALSE())</f>
        <v>Mumbai</v>
      </c>
      <c r="I468" s="6" t="str">
        <f t="array" ref="I468">IFERROR(INDEX(Bookings!$G:$G,MATCH(B468,Bookings!$B:$B,0)),"")</f>
        <v>1</v>
      </c>
      <c r="J468" s="5">
        <f>VLOOKUP(B468,Bookings!B:H,7,FALSE())</f>
        <v>15.25</v>
      </c>
      <c r="K468" s="5" t="str">
        <f t="shared" si="1"/>
        <v>Long</v>
      </c>
      <c r="L468" s="11">
        <f t="array" ref="L468">IFERROR(INDEX(Bookings!$K:$K,MATCH(A468,Bookings!$A:$A,0)),"")</f>
        <v>6893</v>
      </c>
      <c r="M468" s="5" t="str">
        <f t="shared" si="2"/>
        <v>Medium</v>
      </c>
      <c r="N468" s="5">
        <f t="array" ref="N468">IFERROR(INDEX(Bookings!$I:$I,MATCH(A468,Bookings!$A:$A,0)),"")</f>
        <v>46</v>
      </c>
      <c r="O468" s="5" t="str">
        <f t="shared" si="3"/>
        <v>Advance</v>
      </c>
      <c r="P468" s="5" t="str">
        <f t="shared" si="4"/>
        <v>Bengaluru -&gt; Mumbai</v>
      </c>
    </row>
    <row r="469" ht="15.75" customHeight="1">
      <c r="A469" s="5" t="s">
        <v>1775</v>
      </c>
      <c r="B469" s="5" t="s">
        <v>510</v>
      </c>
      <c r="C469" s="5" t="s">
        <v>361</v>
      </c>
      <c r="D469" s="5" t="s">
        <v>20</v>
      </c>
      <c r="E469" s="6" t="str">
        <f t="array" ref="E469">IFERROR(INDEX(Airlines!$B:$B,MATCH(D469,Airlines!$A:$A,0)),"")</f>
        <v>Vistara</v>
      </c>
      <c r="F469" s="6" t="str">
        <f>VLOOKUP(A469,Bookings!$A:$F,6,FALSE())</f>
        <v>Economy</v>
      </c>
      <c r="G469" s="6" t="str">
        <f t="array" ref="G469">IFERROR(INDEX(Flights!$E:$E,MATCH(B469,Flights!$A:$A,0)),"")</f>
        <v>Bengaluru</v>
      </c>
      <c r="H469" s="6" t="str">
        <f>VLOOKUP(B469,Flights!A:H,6,FALSE())</f>
        <v>Mumbai</v>
      </c>
      <c r="I469" s="6" t="str">
        <f t="array" ref="I469">IFERROR(INDEX(Bookings!$G:$G,MATCH(B469,Bookings!$B:$B,0)),"")</f>
        <v>1</v>
      </c>
      <c r="J469" s="5">
        <f>VLOOKUP(B469,Bookings!B:H,7,FALSE())</f>
        <v>8.58</v>
      </c>
      <c r="K469" s="5" t="str">
        <f t="shared" si="1"/>
        <v>Medium</v>
      </c>
      <c r="L469" s="11">
        <f t="array" ref="L469">IFERROR(INDEX(Bookings!$K:$K,MATCH(A469,Bookings!$A:$A,0)),"")</f>
        <v>12193</v>
      </c>
      <c r="M469" s="5" t="str">
        <f t="shared" si="2"/>
        <v>Medium</v>
      </c>
      <c r="N469" s="5">
        <f t="array" ref="N469">IFERROR(INDEX(Bookings!$I:$I,MATCH(A469,Bookings!$A:$A,0)),"")</f>
        <v>47</v>
      </c>
      <c r="O469" s="5" t="str">
        <f t="shared" si="3"/>
        <v>Advance</v>
      </c>
      <c r="P469" s="5" t="str">
        <f t="shared" si="4"/>
        <v>Bengaluru -&gt; Mumbai</v>
      </c>
    </row>
    <row r="470" ht="15.75" customHeight="1">
      <c r="A470" s="5" t="s">
        <v>1777</v>
      </c>
      <c r="B470" s="5" t="s">
        <v>430</v>
      </c>
      <c r="C470" s="5" t="s">
        <v>361</v>
      </c>
      <c r="D470" s="5" t="s">
        <v>45</v>
      </c>
      <c r="E470" s="6" t="str">
        <f t="array" ref="E470">IFERROR(INDEX(Airlines!$B:$B,MATCH(D470,Airlines!$A:$A,0)),"")</f>
        <v>Air_India</v>
      </c>
      <c r="F470" s="6" t="str">
        <f>VLOOKUP(A470,Bookings!$A:$F,6,FALSE())</f>
        <v>Economy</v>
      </c>
      <c r="G470" s="6" t="str">
        <f t="array" ref="G470">IFERROR(INDEX(Flights!$E:$E,MATCH(B470,Flights!$A:$A,0)),"")</f>
        <v>Bengaluru</v>
      </c>
      <c r="H470" s="6" t="str">
        <f>VLOOKUP(B470,Flights!A:H,6,FALSE())</f>
        <v>Mumbai</v>
      </c>
      <c r="I470" s="6" t="str">
        <f t="array" ref="I470">IFERROR(INDEX(Bookings!$G:$G,MATCH(B470,Bookings!$B:$B,0)),"")</f>
        <v>1</v>
      </c>
      <c r="J470" s="5">
        <f>VLOOKUP(B470,Bookings!B:H,7,FALSE())</f>
        <v>14.75</v>
      </c>
      <c r="K470" s="5" t="str">
        <f t="shared" si="1"/>
        <v>Long</v>
      </c>
      <c r="L470" s="11">
        <f t="array" ref="L470">IFERROR(INDEX(Bookings!$K:$K,MATCH(A470,Bookings!$A:$A,0)),"")</f>
        <v>5850</v>
      </c>
      <c r="M470" s="5" t="str">
        <f t="shared" si="2"/>
        <v>Medium</v>
      </c>
      <c r="N470" s="5">
        <f t="array" ref="N470">IFERROR(INDEX(Bookings!$I:$I,MATCH(A470,Bookings!$A:$A,0)),"")</f>
        <v>47</v>
      </c>
      <c r="O470" s="5" t="str">
        <f t="shared" si="3"/>
        <v>Advance</v>
      </c>
      <c r="P470" s="5" t="str">
        <f t="shared" si="4"/>
        <v>Bengaluru -&gt; Mumbai</v>
      </c>
    </row>
    <row r="471" ht="15.75" customHeight="1">
      <c r="A471" s="5" t="s">
        <v>1778</v>
      </c>
      <c r="B471" s="5" t="s">
        <v>603</v>
      </c>
      <c r="C471" s="5" t="s">
        <v>392</v>
      </c>
      <c r="D471" s="5" t="s">
        <v>29</v>
      </c>
      <c r="E471" s="6" t="str">
        <f t="array" ref="E471">IFERROR(INDEX(Airlines!$B:$B,MATCH(D471,Airlines!$A:$A,0)),"")</f>
        <v>AirAsia</v>
      </c>
      <c r="F471" s="6" t="str">
        <f>VLOOKUP(A471,Bookings!$A:$F,6,FALSE())</f>
        <v>Economy</v>
      </c>
      <c r="G471" s="6" t="str">
        <f t="array" ref="G471">IFERROR(INDEX(Flights!$E:$E,MATCH(B471,Flights!$A:$A,0)),"")</f>
        <v>Bengaluru</v>
      </c>
      <c r="H471" s="6" t="str">
        <f>VLOOKUP(B471,Flights!A:H,6,FALSE())</f>
        <v>Kolkata</v>
      </c>
      <c r="I471" s="6" t="str">
        <f t="array" ref="I471">IFERROR(INDEX(Bookings!$G:$G,MATCH(B471,Bookings!$B:$B,0)),"")</f>
        <v>1</v>
      </c>
      <c r="J471" s="5">
        <f>VLOOKUP(B471,Bookings!B:H,7,FALSE())</f>
        <v>11.75</v>
      </c>
      <c r="K471" s="5" t="str">
        <f t="shared" si="1"/>
        <v>Long</v>
      </c>
      <c r="L471" s="11">
        <f t="array" ref="L471">IFERROR(INDEX(Bookings!$K:$K,MATCH(A471,Bookings!$A:$A,0)),"")</f>
        <v>3393</v>
      </c>
      <c r="M471" s="5" t="str">
        <f t="shared" si="2"/>
        <v>Low</v>
      </c>
      <c r="N471" s="5">
        <f t="array" ref="N471">IFERROR(INDEX(Bookings!$I:$I,MATCH(A471,Bookings!$A:$A,0)),"")</f>
        <v>28</v>
      </c>
      <c r="O471" s="5" t="str">
        <f t="shared" si="3"/>
        <v>Moderate</v>
      </c>
      <c r="P471" s="5" t="str">
        <f t="shared" si="4"/>
        <v>Bengaluru -&gt; Kolkata</v>
      </c>
    </row>
    <row r="472" ht="15.75" customHeight="1">
      <c r="A472" s="5" t="s">
        <v>1780</v>
      </c>
      <c r="B472" s="5" t="s">
        <v>633</v>
      </c>
      <c r="C472" s="5" t="s">
        <v>392</v>
      </c>
      <c r="D472" s="5" t="s">
        <v>20</v>
      </c>
      <c r="E472" s="6" t="str">
        <f t="array" ref="E472">IFERROR(INDEX(Airlines!$B:$B,MATCH(D472,Airlines!$A:$A,0)),"")</f>
        <v>Vistara</v>
      </c>
      <c r="F472" s="6" t="str">
        <f>VLOOKUP(A472,Bookings!$A:$F,6,FALSE())</f>
        <v>Economy</v>
      </c>
      <c r="G472" s="6" t="str">
        <f t="array" ref="G472">IFERROR(INDEX(Flights!$E:$E,MATCH(B472,Flights!$A:$A,0)),"")</f>
        <v>Bengaluru</v>
      </c>
      <c r="H472" s="6" t="str">
        <f>VLOOKUP(B472,Flights!A:H,6,FALSE())</f>
        <v>Kolkata</v>
      </c>
      <c r="I472" s="6" t="str">
        <f t="array" ref="I472">IFERROR(INDEX(Bookings!$G:$G,MATCH(B472,Bookings!$B:$B,0)),"")</f>
        <v>1</v>
      </c>
      <c r="J472" s="5">
        <f>VLOOKUP(B472,Bookings!B:H,7,FALSE())</f>
        <v>23.25</v>
      </c>
      <c r="K472" s="5" t="str">
        <f t="shared" si="1"/>
        <v>Long</v>
      </c>
      <c r="L472" s="11">
        <f t="array" ref="L472">IFERROR(INDEX(Bookings!$K:$K,MATCH(A472,Bookings!$A:$A,0)),"")</f>
        <v>11383</v>
      </c>
      <c r="M472" s="5" t="str">
        <f t="shared" si="2"/>
        <v>Medium</v>
      </c>
      <c r="N472" s="5">
        <f t="array" ref="N472">IFERROR(INDEX(Bookings!$I:$I,MATCH(A472,Bookings!$A:$A,0)),"")</f>
        <v>5</v>
      </c>
      <c r="O472" s="5" t="str">
        <f t="shared" si="3"/>
        <v>Last Minute</v>
      </c>
      <c r="P472" s="5" t="str">
        <f t="shared" si="4"/>
        <v>Bengaluru -&gt; Kolkata</v>
      </c>
    </row>
    <row r="473" ht="15.75" customHeight="1">
      <c r="A473" s="5" t="s">
        <v>1783</v>
      </c>
      <c r="B473" s="5" t="s">
        <v>630</v>
      </c>
      <c r="C473" s="5" t="s">
        <v>392</v>
      </c>
      <c r="D473" s="5" t="s">
        <v>29</v>
      </c>
      <c r="E473" s="6" t="str">
        <f t="array" ref="E473">IFERROR(INDEX(Airlines!$B:$B,MATCH(D473,Airlines!$A:$A,0)),"")</f>
        <v>AirAsia</v>
      </c>
      <c r="F473" s="6" t="str">
        <f>VLOOKUP(A473,Bookings!$A:$F,6,FALSE())</f>
        <v>Economy</v>
      </c>
      <c r="G473" s="6" t="str">
        <f t="array" ref="G473">IFERROR(INDEX(Flights!$E:$E,MATCH(B473,Flights!$A:$A,0)),"")</f>
        <v>Bengaluru</v>
      </c>
      <c r="H473" s="6" t="str">
        <f>VLOOKUP(B473,Flights!A:H,6,FALSE())</f>
        <v>Kolkata</v>
      </c>
      <c r="I473" s="6" t="str">
        <f t="array" ref="I473">IFERROR(INDEX(Bookings!$G:$G,MATCH(B473,Bookings!$B:$B,0)),"")</f>
        <v>0</v>
      </c>
      <c r="J473" s="5">
        <f>VLOOKUP(B473,Bookings!B:H,7,FALSE())</f>
        <v>2.42</v>
      </c>
      <c r="K473" s="5" t="str">
        <f t="shared" si="1"/>
        <v>Short</v>
      </c>
      <c r="L473" s="11">
        <f t="array" ref="L473">IFERROR(INDEX(Bookings!$K:$K,MATCH(A473,Bookings!$A:$A,0)),"")</f>
        <v>3393</v>
      </c>
      <c r="M473" s="5" t="str">
        <f t="shared" si="2"/>
        <v>Low</v>
      </c>
      <c r="N473" s="5">
        <f t="array" ref="N473">IFERROR(INDEX(Bookings!$I:$I,MATCH(A473,Bookings!$A:$A,0)),"")</f>
        <v>33</v>
      </c>
      <c r="O473" s="5" t="str">
        <f t="shared" si="3"/>
        <v>Advance</v>
      </c>
      <c r="P473" s="5" t="str">
        <f t="shared" si="4"/>
        <v>Bengaluru -&gt; Kolkata</v>
      </c>
    </row>
    <row r="474" ht="15.75" customHeight="1">
      <c r="A474" s="5" t="s">
        <v>1784</v>
      </c>
      <c r="B474" s="5" t="s">
        <v>550</v>
      </c>
      <c r="C474" s="5" t="s">
        <v>392</v>
      </c>
      <c r="D474" s="5" t="s">
        <v>20</v>
      </c>
      <c r="E474" s="6" t="str">
        <f t="array" ref="E474">IFERROR(INDEX(Airlines!$B:$B,MATCH(D474,Airlines!$A:$A,0)),"")</f>
        <v>Vistara</v>
      </c>
      <c r="F474" s="6" t="str">
        <f>VLOOKUP(A474,Bookings!$A:$F,6,FALSE())</f>
        <v>Business</v>
      </c>
      <c r="G474" s="6" t="str">
        <f t="array" ref="G474">IFERROR(INDEX(Flights!$E:$E,MATCH(B474,Flights!$A:$A,0)),"")</f>
        <v>Bengaluru</v>
      </c>
      <c r="H474" s="6" t="str">
        <f>VLOOKUP(B474,Flights!A:H,6,FALSE())</f>
        <v>Kolkata</v>
      </c>
      <c r="I474" s="6" t="str">
        <f t="array" ref="I474">IFERROR(INDEX(Bookings!$G:$G,MATCH(B474,Bookings!$B:$B,0)),"")</f>
        <v>1</v>
      </c>
      <c r="J474" s="5">
        <f>VLOOKUP(B474,Bookings!B:H,7,FALSE())</f>
        <v>13.75</v>
      </c>
      <c r="K474" s="5" t="str">
        <f t="shared" si="1"/>
        <v>Long</v>
      </c>
      <c r="L474" s="11">
        <f t="array" ref="L474">IFERROR(INDEX(Bookings!$K:$K,MATCH(A474,Bookings!$A:$A,0)),"")</f>
        <v>51817</v>
      </c>
      <c r="M474" s="5" t="str">
        <f t="shared" si="2"/>
        <v>High</v>
      </c>
      <c r="N474" s="5">
        <f t="array" ref="N474">IFERROR(INDEX(Bookings!$I:$I,MATCH(A474,Bookings!$A:$A,0)),"")</f>
        <v>34</v>
      </c>
      <c r="O474" s="5" t="str">
        <f t="shared" si="3"/>
        <v>Advance</v>
      </c>
      <c r="P474" s="5" t="str">
        <f t="shared" si="4"/>
        <v>Bengaluru -&gt; Kolkata</v>
      </c>
    </row>
    <row r="475" ht="15.75" customHeight="1">
      <c r="A475" s="5" t="s">
        <v>1787</v>
      </c>
      <c r="B475" s="5" t="s">
        <v>553</v>
      </c>
      <c r="C475" s="5" t="s">
        <v>392</v>
      </c>
      <c r="D475" s="5" t="s">
        <v>20</v>
      </c>
      <c r="E475" s="6" t="str">
        <f t="array" ref="E475">IFERROR(INDEX(Airlines!$B:$B,MATCH(D475,Airlines!$A:$A,0)),"")</f>
        <v>Vistara</v>
      </c>
      <c r="F475" s="6" t="str">
        <f>VLOOKUP(A475,Bookings!$A:$F,6,FALSE())</f>
        <v>Economy</v>
      </c>
      <c r="G475" s="6" t="str">
        <f t="array" ref="G475">IFERROR(INDEX(Flights!$E:$E,MATCH(B475,Flights!$A:$A,0)),"")</f>
        <v>Bengaluru</v>
      </c>
      <c r="H475" s="6" t="str">
        <f>VLOOKUP(B475,Flights!A:H,6,FALSE())</f>
        <v>Kolkata</v>
      </c>
      <c r="I475" s="6" t="str">
        <f t="array" ref="I475">IFERROR(INDEX(Bookings!$G:$G,MATCH(B475,Bookings!$B:$B,0)),"")</f>
        <v>1</v>
      </c>
      <c r="J475" s="5">
        <f>VLOOKUP(B475,Bookings!B:H,7,FALSE())</f>
        <v>10.08</v>
      </c>
      <c r="K475" s="5" t="str">
        <f t="shared" si="1"/>
        <v>Long</v>
      </c>
      <c r="L475" s="11">
        <f t="array" ref="L475">IFERROR(INDEX(Bookings!$K:$K,MATCH(A475,Bookings!$A:$A,0)),"")</f>
        <v>8112</v>
      </c>
      <c r="M475" s="5" t="str">
        <f t="shared" si="2"/>
        <v>Medium</v>
      </c>
      <c r="N475" s="5">
        <f t="array" ref="N475">IFERROR(INDEX(Bookings!$I:$I,MATCH(A475,Bookings!$A:$A,0)),"")</f>
        <v>45</v>
      </c>
      <c r="O475" s="5" t="str">
        <f t="shared" si="3"/>
        <v>Advance</v>
      </c>
      <c r="P475" s="5" t="str">
        <f t="shared" si="4"/>
        <v>Bengaluru -&gt; Kolkata</v>
      </c>
    </row>
    <row r="476" ht="15.75" customHeight="1">
      <c r="A476" s="5" t="s">
        <v>1789</v>
      </c>
      <c r="B476" s="5" t="s">
        <v>650</v>
      </c>
      <c r="C476" s="5" t="s">
        <v>392</v>
      </c>
      <c r="D476" s="5" t="s">
        <v>43</v>
      </c>
      <c r="E476" s="6" t="str">
        <f t="array" ref="E476">IFERROR(INDEX(Airlines!$B:$B,MATCH(D476,Airlines!$A:$A,0)),"")</f>
        <v>Indigo</v>
      </c>
      <c r="F476" s="6" t="str">
        <f>VLOOKUP(A476,Bookings!$A:$F,6,FALSE())</f>
        <v>Economy</v>
      </c>
      <c r="G476" s="6" t="str">
        <f t="array" ref="G476">IFERROR(INDEX(Flights!$E:$E,MATCH(B476,Flights!$A:$A,0)),"")</f>
        <v>Bengaluru</v>
      </c>
      <c r="H476" s="6" t="str">
        <f>VLOOKUP(B476,Flights!A:H,6,FALSE())</f>
        <v>Kolkata</v>
      </c>
      <c r="I476" s="6" t="str">
        <f t="array" ref="I476">IFERROR(INDEX(Bookings!$G:$G,MATCH(B476,Bookings!$B:$B,0)),"")</f>
        <v>1</v>
      </c>
      <c r="J476" s="5">
        <f>VLOOKUP(B476,Bookings!B:H,7,FALSE())</f>
        <v>9.58</v>
      </c>
      <c r="K476" s="5" t="str">
        <f t="shared" si="1"/>
        <v>Medium</v>
      </c>
      <c r="L476" s="11">
        <f t="array" ref="L476">IFERROR(INDEX(Bookings!$K:$K,MATCH(A476,Bookings!$A:$A,0)),"")</f>
        <v>5178</v>
      </c>
      <c r="M476" s="5" t="str">
        <f t="shared" si="2"/>
        <v>Medium</v>
      </c>
      <c r="N476" s="5">
        <f t="array" ref="N476">IFERROR(INDEX(Bookings!$I:$I,MATCH(A476,Bookings!$A:$A,0)),"")</f>
        <v>27</v>
      </c>
      <c r="O476" s="5" t="str">
        <f t="shared" si="3"/>
        <v>Moderate</v>
      </c>
      <c r="P476" s="5" t="str">
        <f t="shared" si="4"/>
        <v>Bengaluru -&gt; Kolkata</v>
      </c>
    </row>
    <row r="477" ht="15.75" customHeight="1">
      <c r="A477" s="5" t="s">
        <v>1792</v>
      </c>
      <c r="B477" s="5" t="s">
        <v>594</v>
      </c>
      <c r="C477" s="5" t="s">
        <v>392</v>
      </c>
      <c r="D477" s="5" t="s">
        <v>45</v>
      </c>
      <c r="E477" s="6" t="str">
        <f t="array" ref="E477">IFERROR(INDEX(Airlines!$B:$B,MATCH(D477,Airlines!$A:$A,0)),"")</f>
        <v>Air_India</v>
      </c>
      <c r="F477" s="6" t="str">
        <f>VLOOKUP(A477,Bookings!$A:$F,6,FALSE())</f>
        <v>Business</v>
      </c>
      <c r="G477" s="6" t="str">
        <f t="array" ref="G477">IFERROR(INDEX(Flights!$E:$E,MATCH(B477,Flights!$A:$A,0)),"")</f>
        <v>Bengaluru</v>
      </c>
      <c r="H477" s="6" t="str">
        <f>VLOOKUP(B477,Flights!A:H,6,FALSE())</f>
        <v>Kolkata</v>
      </c>
      <c r="I477" s="6" t="str">
        <f t="array" ref="I477">IFERROR(INDEX(Bookings!$G:$G,MATCH(B477,Bookings!$B:$B,0)),"")</f>
        <v>1</v>
      </c>
      <c r="J477" s="5">
        <f>VLOOKUP(B477,Bookings!B:H,7,FALSE())</f>
        <v>25.58</v>
      </c>
      <c r="K477" s="5" t="str">
        <f t="shared" si="1"/>
        <v>Long</v>
      </c>
      <c r="L477" s="11">
        <f t="array" ref="L477">IFERROR(INDEX(Bookings!$K:$K,MATCH(A477,Bookings!$A:$A,0)),"")</f>
        <v>31432</v>
      </c>
      <c r="M477" s="5" t="str">
        <f t="shared" si="2"/>
        <v>High</v>
      </c>
      <c r="N477" s="5">
        <f t="array" ref="N477">IFERROR(INDEX(Bookings!$I:$I,MATCH(A477,Bookings!$A:$A,0)),"")</f>
        <v>33</v>
      </c>
      <c r="O477" s="5" t="str">
        <f t="shared" si="3"/>
        <v>Advance</v>
      </c>
      <c r="P477" s="5" t="str">
        <f t="shared" si="4"/>
        <v>Bengaluru -&gt; Kolkata</v>
      </c>
    </row>
    <row r="478" ht="15.75" customHeight="1">
      <c r="A478" s="5" t="s">
        <v>1795</v>
      </c>
      <c r="B478" s="5" t="s">
        <v>639</v>
      </c>
      <c r="C478" s="5" t="s">
        <v>392</v>
      </c>
      <c r="D478" s="5" t="s">
        <v>72</v>
      </c>
      <c r="E478" s="6" t="str">
        <f t="array" ref="E478">IFERROR(INDEX(Airlines!$B:$B,MATCH(D478,Airlines!$A:$A,0)),"")</f>
        <v>Spicejet</v>
      </c>
      <c r="F478" s="6" t="str">
        <f>VLOOKUP(A478,Bookings!$A:$F,6,FALSE())</f>
        <v>Economy</v>
      </c>
      <c r="G478" s="6" t="str">
        <f t="array" ref="G478">IFERROR(INDEX(Flights!$E:$E,MATCH(B478,Flights!$A:$A,0)),"")</f>
        <v>Bengaluru</v>
      </c>
      <c r="H478" s="6" t="str">
        <f>VLOOKUP(B478,Flights!A:H,6,FALSE())</f>
        <v>Kolkata</v>
      </c>
      <c r="I478" s="6" t="str">
        <f t="array" ref="I478">IFERROR(INDEX(Bookings!$G:$G,MATCH(B478,Bookings!$B:$B,0)),"")</f>
        <v>1</v>
      </c>
      <c r="J478" s="5">
        <f>VLOOKUP(B478,Bookings!B:H,7,FALSE())</f>
        <v>13.33</v>
      </c>
      <c r="K478" s="5" t="str">
        <f t="shared" si="1"/>
        <v>Long</v>
      </c>
      <c r="L478" s="11">
        <f t="array" ref="L478">IFERROR(INDEX(Bookings!$K:$K,MATCH(A478,Bookings!$A:$A,0)),"")</f>
        <v>4814</v>
      </c>
      <c r="M478" s="5" t="str">
        <f t="shared" si="2"/>
        <v>Medium</v>
      </c>
      <c r="N478" s="5">
        <f t="array" ref="N478">IFERROR(INDEX(Bookings!$I:$I,MATCH(A478,Bookings!$A:$A,0)),"")</f>
        <v>16</v>
      </c>
      <c r="O478" s="5" t="str">
        <f t="shared" si="3"/>
        <v>Moderate</v>
      </c>
      <c r="P478" s="5" t="str">
        <f t="shared" si="4"/>
        <v>Bengaluru -&gt; Kolkata</v>
      </c>
    </row>
    <row r="479" ht="15.75" customHeight="1">
      <c r="A479" s="5" t="s">
        <v>1797</v>
      </c>
      <c r="B479" s="5" t="s">
        <v>583</v>
      </c>
      <c r="C479" s="5" t="s">
        <v>392</v>
      </c>
      <c r="D479" s="5" t="s">
        <v>45</v>
      </c>
      <c r="E479" s="6" t="str">
        <f t="array" ref="E479">IFERROR(INDEX(Airlines!$B:$B,MATCH(D479,Airlines!$A:$A,0)),"")</f>
        <v>Air_India</v>
      </c>
      <c r="F479" s="6" t="str">
        <f>VLOOKUP(A479,Bookings!$A:$F,6,FALSE())</f>
        <v>Economy</v>
      </c>
      <c r="G479" s="6" t="str">
        <f t="array" ref="G479">IFERROR(INDEX(Flights!$E:$E,MATCH(B479,Flights!$A:$A,0)),"")</f>
        <v>Bengaluru</v>
      </c>
      <c r="H479" s="6" t="str">
        <f>VLOOKUP(B479,Flights!A:H,6,FALSE())</f>
        <v>Kolkata</v>
      </c>
      <c r="I479" s="6" t="str">
        <f t="array" ref="I479">IFERROR(INDEX(Bookings!$G:$G,MATCH(B479,Bookings!$B:$B,0)),"")</f>
        <v>1</v>
      </c>
      <c r="J479" s="5">
        <f>VLOOKUP(B479,Bookings!B:H,7,FALSE())</f>
        <v>26.08</v>
      </c>
      <c r="K479" s="5" t="str">
        <f t="shared" si="1"/>
        <v>Long</v>
      </c>
      <c r="L479" s="11">
        <f t="array" ref="L479">IFERROR(INDEX(Bookings!$K:$K,MATCH(A479,Bookings!$A:$A,0)),"")</f>
        <v>5007</v>
      </c>
      <c r="M479" s="5" t="str">
        <f t="shared" si="2"/>
        <v>Medium</v>
      </c>
      <c r="N479" s="5">
        <f t="array" ref="N479">IFERROR(INDEX(Bookings!$I:$I,MATCH(A479,Bookings!$A:$A,0)),"")</f>
        <v>26</v>
      </c>
      <c r="O479" s="5" t="str">
        <f t="shared" si="3"/>
        <v>Moderate</v>
      </c>
      <c r="P479" s="5" t="str">
        <f t="shared" si="4"/>
        <v>Bengaluru -&gt; Kolkata</v>
      </c>
    </row>
    <row r="480" ht="15.75" customHeight="1">
      <c r="A480" s="5" t="s">
        <v>1798</v>
      </c>
      <c r="B480" s="5" t="s">
        <v>574</v>
      </c>
      <c r="C480" s="5" t="s">
        <v>392</v>
      </c>
      <c r="D480" s="5" t="s">
        <v>43</v>
      </c>
      <c r="E480" s="6" t="str">
        <f t="array" ref="E480">IFERROR(INDEX(Airlines!$B:$B,MATCH(D480,Airlines!$A:$A,0)),"")</f>
        <v>Indigo</v>
      </c>
      <c r="F480" s="6" t="str">
        <f>VLOOKUP(A480,Bookings!$A:$F,6,FALSE())</f>
        <v>Economy</v>
      </c>
      <c r="G480" s="6" t="str">
        <f t="array" ref="G480">IFERROR(INDEX(Flights!$E:$E,MATCH(B480,Flights!$A:$A,0)),"")</f>
        <v>Bengaluru</v>
      </c>
      <c r="H480" s="6" t="str">
        <f>VLOOKUP(B480,Flights!A:H,6,FALSE())</f>
        <v>Kolkata</v>
      </c>
      <c r="I480" s="6" t="str">
        <f t="array" ref="I480">IFERROR(INDEX(Bookings!$G:$G,MATCH(B480,Bookings!$B:$B,0)),"")</f>
        <v>2+</v>
      </c>
      <c r="J480" s="5">
        <f>VLOOKUP(B480,Bookings!B:H,7,FALSE())</f>
        <v>6.17</v>
      </c>
      <c r="K480" s="5" t="str">
        <f t="shared" si="1"/>
        <v>Medium</v>
      </c>
      <c r="L480" s="11">
        <f t="array" ref="L480">IFERROR(INDEX(Bookings!$K:$K,MATCH(A480,Bookings!$A:$A,0)),"")</f>
        <v>11478</v>
      </c>
      <c r="M480" s="5" t="str">
        <f t="shared" si="2"/>
        <v>Medium</v>
      </c>
      <c r="N480" s="5">
        <f t="array" ref="N480">IFERROR(INDEX(Bookings!$I:$I,MATCH(A480,Bookings!$A:$A,0)),"")</f>
        <v>9</v>
      </c>
      <c r="O480" s="5" t="str">
        <f t="shared" si="3"/>
        <v>Short Notice</v>
      </c>
      <c r="P480" s="5" t="str">
        <f t="shared" si="4"/>
        <v>Bengaluru -&gt; Kolkata</v>
      </c>
    </row>
    <row r="481" ht="15.75" customHeight="1">
      <c r="A481" s="5" t="s">
        <v>1800</v>
      </c>
      <c r="B481" s="5" t="s">
        <v>658</v>
      </c>
      <c r="C481" s="5" t="s">
        <v>392</v>
      </c>
      <c r="D481" s="5" t="s">
        <v>43</v>
      </c>
      <c r="E481" s="6" t="str">
        <f t="array" ref="E481">IFERROR(INDEX(Airlines!$B:$B,MATCH(D481,Airlines!$A:$A,0)),"")</f>
        <v>Indigo</v>
      </c>
      <c r="F481" s="6" t="str">
        <f>VLOOKUP(A481,Bookings!$A:$F,6,FALSE())</f>
        <v>Economy</v>
      </c>
      <c r="G481" s="6" t="str">
        <f t="array" ref="G481">IFERROR(INDEX(Flights!$E:$E,MATCH(B481,Flights!$A:$A,0)),"")</f>
        <v>Bengaluru</v>
      </c>
      <c r="H481" s="6" t="str">
        <f>VLOOKUP(B481,Flights!A:H,6,FALSE())</f>
        <v>Kolkata</v>
      </c>
      <c r="I481" s="6" t="str">
        <f t="array" ref="I481">IFERROR(INDEX(Bookings!$G:$G,MATCH(B481,Bookings!$B:$B,0)),"")</f>
        <v>2+</v>
      </c>
      <c r="J481" s="5">
        <f>VLOOKUP(B481,Bookings!B:H,7,FALSE())</f>
        <v>6.75</v>
      </c>
      <c r="K481" s="5" t="str">
        <f t="shared" si="1"/>
        <v>Medium</v>
      </c>
      <c r="L481" s="11">
        <f t="array" ref="L481">IFERROR(INDEX(Bookings!$K:$K,MATCH(A481,Bookings!$A:$A,0)),"")</f>
        <v>12938</v>
      </c>
      <c r="M481" s="5" t="str">
        <f t="shared" si="2"/>
        <v>Medium</v>
      </c>
      <c r="N481" s="5">
        <f t="array" ref="N481">IFERROR(INDEX(Bookings!$I:$I,MATCH(A481,Bookings!$A:$A,0)),"")</f>
        <v>2</v>
      </c>
      <c r="O481" s="5" t="str">
        <f t="shared" si="3"/>
        <v>Last Minute</v>
      </c>
      <c r="P481" s="5" t="str">
        <f t="shared" si="4"/>
        <v>Bengaluru -&gt; Kolkata</v>
      </c>
    </row>
    <row r="482" ht="15.75" customHeight="1">
      <c r="A482" s="5" t="s">
        <v>1803</v>
      </c>
      <c r="B482" s="5" t="s">
        <v>611</v>
      </c>
      <c r="C482" s="5" t="s">
        <v>392</v>
      </c>
      <c r="D482" s="5" t="s">
        <v>20</v>
      </c>
      <c r="E482" s="6" t="str">
        <f t="array" ref="E482">IFERROR(INDEX(Airlines!$B:$B,MATCH(D482,Airlines!$A:$A,0)),"")</f>
        <v>Vistara</v>
      </c>
      <c r="F482" s="6" t="str">
        <f>VLOOKUP(A482,Bookings!$A:$F,6,FALSE())</f>
        <v>Business</v>
      </c>
      <c r="G482" s="6" t="str">
        <f t="array" ref="G482">IFERROR(INDEX(Flights!$E:$E,MATCH(B482,Flights!$A:$A,0)),"")</f>
        <v>Bengaluru</v>
      </c>
      <c r="H482" s="6" t="str">
        <f>VLOOKUP(B482,Flights!A:H,6,FALSE())</f>
        <v>Kolkata</v>
      </c>
      <c r="I482" s="6" t="str">
        <f t="array" ref="I482">IFERROR(INDEX(Bookings!$G:$G,MATCH(B482,Bookings!$B:$B,0)),"")</f>
        <v>1</v>
      </c>
      <c r="J482" s="5">
        <f>VLOOKUP(B482,Bookings!B:H,7,FALSE())</f>
        <v>25.08</v>
      </c>
      <c r="K482" s="5" t="str">
        <f t="shared" si="1"/>
        <v>Long</v>
      </c>
      <c r="L482" s="11">
        <f t="array" ref="L482">IFERROR(INDEX(Bookings!$K:$K,MATCH(A482,Bookings!$A:$A,0)),"")</f>
        <v>73388</v>
      </c>
      <c r="M482" s="5" t="str">
        <f t="shared" si="2"/>
        <v>High</v>
      </c>
      <c r="N482" s="5">
        <f t="array" ref="N482">IFERROR(INDEX(Bookings!$I:$I,MATCH(A482,Bookings!$A:$A,0)),"")</f>
        <v>2</v>
      </c>
      <c r="O482" s="5" t="str">
        <f t="shared" si="3"/>
        <v>Last Minute</v>
      </c>
      <c r="P482" s="5" t="str">
        <f t="shared" si="4"/>
        <v>Bengaluru -&gt; Kolkata</v>
      </c>
    </row>
    <row r="483" ht="15.75" customHeight="1">
      <c r="A483" s="5" t="s">
        <v>1805</v>
      </c>
      <c r="B483" s="5" t="s">
        <v>652</v>
      </c>
      <c r="C483" s="5" t="s">
        <v>392</v>
      </c>
      <c r="D483" s="5" t="s">
        <v>43</v>
      </c>
      <c r="E483" s="6" t="str">
        <f t="array" ref="E483">IFERROR(INDEX(Airlines!$B:$B,MATCH(D483,Airlines!$A:$A,0)),"")</f>
        <v>Indigo</v>
      </c>
      <c r="F483" s="6" t="str">
        <f>VLOOKUP(A483,Bookings!$A:$F,6,FALSE())</f>
        <v>Economy</v>
      </c>
      <c r="G483" s="6" t="str">
        <f t="array" ref="G483">IFERROR(INDEX(Flights!$E:$E,MATCH(B483,Flights!$A:$A,0)),"")</f>
        <v>Bengaluru</v>
      </c>
      <c r="H483" s="6" t="str">
        <f>VLOOKUP(B483,Flights!A:H,6,FALSE())</f>
        <v>Kolkata</v>
      </c>
      <c r="I483" s="6" t="str">
        <f t="array" ref="I483">IFERROR(INDEX(Bookings!$G:$G,MATCH(B483,Bookings!$B:$B,0)),"")</f>
        <v>1</v>
      </c>
      <c r="J483" s="5">
        <f>VLOOKUP(B483,Bookings!B:H,7,FALSE())</f>
        <v>5.83</v>
      </c>
      <c r="K483" s="5" t="str">
        <f t="shared" si="1"/>
        <v>Medium</v>
      </c>
      <c r="L483" s="11">
        <f t="array" ref="L483">IFERROR(INDEX(Bookings!$K:$K,MATCH(A483,Bookings!$A:$A,0)),"")</f>
        <v>5178</v>
      </c>
      <c r="M483" s="5" t="str">
        <f t="shared" si="2"/>
        <v>Medium</v>
      </c>
      <c r="N483" s="5">
        <f t="array" ref="N483">IFERROR(INDEX(Bookings!$I:$I,MATCH(A483,Bookings!$A:$A,0)),"")</f>
        <v>16</v>
      </c>
      <c r="O483" s="5" t="str">
        <f t="shared" si="3"/>
        <v>Moderate</v>
      </c>
      <c r="P483" s="5" t="str">
        <f t="shared" si="4"/>
        <v>Bengaluru -&gt; Kolkata</v>
      </c>
    </row>
    <row r="484" ht="15.75" customHeight="1">
      <c r="A484" s="5" t="s">
        <v>1806</v>
      </c>
      <c r="B484" s="5" t="s">
        <v>598</v>
      </c>
      <c r="C484" s="5" t="s">
        <v>392</v>
      </c>
      <c r="D484" s="5" t="s">
        <v>45</v>
      </c>
      <c r="E484" s="6" t="str">
        <f t="array" ref="E484">IFERROR(INDEX(Airlines!$B:$B,MATCH(D484,Airlines!$A:$A,0)),"")</f>
        <v>Air_India</v>
      </c>
      <c r="F484" s="6" t="str">
        <f>VLOOKUP(A484,Bookings!$A:$F,6,FALSE())</f>
        <v>Economy</v>
      </c>
      <c r="G484" s="6" t="str">
        <f t="array" ref="G484">IFERROR(INDEX(Flights!$E:$E,MATCH(B484,Flights!$A:$A,0)),"")</f>
        <v>Bengaluru</v>
      </c>
      <c r="H484" s="6" t="str">
        <f>VLOOKUP(B484,Flights!A:H,6,FALSE())</f>
        <v>Kolkata</v>
      </c>
      <c r="I484" s="6" t="str">
        <f t="array" ref="I484">IFERROR(INDEX(Bookings!$G:$G,MATCH(B484,Bookings!$B:$B,0)),"")</f>
        <v>1</v>
      </c>
      <c r="J484" s="5">
        <f>VLOOKUP(B484,Bookings!B:H,7,FALSE())</f>
        <v>5.83</v>
      </c>
      <c r="K484" s="5" t="str">
        <f t="shared" si="1"/>
        <v>Medium</v>
      </c>
      <c r="L484" s="11">
        <f t="array" ref="L484">IFERROR(INDEX(Bookings!$K:$K,MATCH(A484,Bookings!$A:$A,0)),"")</f>
        <v>7004</v>
      </c>
      <c r="M484" s="5" t="str">
        <f t="shared" si="2"/>
        <v>Medium</v>
      </c>
      <c r="N484" s="5">
        <f t="array" ref="N484">IFERROR(INDEX(Bookings!$I:$I,MATCH(A484,Bookings!$A:$A,0)),"")</f>
        <v>31</v>
      </c>
      <c r="O484" s="5" t="str">
        <f t="shared" si="3"/>
        <v>Advance</v>
      </c>
      <c r="P484" s="5" t="str">
        <f t="shared" si="4"/>
        <v>Bengaluru -&gt; Kolkata</v>
      </c>
    </row>
    <row r="485" ht="15.75" customHeight="1">
      <c r="A485" s="5" t="s">
        <v>1808</v>
      </c>
      <c r="B485" s="5" t="s">
        <v>560</v>
      </c>
      <c r="C485" s="5" t="s">
        <v>392</v>
      </c>
      <c r="D485" s="5" t="s">
        <v>45</v>
      </c>
      <c r="E485" s="6" t="str">
        <f t="array" ref="E485">IFERROR(INDEX(Airlines!$B:$B,MATCH(D485,Airlines!$A:$A,0)),"")</f>
        <v>Air_India</v>
      </c>
      <c r="F485" s="6" t="str">
        <f>VLOOKUP(A485,Bookings!$A:$F,6,FALSE())</f>
        <v>Economy</v>
      </c>
      <c r="G485" s="6" t="str">
        <f t="array" ref="G485">IFERROR(INDEX(Flights!$E:$E,MATCH(B485,Flights!$A:$A,0)),"")</f>
        <v>Bengaluru</v>
      </c>
      <c r="H485" s="6" t="str">
        <f>VLOOKUP(B485,Flights!A:H,6,FALSE())</f>
        <v>Kolkata</v>
      </c>
      <c r="I485" s="6" t="str">
        <f t="array" ref="I485">IFERROR(INDEX(Bookings!$G:$G,MATCH(B485,Bookings!$B:$B,0)),"")</f>
        <v>1</v>
      </c>
      <c r="J485" s="5">
        <f>VLOOKUP(B485,Bookings!B:H,7,FALSE())</f>
        <v>13.25</v>
      </c>
      <c r="K485" s="5" t="str">
        <f t="shared" si="1"/>
        <v>Long</v>
      </c>
      <c r="L485" s="11">
        <f t="array" ref="L485">IFERROR(INDEX(Bookings!$K:$K,MATCH(A485,Bookings!$A:$A,0)),"")</f>
        <v>3804</v>
      </c>
      <c r="M485" s="5" t="str">
        <f t="shared" si="2"/>
        <v>Low</v>
      </c>
      <c r="N485" s="5">
        <f t="array" ref="N485">IFERROR(INDEX(Bookings!$I:$I,MATCH(A485,Bookings!$A:$A,0)),"")</f>
        <v>33</v>
      </c>
      <c r="O485" s="5" t="str">
        <f t="shared" si="3"/>
        <v>Advance</v>
      </c>
      <c r="P485" s="5" t="str">
        <f t="shared" si="4"/>
        <v>Bengaluru -&gt; Kolkata</v>
      </c>
    </row>
    <row r="486" ht="15.75" customHeight="1">
      <c r="A486" s="5" t="s">
        <v>1810</v>
      </c>
      <c r="B486" s="5" t="s">
        <v>601</v>
      </c>
      <c r="C486" s="5" t="s">
        <v>392</v>
      </c>
      <c r="D486" s="5" t="s">
        <v>72</v>
      </c>
      <c r="E486" s="6" t="str">
        <f t="array" ref="E486">IFERROR(INDEX(Airlines!$B:$B,MATCH(D486,Airlines!$A:$A,0)),"")</f>
        <v>Spicejet</v>
      </c>
      <c r="F486" s="6" t="str">
        <f>VLOOKUP(A486,Bookings!$A:$F,6,FALSE())</f>
        <v>Economy</v>
      </c>
      <c r="G486" s="6" t="str">
        <f t="array" ref="G486">IFERROR(INDEX(Flights!$E:$E,MATCH(B486,Flights!$A:$A,0)),"")</f>
        <v>Bengaluru</v>
      </c>
      <c r="H486" s="6" t="str">
        <f>VLOOKUP(B486,Flights!A:H,6,FALSE())</f>
        <v>Kolkata</v>
      </c>
      <c r="I486" s="6" t="str">
        <f t="array" ref="I486">IFERROR(INDEX(Bookings!$G:$G,MATCH(B486,Bookings!$B:$B,0)),"")</f>
        <v>0</v>
      </c>
      <c r="J486" s="5">
        <f>VLOOKUP(B486,Bookings!B:H,7,FALSE())</f>
        <v>2.58</v>
      </c>
      <c r="K486" s="5" t="str">
        <f t="shared" si="1"/>
        <v>Short</v>
      </c>
      <c r="L486" s="11">
        <f t="array" ref="L486">IFERROR(INDEX(Bookings!$K:$K,MATCH(A486,Bookings!$A:$A,0)),"")</f>
        <v>5177</v>
      </c>
      <c r="M486" s="5" t="str">
        <f t="shared" si="2"/>
        <v>Medium</v>
      </c>
      <c r="N486" s="5">
        <f t="array" ref="N486">IFERROR(INDEX(Bookings!$I:$I,MATCH(A486,Bookings!$A:$A,0)),"")</f>
        <v>4</v>
      </c>
      <c r="O486" s="5" t="str">
        <f t="shared" si="3"/>
        <v>Last Minute</v>
      </c>
      <c r="P486" s="5" t="str">
        <f t="shared" si="4"/>
        <v>Bengaluru -&gt; Kolkata</v>
      </c>
    </row>
    <row r="487" ht="15.75" customHeight="1">
      <c r="A487" s="5" t="s">
        <v>1811</v>
      </c>
      <c r="B487" s="5" t="s">
        <v>626</v>
      </c>
      <c r="C487" s="5" t="s">
        <v>392</v>
      </c>
      <c r="D487" s="5" t="s">
        <v>20</v>
      </c>
      <c r="E487" s="6" t="str">
        <f t="array" ref="E487">IFERROR(INDEX(Airlines!$B:$B,MATCH(D487,Airlines!$A:$A,0)),"")</f>
        <v>Vistara</v>
      </c>
      <c r="F487" s="6" t="str">
        <f>VLOOKUP(A487,Bookings!$A:$F,6,FALSE())</f>
        <v>Economy</v>
      </c>
      <c r="G487" s="6" t="str">
        <f t="array" ref="G487">IFERROR(INDEX(Flights!$E:$E,MATCH(B487,Flights!$A:$A,0)),"")</f>
        <v>Bengaluru</v>
      </c>
      <c r="H487" s="6" t="str">
        <f>VLOOKUP(B487,Flights!A:H,6,FALSE())</f>
        <v>Kolkata</v>
      </c>
      <c r="I487" s="6" t="str">
        <f t="array" ref="I487">IFERROR(INDEX(Bookings!$G:$G,MATCH(B487,Bookings!$B:$B,0)),"")</f>
        <v>1</v>
      </c>
      <c r="J487" s="5">
        <f>VLOOKUP(B487,Bookings!B:H,7,FALSE())</f>
        <v>27.92</v>
      </c>
      <c r="K487" s="5" t="str">
        <f t="shared" si="1"/>
        <v>Long</v>
      </c>
      <c r="L487" s="11">
        <f t="array" ref="L487">IFERROR(INDEX(Bookings!$K:$K,MATCH(A487,Bookings!$A:$A,0)),"")</f>
        <v>11205</v>
      </c>
      <c r="M487" s="5" t="str">
        <f t="shared" si="2"/>
        <v>Medium</v>
      </c>
      <c r="N487" s="5">
        <f t="array" ref="N487">IFERROR(INDEX(Bookings!$I:$I,MATCH(A487,Bookings!$A:$A,0)),"")</f>
        <v>6</v>
      </c>
      <c r="O487" s="5" t="str">
        <f t="shared" si="3"/>
        <v>Last Minute</v>
      </c>
      <c r="P487" s="5" t="str">
        <f t="shared" si="4"/>
        <v>Bengaluru -&gt; Kolkata</v>
      </c>
    </row>
    <row r="488" ht="15.75" customHeight="1">
      <c r="A488" s="5" t="s">
        <v>1813</v>
      </c>
      <c r="B488" s="5" t="s">
        <v>627</v>
      </c>
      <c r="C488" s="5" t="s">
        <v>392</v>
      </c>
      <c r="D488" s="5" t="s">
        <v>45</v>
      </c>
      <c r="E488" s="6" t="str">
        <f t="array" ref="E488">IFERROR(INDEX(Airlines!$B:$B,MATCH(D488,Airlines!$A:$A,0)),"")</f>
        <v>Air_India</v>
      </c>
      <c r="F488" s="6" t="str">
        <f>VLOOKUP(A488,Bookings!$A:$F,6,FALSE())</f>
        <v>Economy</v>
      </c>
      <c r="G488" s="6" t="str">
        <f t="array" ref="G488">IFERROR(INDEX(Flights!$E:$E,MATCH(B488,Flights!$A:$A,0)),"")</f>
        <v>Bengaluru</v>
      </c>
      <c r="H488" s="6" t="str">
        <f>VLOOKUP(B488,Flights!A:H,6,FALSE())</f>
        <v>Kolkata</v>
      </c>
      <c r="I488" s="6" t="str">
        <f t="array" ref="I488">IFERROR(INDEX(Bookings!$G:$G,MATCH(B488,Bookings!$B:$B,0)),"")</f>
        <v>1</v>
      </c>
      <c r="J488" s="5">
        <f>VLOOKUP(B488,Bookings!B:H,7,FALSE())</f>
        <v>8.67</v>
      </c>
      <c r="K488" s="5" t="str">
        <f t="shared" si="1"/>
        <v>Medium</v>
      </c>
      <c r="L488" s="11">
        <f t="array" ref="L488">IFERROR(INDEX(Bookings!$K:$K,MATCH(A488,Bookings!$A:$A,0)),"")</f>
        <v>12319</v>
      </c>
      <c r="M488" s="5" t="str">
        <f t="shared" si="2"/>
        <v>Medium</v>
      </c>
      <c r="N488" s="5">
        <f t="array" ref="N488">IFERROR(INDEX(Bookings!$I:$I,MATCH(A488,Bookings!$A:$A,0)),"")</f>
        <v>4</v>
      </c>
      <c r="O488" s="5" t="str">
        <f t="shared" si="3"/>
        <v>Last Minute</v>
      </c>
      <c r="P488" s="5" t="str">
        <f t="shared" si="4"/>
        <v>Bengaluru -&gt; Kolkata</v>
      </c>
    </row>
    <row r="489" ht="15.75" customHeight="1">
      <c r="A489" s="5" t="s">
        <v>1814</v>
      </c>
      <c r="B489" s="5" t="s">
        <v>563</v>
      </c>
      <c r="C489" s="5" t="s">
        <v>392</v>
      </c>
      <c r="D489" s="5" t="s">
        <v>20</v>
      </c>
      <c r="E489" s="6" t="str">
        <f t="array" ref="E489">IFERROR(INDEX(Airlines!$B:$B,MATCH(D489,Airlines!$A:$A,0)),"")</f>
        <v>Vistara</v>
      </c>
      <c r="F489" s="6" t="str">
        <f>VLOOKUP(A489,Bookings!$A:$F,6,FALSE())</f>
        <v>Economy</v>
      </c>
      <c r="G489" s="6" t="str">
        <f t="array" ref="G489">IFERROR(INDEX(Flights!$E:$E,MATCH(B489,Flights!$A:$A,0)),"")</f>
        <v>Bengaluru</v>
      </c>
      <c r="H489" s="6" t="str">
        <f>VLOOKUP(B489,Flights!A:H,6,FALSE())</f>
        <v>Kolkata</v>
      </c>
      <c r="I489" s="6" t="str">
        <f t="array" ref="I489">IFERROR(INDEX(Bookings!$G:$G,MATCH(B489,Bookings!$B:$B,0)),"")</f>
        <v>1</v>
      </c>
      <c r="J489" s="5">
        <f>VLOOKUP(B489,Bookings!B:H,7,FALSE())</f>
        <v>20.92</v>
      </c>
      <c r="K489" s="5" t="str">
        <f t="shared" si="1"/>
        <v>Long</v>
      </c>
      <c r="L489" s="11">
        <f t="array" ref="L489">IFERROR(INDEX(Bookings!$K:$K,MATCH(A489,Bookings!$A:$A,0)),"")</f>
        <v>12359</v>
      </c>
      <c r="M489" s="5" t="str">
        <f t="shared" si="2"/>
        <v>Medium</v>
      </c>
      <c r="N489" s="5">
        <f t="array" ref="N489">IFERROR(INDEX(Bookings!$I:$I,MATCH(A489,Bookings!$A:$A,0)),"")</f>
        <v>15</v>
      </c>
      <c r="O489" s="5" t="str">
        <f t="shared" si="3"/>
        <v>Short Notice</v>
      </c>
      <c r="P489" s="5" t="str">
        <f t="shared" si="4"/>
        <v>Bengaluru -&gt; Kolkata</v>
      </c>
    </row>
    <row r="490" ht="15.75" customHeight="1">
      <c r="A490" s="5" t="s">
        <v>1817</v>
      </c>
      <c r="B490" s="5" t="s">
        <v>567</v>
      </c>
      <c r="C490" s="5" t="s">
        <v>392</v>
      </c>
      <c r="D490" s="5" t="s">
        <v>20</v>
      </c>
      <c r="E490" s="6" t="str">
        <f t="array" ref="E490">IFERROR(INDEX(Airlines!$B:$B,MATCH(D490,Airlines!$A:$A,0)),"")</f>
        <v>Vistara</v>
      </c>
      <c r="F490" s="6" t="str">
        <f>VLOOKUP(A490,Bookings!$A:$F,6,FALSE())</f>
        <v>Economy</v>
      </c>
      <c r="G490" s="6" t="str">
        <f t="array" ref="G490">IFERROR(INDEX(Flights!$E:$E,MATCH(B490,Flights!$A:$A,0)),"")</f>
        <v>Bengaluru</v>
      </c>
      <c r="H490" s="6" t="str">
        <f>VLOOKUP(B490,Flights!A:H,6,FALSE())</f>
        <v>Kolkata</v>
      </c>
      <c r="I490" s="6" t="str">
        <f t="array" ref="I490">IFERROR(INDEX(Bookings!$G:$G,MATCH(B490,Bookings!$B:$B,0)),"")</f>
        <v>1</v>
      </c>
      <c r="J490" s="5">
        <f>VLOOKUP(B490,Bookings!B:H,7,FALSE())</f>
        <v>11.42</v>
      </c>
      <c r="K490" s="5" t="str">
        <f t="shared" si="1"/>
        <v>Long</v>
      </c>
      <c r="L490" s="11">
        <f t="array" ref="L490">IFERROR(INDEX(Bookings!$K:$K,MATCH(A490,Bookings!$A:$A,0)),"")</f>
        <v>15154</v>
      </c>
      <c r="M490" s="5" t="str">
        <f t="shared" si="2"/>
        <v>Medium</v>
      </c>
      <c r="N490" s="5">
        <f t="array" ref="N490">IFERROR(INDEX(Bookings!$I:$I,MATCH(A490,Bookings!$A:$A,0)),"")</f>
        <v>9</v>
      </c>
      <c r="O490" s="5" t="str">
        <f t="shared" si="3"/>
        <v>Short Notice</v>
      </c>
      <c r="P490" s="5" t="str">
        <f t="shared" si="4"/>
        <v>Bengaluru -&gt; Kolkata</v>
      </c>
    </row>
    <row r="491" ht="15.75" customHeight="1">
      <c r="A491" s="5" t="s">
        <v>1820</v>
      </c>
      <c r="B491" s="5" t="s">
        <v>558</v>
      </c>
      <c r="C491" s="5" t="s">
        <v>392</v>
      </c>
      <c r="D491" s="5" t="s">
        <v>20</v>
      </c>
      <c r="E491" s="6" t="str">
        <f t="array" ref="E491">IFERROR(INDEX(Airlines!$B:$B,MATCH(D491,Airlines!$A:$A,0)),"")</f>
        <v>Vistara</v>
      </c>
      <c r="F491" s="6" t="str">
        <f>VLOOKUP(A491,Bookings!$A:$F,6,FALSE())</f>
        <v>Economy</v>
      </c>
      <c r="G491" s="6" t="str">
        <f t="array" ref="G491">IFERROR(INDEX(Flights!$E:$E,MATCH(B491,Flights!$A:$A,0)),"")</f>
        <v>Bengaluru</v>
      </c>
      <c r="H491" s="6" t="str">
        <f>VLOOKUP(B491,Flights!A:H,6,FALSE())</f>
        <v>Kolkata</v>
      </c>
      <c r="I491" s="6" t="str">
        <f t="array" ref="I491">IFERROR(INDEX(Bookings!$G:$G,MATCH(B491,Bookings!$B:$B,0)),"")</f>
        <v>2+</v>
      </c>
      <c r="J491" s="5">
        <f>VLOOKUP(B491,Bookings!B:H,7,FALSE())</f>
        <v>14.83</v>
      </c>
      <c r="K491" s="5" t="str">
        <f t="shared" si="1"/>
        <v>Long</v>
      </c>
      <c r="L491" s="11">
        <f t="array" ref="L491">IFERROR(INDEX(Bookings!$K:$K,MATCH(A491,Bookings!$A:$A,0)),"")</f>
        <v>14019</v>
      </c>
      <c r="M491" s="5" t="str">
        <f t="shared" si="2"/>
        <v>Medium</v>
      </c>
      <c r="N491" s="5">
        <f t="array" ref="N491">IFERROR(INDEX(Bookings!$I:$I,MATCH(A491,Bookings!$A:$A,0)),"")</f>
        <v>5</v>
      </c>
      <c r="O491" s="5" t="str">
        <f t="shared" si="3"/>
        <v>Last Minute</v>
      </c>
      <c r="P491" s="5" t="str">
        <f t="shared" si="4"/>
        <v>Bengaluru -&gt; Kolkata</v>
      </c>
    </row>
    <row r="492" ht="15.75" customHeight="1">
      <c r="A492" s="5" t="s">
        <v>1822</v>
      </c>
      <c r="B492" s="5" t="s">
        <v>548</v>
      </c>
      <c r="C492" s="5" t="s">
        <v>392</v>
      </c>
      <c r="D492" s="5" t="s">
        <v>20</v>
      </c>
      <c r="E492" s="6" t="str">
        <f t="array" ref="E492">IFERROR(INDEX(Airlines!$B:$B,MATCH(D492,Airlines!$A:$A,0)),"")</f>
        <v>Vistara</v>
      </c>
      <c r="F492" s="6" t="str">
        <f>VLOOKUP(A492,Bookings!$A:$F,6,FALSE())</f>
        <v>Economy</v>
      </c>
      <c r="G492" s="6" t="str">
        <f t="array" ref="G492">IFERROR(INDEX(Flights!$E:$E,MATCH(B492,Flights!$A:$A,0)),"")</f>
        <v>Bengaluru</v>
      </c>
      <c r="H492" s="6" t="str">
        <f>VLOOKUP(B492,Flights!A:H,6,FALSE())</f>
        <v>Kolkata</v>
      </c>
      <c r="I492" s="6" t="str">
        <f t="array" ref="I492">IFERROR(INDEX(Bookings!$G:$G,MATCH(B492,Bookings!$B:$B,0)),"")</f>
        <v>2+</v>
      </c>
      <c r="J492" s="5">
        <f>VLOOKUP(B492,Bookings!B:H,7,FALSE())</f>
        <v>23.67</v>
      </c>
      <c r="K492" s="5" t="str">
        <f t="shared" si="1"/>
        <v>Long</v>
      </c>
      <c r="L492" s="11">
        <f t="array" ref="L492">IFERROR(INDEX(Bookings!$K:$K,MATCH(A492,Bookings!$A:$A,0)),"")</f>
        <v>7106</v>
      </c>
      <c r="M492" s="5" t="str">
        <f t="shared" si="2"/>
        <v>Medium</v>
      </c>
      <c r="N492" s="5">
        <f t="array" ref="N492">IFERROR(INDEX(Bookings!$I:$I,MATCH(A492,Bookings!$A:$A,0)),"")</f>
        <v>22</v>
      </c>
      <c r="O492" s="5" t="str">
        <f t="shared" si="3"/>
        <v>Moderate</v>
      </c>
      <c r="P492" s="5" t="str">
        <f t="shared" si="4"/>
        <v>Bengaluru -&gt; Kolkata</v>
      </c>
    </row>
    <row r="493" ht="15.75" customHeight="1">
      <c r="A493" s="5" t="s">
        <v>1824</v>
      </c>
      <c r="B493" s="5" t="s">
        <v>643</v>
      </c>
      <c r="C493" s="5" t="s">
        <v>392</v>
      </c>
      <c r="D493" s="5" t="s">
        <v>29</v>
      </c>
      <c r="E493" s="6" t="str">
        <f t="array" ref="E493">IFERROR(INDEX(Airlines!$B:$B,MATCH(D493,Airlines!$A:$A,0)),"")</f>
        <v>AirAsia</v>
      </c>
      <c r="F493" s="6" t="str">
        <f>VLOOKUP(A493,Bookings!$A:$F,6,FALSE())</f>
        <v>Economy</v>
      </c>
      <c r="G493" s="6" t="str">
        <f t="array" ref="G493">IFERROR(INDEX(Flights!$E:$E,MATCH(B493,Flights!$A:$A,0)),"")</f>
        <v>Bengaluru</v>
      </c>
      <c r="H493" s="6" t="str">
        <f>VLOOKUP(B493,Flights!A:H,6,FALSE())</f>
        <v>Kolkata</v>
      </c>
      <c r="I493" s="6" t="str">
        <f t="array" ref="I493">IFERROR(INDEX(Bookings!$G:$G,MATCH(B493,Bookings!$B:$B,0)),"")</f>
        <v>0</v>
      </c>
      <c r="J493" s="5">
        <f>VLOOKUP(B493,Bookings!B:H,7,FALSE())</f>
        <v>2.75</v>
      </c>
      <c r="K493" s="5" t="str">
        <f t="shared" si="1"/>
        <v>Short</v>
      </c>
      <c r="L493" s="11">
        <f t="array" ref="L493">IFERROR(INDEX(Bookings!$K:$K,MATCH(A493,Bookings!$A:$A,0)),"")</f>
        <v>5179</v>
      </c>
      <c r="M493" s="5" t="str">
        <f t="shared" si="2"/>
        <v>Medium</v>
      </c>
      <c r="N493" s="5">
        <f t="array" ref="N493">IFERROR(INDEX(Bookings!$I:$I,MATCH(A493,Bookings!$A:$A,0)),"")</f>
        <v>6</v>
      </c>
      <c r="O493" s="5" t="str">
        <f t="shared" si="3"/>
        <v>Last Minute</v>
      </c>
      <c r="P493" s="5" t="str">
        <f t="shared" si="4"/>
        <v>Bengaluru -&gt; Kolkata</v>
      </c>
    </row>
    <row r="494" ht="15.75" customHeight="1">
      <c r="A494" s="5" t="s">
        <v>1826</v>
      </c>
      <c r="B494" s="5" t="s">
        <v>587</v>
      </c>
      <c r="C494" s="5" t="s">
        <v>392</v>
      </c>
      <c r="D494" s="5" t="s">
        <v>45</v>
      </c>
      <c r="E494" s="6" t="str">
        <f t="array" ref="E494">IFERROR(INDEX(Airlines!$B:$B,MATCH(D494,Airlines!$A:$A,0)),"")</f>
        <v>Air_India</v>
      </c>
      <c r="F494" s="6" t="str">
        <f>VLOOKUP(A494,Bookings!$A:$F,6,FALSE())</f>
        <v>Business</v>
      </c>
      <c r="G494" s="6" t="str">
        <f t="array" ref="G494">IFERROR(INDEX(Flights!$E:$E,MATCH(B494,Flights!$A:$A,0)),"")</f>
        <v>Bengaluru</v>
      </c>
      <c r="H494" s="6" t="str">
        <f>VLOOKUP(B494,Flights!A:H,6,FALSE())</f>
        <v>Kolkata</v>
      </c>
      <c r="I494" s="6" t="str">
        <f t="array" ref="I494">IFERROR(INDEX(Bookings!$G:$G,MATCH(B494,Bookings!$B:$B,0)),"")</f>
        <v>1</v>
      </c>
      <c r="J494" s="5">
        <f>VLOOKUP(B494,Bookings!B:H,7,FALSE())</f>
        <v>23.17</v>
      </c>
      <c r="K494" s="5" t="str">
        <f t="shared" si="1"/>
        <v>Long</v>
      </c>
      <c r="L494" s="11">
        <f t="array" ref="L494">IFERROR(INDEX(Bookings!$K:$K,MATCH(A494,Bookings!$A:$A,0)),"")</f>
        <v>36763</v>
      </c>
      <c r="M494" s="5" t="str">
        <f t="shared" si="2"/>
        <v>High</v>
      </c>
      <c r="N494" s="5">
        <f t="array" ref="N494">IFERROR(INDEX(Bookings!$I:$I,MATCH(A494,Bookings!$A:$A,0)),"")</f>
        <v>35</v>
      </c>
      <c r="O494" s="5" t="str">
        <f t="shared" si="3"/>
        <v>Advance</v>
      </c>
      <c r="P494" s="5" t="str">
        <f t="shared" si="4"/>
        <v>Bengaluru -&gt; Kolkata</v>
      </c>
    </row>
    <row r="495" ht="15.75" customHeight="1">
      <c r="A495" s="5" t="s">
        <v>1827</v>
      </c>
      <c r="B495" s="5" t="s">
        <v>613</v>
      </c>
      <c r="C495" s="5" t="s">
        <v>392</v>
      </c>
      <c r="D495" s="5" t="s">
        <v>20</v>
      </c>
      <c r="E495" s="6" t="str">
        <f t="array" ref="E495">IFERROR(INDEX(Airlines!$B:$B,MATCH(D495,Airlines!$A:$A,0)),"")</f>
        <v>Vistara</v>
      </c>
      <c r="F495" s="6" t="str">
        <f>VLOOKUP(A495,Bookings!$A:$F,6,FALSE())</f>
        <v>Business</v>
      </c>
      <c r="G495" s="6" t="str">
        <f t="array" ref="G495">IFERROR(INDEX(Flights!$E:$E,MATCH(B495,Flights!$A:$A,0)),"")</f>
        <v>Bengaluru</v>
      </c>
      <c r="H495" s="6" t="str">
        <f>VLOOKUP(B495,Flights!A:H,6,FALSE())</f>
        <v>Kolkata</v>
      </c>
      <c r="I495" s="6" t="str">
        <f t="array" ref="I495">IFERROR(INDEX(Bookings!$G:$G,MATCH(B495,Bookings!$B:$B,0)),"")</f>
        <v>1</v>
      </c>
      <c r="J495" s="5">
        <f>VLOOKUP(B495,Bookings!B:H,7,FALSE())</f>
        <v>25.17</v>
      </c>
      <c r="K495" s="5" t="str">
        <f t="shared" si="1"/>
        <v>Long</v>
      </c>
      <c r="L495" s="11">
        <f t="array" ref="L495">IFERROR(INDEX(Bookings!$K:$K,MATCH(A495,Bookings!$A:$A,0)),"")</f>
        <v>51817</v>
      </c>
      <c r="M495" s="5" t="str">
        <f t="shared" si="2"/>
        <v>High</v>
      </c>
      <c r="N495" s="5">
        <f t="array" ref="N495">IFERROR(INDEX(Bookings!$I:$I,MATCH(A495,Bookings!$A:$A,0)),"")</f>
        <v>42</v>
      </c>
      <c r="O495" s="5" t="str">
        <f t="shared" si="3"/>
        <v>Advance</v>
      </c>
      <c r="P495" s="5" t="str">
        <f t="shared" si="4"/>
        <v>Bengaluru -&gt; Kolkata</v>
      </c>
    </row>
    <row r="496" ht="15.75" customHeight="1">
      <c r="A496" s="5" t="s">
        <v>1829</v>
      </c>
      <c r="B496" s="5" t="s">
        <v>646</v>
      </c>
      <c r="C496" s="5" t="s">
        <v>392</v>
      </c>
      <c r="D496" s="5" t="s">
        <v>20</v>
      </c>
      <c r="E496" s="6" t="str">
        <f t="array" ref="E496">IFERROR(INDEX(Airlines!$B:$B,MATCH(D496,Airlines!$A:$A,0)),"")</f>
        <v>Vistara</v>
      </c>
      <c r="F496" s="6" t="str">
        <f>VLOOKUP(A496,Bookings!$A:$F,6,FALSE())</f>
        <v>Economy</v>
      </c>
      <c r="G496" s="6" t="str">
        <f t="array" ref="G496">IFERROR(INDEX(Flights!$E:$E,MATCH(B496,Flights!$A:$A,0)),"")</f>
        <v>Bengaluru</v>
      </c>
      <c r="H496" s="6" t="str">
        <f>VLOOKUP(B496,Flights!A:H,6,FALSE())</f>
        <v>Kolkata</v>
      </c>
      <c r="I496" s="6" t="str">
        <f t="array" ref="I496">IFERROR(INDEX(Bookings!$G:$G,MATCH(B496,Bookings!$B:$B,0)),"")</f>
        <v>1</v>
      </c>
      <c r="J496" s="5">
        <f>VLOOKUP(B496,Bookings!B:H,7,FALSE())</f>
        <v>22.42</v>
      </c>
      <c r="K496" s="5" t="str">
        <f t="shared" si="1"/>
        <v>Long</v>
      </c>
      <c r="L496" s="11">
        <f t="array" ref="L496">IFERROR(INDEX(Bookings!$K:$K,MATCH(A496,Bookings!$A:$A,0)),"")</f>
        <v>8322</v>
      </c>
      <c r="M496" s="5" t="str">
        <f t="shared" si="2"/>
        <v>Medium</v>
      </c>
      <c r="N496" s="5">
        <f t="array" ref="N496">IFERROR(INDEX(Bookings!$I:$I,MATCH(A496,Bookings!$A:$A,0)),"")</f>
        <v>17</v>
      </c>
      <c r="O496" s="5" t="str">
        <f t="shared" si="3"/>
        <v>Moderate</v>
      </c>
      <c r="P496" s="5" t="str">
        <f t="shared" si="4"/>
        <v>Bengaluru -&gt; Kolkata</v>
      </c>
    </row>
    <row r="497" ht="15.75" customHeight="1">
      <c r="A497" s="5" t="s">
        <v>1832</v>
      </c>
      <c r="B497" s="5" t="s">
        <v>647</v>
      </c>
      <c r="C497" s="5" t="s">
        <v>392</v>
      </c>
      <c r="D497" s="5" t="s">
        <v>58</v>
      </c>
      <c r="E497" s="6" t="str">
        <f t="array" ref="E497">IFERROR(INDEX(Airlines!$B:$B,MATCH(D497,Airlines!$A:$A,0)),"")</f>
        <v>Go_First</v>
      </c>
      <c r="F497" s="6" t="str">
        <f>VLOOKUP(A497,Bookings!$A:$F,6,FALSE())</f>
        <v>Economy</v>
      </c>
      <c r="G497" s="6" t="str">
        <f t="array" ref="G497">IFERROR(INDEX(Flights!$E:$E,MATCH(B497,Flights!$A:$A,0)),"")</f>
        <v>Bengaluru</v>
      </c>
      <c r="H497" s="6" t="str">
        <f>VLOOKUP(B497,Flights!A:H,6,FALSE())</f>
        <v>Kolkata</v>
      </c>
      <c r="I497" s="6" t="str">
        <f t="array" ref="I497">IFERROR(INDEX(Bookings!$G:$G,MATCH(B497,Bookings!$B:$B,0)),"")</f>
        <v>1</v>
      </c>
      <c r="J497" s="5">
        <f>VLOOKUP(B497,Bookings!B:H,7,FALSE())</f>
        <v>11.75</v>
      </c>
      <c r="K497" s="5" t="str">
        <f t="shared" si="1"/>
        <v>Long</v>
      </c>
      <c r="L497" s="11">
        <f t="array" ref="L497">IFERROR(INDEX(Bookings!$K:$K,MATCH(A497,Bookings!$A:$A,0)),"")</f>
        <v>6186</v>
      </c>
      <c r="M497" s="5" t="str">
        <f t="shared" si="2"/>
        <v>Medium</v>
      </c>
      <c r="N497" s="5">
        <f t="array" ref="N497">IFERROR(INDEX(Bookings!$I:$I,MATCH(A497,Bookings!$A:$A,0)),"")</f>
        <v>26</v>
      </c>
      <c r="O497" s="5" t="str">
        <f t="shared" si="3"/>
        <v>Moderate</v>
      </c>
      <c r="P497" s="5" t="str">
        <f t="shared" si="4"/>
        <v>Bengaluru -&gt; Kolkata</v>
      </c>
    </row>
    <row r="498" ht="15.75" customHeight="1">
      <c r="A498" s="5" t="s">
        <v>1834</v>
      </c>
      <c r="B498" s="5" t="s">
        <v>617</v>
      </c>
      <c r="C498" s="5" t="s">
        <v>392</v>
      </c>
      <c r="D498" s="5" t="s">
        <v>43</v>
      </c>
      <c r="E498" s="6" t="str">
        <f t="array" ref="E498">IFERROR(INDEX(Airlines!$B:$B,MATCH(D498,Airlines!$A:$A,0)),"")</f>
        <v>Indigo</v>
      </c>
      <c r="F498" s="6" t="str">
        <f>VLOOKUP(A498,Bookings!$A:$F,6,FALSE())</f>
        <v>Economy</v>
      </c>
      <c r="G498" s="6" t="str">
        <f t="array" ref="G498">IFERROR(INDEX(Flights!$E:$E,MATCH(B498,Flights!$A:$A,0)),"")</f>
        <v>Bengaluru</v>
      </c>
      <c r="H498" s="6" t="str">
        <f>VLOOKUP(B498,Flights!A:H,6,FALSE())</f>
        <v>Kolkata</v>
      </c>
      <c r="I498" s="6" t="str">
        <f t="array" ref="I498">IFERROR(INDEX(Bookings!$G:$G,MATCH(B498,Bookings!$B:$B,0)),"")</f>
        <v>1</v>
      </c>
      <c r="J498" s="5">
        <f>VLOOKUP(B498,Bookings!B:H,7,FALSE())</f>
        <v>9.92</v>
      </c>
      <c r="K498" s="5" t="str">
        <f t="shared" si="1"/>
        <v>Medium</v>
      </c>
      <c r="L498" s="11">
        <f t="array" ref="L498">IFERROR(INDEX(Bookings!$K:$K,MATCH(A498,Bookings!$A:$A,0)),"")</f>
        <v>4844</v>
      </c>
      <c r="M498" s="5" t="str">
        <f t="shared" si="2"/>
        <v>Medium</v>
      </c>
      <c r="N498" s="5">
        <f t="array" ref="N498">IFERROR(INDEX(Bookings!$I:$I,MATCH(A498,Bookings!$A:$A,0)),"")</f>
        <v>44</v>
      </c>
      <c r="O498" s="5" t="str">
        <f t="shared" si="3"/>
        <v>Advance</v>
      </c>
      <c r="P498" s="5" t="str">
        <f t="shared" si="4"/>
        <v>Bengaluru -&gt; Kolkata</v>
      </c>
    </row>
    <row r="499" ht="15.75" customHeight="1">
      <c r="A499" s="5" t="s">
        <v>1836</v>
      </c>
      <c r="B499" s="5" t="s">
        <v>591</v>
      </c>
      <c r="C499" s="5" t="s">
        <v>392</v>
      </c>
      <c r="D499" s="5" t="s">
        <v>43</v>
      </c>
      <c r="E499" s="6" t="str">
        <f t="array" ref="E499">IFERROR(INDEX(Airlines!$B:$B,MATCH(D499,Airlines!$A:$A,0)),"")</f>
        <v>Indigo</v>
      </c>
      <c r="F499" s="6" t="str">
        <f>VLOOKUP(A499,Bookings!$A:$F,6,FALSE())</f>
        <v>Economy</v>
      </c>
      <c r="G499" s="6" t="str">
        <f t="array" ref="G499">IFERROR(INDEX(Flights!$E:$E,MATCH(B499,Flights!$A:$A,0)),"")</f>
        <v>Bengaluru</v>
      </c>
      <c r="H499" s="6" t="str">
        <f>VLOOKUP(B499,Flights!A:H,6,FALSE())</f>
        <v>Kolkata</v>
      </c>
      <c r="I499" s="6" t="str">
        <f t="array" ref="I499">IFERROR(INDEX(Bookings!$G:$G,MATCH(B499,Bookings!$B:$B,0)),"")</f>
        <v>1</v>
      </c>
      <c r="J499" s="5">
        <f>VLOOKUP(B499,Bookings!B:H,7,FALSE())</f>
        <v>5.33</v>
      </c>
      <c r="K499" s="5" t="str">
        <f t="shared" si="1"/>
        <v>Medium</v>
      </c>
      <c r="L499" s="11">
        <f t="array" ref="L499">IFERROR(INDEX(Bookings!$K:$K,MATCH(A499,Bookings!$A:$A,0)),"")</f>
        <v>3393</v>
      </c>
      <c r="M499" s="5" t="str">
        <f t="shared" si="2"/>
        <v>Low</v>
      </c>
      <c r="N499" s="5">
        <f t="array" ref="N499">IFERROR(INDEX(Bookings!$I:$I,MATCH(A499,Bookings!$A:$A,0)),"")</f>
        <v>46</v>
      </c>
      <c r="O499" s="5" t="str">
        <f t="shared" si="3"/>
        <v>Advance</v>
      </c>
      <c r="P499" s="5" t="str">
        <f t="shared" si="4"/>
        <v>Bengaluru -&gt; Kolkata</v>
      </c>
    </row>
    <row r="500" ht="15.75" customHeight="1">
      <c r="A500" s="5" t="s">
        <v>1839</v>
      </c>
      <c r="B500" s="5" t="s">
        <v>607</v>
      </c>
      <c r="C500" s="5" t="s">
        <v>392</v>
      </c>
      <c r="D500" s="5" t="s">
        <v>43</v>
      </c>
      <c r="E500" s="6" t="str">
        <f t="array" ref="E500">IFERROR(INDEX(Airlines!$B:$B,MATCH(D500,Airlines!$A:$A,0)),"")</f>
        <v>Indigo</v>
      </c>
      <c r="F500" s="6" t="str">
        <f>VLOOKUP(A500,Bookings!$A:$F,6,FALSE())</f>
        <v>Economy</v>
      </c>
      <c r="G500" s="6" t="str">
        <f t="array" ref="G500">IFERROR(INDEX(Flights!$E:$E,MATCH(B500,Flights!$A:$A,0)),"")</f>
        <v>Bengaluru</v>
      </c>
      <c r="H500" s="6" t="str">
        <f>VLOOKUP(B500,Flights!A:H,6,FALSE())</f>
        <v>Kolkata</v>
      </c>
      <c r="I500" s="6" t="str">
        <f t="array" ref="I500">IFERROR(INDEX(Bookings!$G:$G,MATCH(B500,Bookings!$B:$B,0)),"")</f>
        <v>1</v>
      </c>
      <c r="J500" s="5">
        <f>VLOOKUP(B500,Bookings!B:H,7,FALSE())</f>
        <v>9.17</v>
      </c>
      <c r="K500" s="5" t="str">
        <f t="shared" si="1"/>
        <v>Medium</v>
      </c>
      <c r="L500" s="11">
        <f t="array" ref="L500">IFERROR(INDEX(Bookings!$K:$K,MATCH(A500,Bookings!$A:$A,0)),"")</f>
        <v>3393</v>
      </c>
      <c r="M500" s="5" t="str">
        <f t="shared" si="2"/>
        <v>Low</v>
      </c>
      <c r="N500" s="5">
        <f t="array" ref="N500">IFERROR(INDEX(Bookings!$I:$I,MATCH(A500,Bookings!$A:$A,0)),"")</f>
        <v>46</v>
      </c>
      <c r="O500" s="5" t="str">
        <f t="shared" si="3"/>
        <v>Advance</v>
      </c>
      <c r="P500" s="5" t="str">
        <f t="shared" si="4"/>
        <v>Bengaluru -&gt; Kolkata</v>
      </c>
    </row>
    <row r="501" ht="15.75" customHeight="1">
      <c r="A501" s="5" t="s">
        <v>1840</v>
      </c>
      <c r="B501" s="5" t="s">
        <v>581</v>
      </c>
      <c r="C501" s="5" t="s">
        <v>392</v>
      </c>
      <c r="D501" s="5" t="s">
        <v>72</v>
      </c>
      <c r="E501" s="6" t="str">
        <f t="array" ref="E501">IFERROR(INDEX(Airlines!$B:$B,MATCH(D501,Airlines!$A:$A,0)),"")</f>
        <v>Spicejet</v>
      </c>
      <c r="F501" s="6" t="str">
        <f>VLOOKUP(A501,Bookings!$A:$F,6,FALSE())</f>
        <v>Economy</v>
      </c>
      <c r="G501" s="6" t="str">
        <f t="array" ref="G501">IFERROR(INDEX(Flights!$E:$E,MATCH(B501,Flights!$A:$A,0)),"")</f>
        <v>Bengaluru</v>
      </c>
      <c r="H501" s="6" t="str">
        <f>VLOOKUP(B501,Flights!A:H,6,FALSE())</f>
        <v>Kolkata</v>
      </c>
      <c r="I501" s="6" t="str">
        <f t="array" ref="I501">IFERROR(INDEX(Bookings!$G:$G,MATCH(B501,Bookings!$B:$B,0)),"")</f>
        <v>0</v>
      </c>
      <c r="J501" s="5">
        <f>VLOOKUP(B501,Bookings!B:H,7,FALSE())</f>
        <v>2.58</v>
      </c>
      <c r="K501" s="5" t="str">
        <f t="shared" si="1"/>
        <v>Short</v>
      </c>
      <c r="L501" s="11">
        <f t="array" ref="L501">IFERROR(INDEX(Bookings!$K:$K,MATCH(A501,Bookings!$A:$A,0)),"")</f>
        <v>3595</v>
      </c>
      <c r="M501" s="5" t="str">
        <f t="shared" si="2"/>
        <v>Low</v>
      </c>
      <c r="N501" s="5" t="str">
        <f t="array" ref="N501">IFERROR(INDEX(Bookings!$I:$I,MATCH(A501,Bookings!$A:$A,0)),"")</f>
        <v/>
      </c>
      <c r="O501" s="5" t="str">
        <f t="shared" si="3"/>
        <v>Last Minute</v>
      </c>
      <c r="P501" s="5" t="str">
        <f t="shared" si="4"/>
        <v>Bengaluru -&gt; Kolkata</v>
      </c>
    </row>
    <row r="502" ht="15.75" customHeight="1">
      <c r="A502" s="5" t="s">
        <v>1843</v>
      </c>
      <c r="B502" s="5" t="s">
        <v>565</v>
      </c>
      <c r="C502" s="5" t="s">
        <v>392</v>
      </c>
      <c r="D502" s="5" t="s">
        <v>43</v>
      </c>
      <c r="E502" s="6" t="str">
        <f t="array" ref="E502">IFERROR(INDEX(Airlines!$B:$B,MATCH(D502,Airlines!$A:$A,0)),"")</f>
        <v>Indigo</v>
      </c>
      <c r="F502" s="6" t="str">
        <f>VLOOKUP(A502,Bookings!$A:$F,6,FALSE())</f>
        <v>Economy</v>
      </c>
      <c r="G502" s="6" t="str">
        <f t="array" ref="G502">IFERROR(INDEX(Flights!$E:$E,MATCH(B502,Flights!$A:$A,0)),"")</f>
        <v>Bengaluru</v>
      </c>
      <c r="H502" s="6" t="str">
        <f>VLOOKUP(B502,Flights!A:H,6,FALSE())</f>
        <v>Kolkata</v>
      </c>
      <c r="I502" s="6" t="str">
        <f t="array" ref="I502">IFERROR(INDEX(Bookings!$G:$G,MATCH(B502,Bookings!$B:$B,0)),"")</f>
        <v>1</v>
      </c>
      <c r="J502" s="5">
        <f>VLOOKUP(B502,Bookings!B:H,7,FALSE())</f>
        <v>4.42</v>
      </c>
      <c r="K502" s="5" t="str">
        <f t="shared" si="1"/>
        <v>Medium</v>
      </c>
      <c r="L502" s="11">
        <f t="array" ref="L502">IFERROR(INDEX(Bookings!$K:$K,MATCH(A502,Bookings!$A:$A,0)),"")</f>
        <v>4477</v>
      </c>
      <c r="M502" s="5" t="str">
        <f t="shared" si="2"/>
        <v>Low</v>
      </c>
      <c r="N502" s="5">
        <f t="array" ref="N502">IFERROR(INDEX(Bookings!$I:$I,MATCH(A502,Bookings!$A:$A,0)),"")</f>
        <v>46</v>
      </c>
      <c r="O502" s="5" t="str">
        <f t="shared" si="3"/>
        <v>Advance</v>
      </c>
      <c r="P502" s="5" t="str">
        <f t="shared" si="4"/>
        <v>Bengaluru -&gt; Kolkata</v>
      </c>
    </row>
    <row r="503" ht="15.75" customHeight="1">
      <c r="A503" s="5" t="s">
        <v>1845</v>
      </c>
      <c r="B503" s="5" t="s">
        <v>622</v>
      </c>
      <c r="C503" s="5" t="s">
        <v>392</v>
      </c>
      <c r="D503" s="5" t="s">
        <v>58</v>
      </c>
      <c r="E503" s="6" t="str">
        <f t="array" ref="E503">IFERROR(INDEX(Airlines!$B:$B,MATCH(D503,Airlines!$A:$A,0)),"")</f>
        <v>Go_First</v>
      </c>
      <c r="F503" s="6" t="str">
        <f>VLOOKUP(A503,Bookings!$A:$F,6,FALSE())</f>
        <v>Economy</v>
      </c>
      <c r="G503" s="6" t="str">
        <f t="array" ref="G503">IFERROR(INDEX(Flights!$E:$E,MATCH(B503,Flights!$A:$A,0)),"")</f>
        <v>Bengaluru</v>
      </c>
      <c r="H503" s="6" t="str">
        <f>VLOOKUP(B503,Flights!A:H,6,FALSE())</f>
        <v>Kolkata</v>
      </c>
      <c r="I503" s="6" t="str">
        <f t="array" ref="I503">IFERROR(INDEX(Bookings!$G:$G,MATCH(B503,Bookings!$B:$B,0)),"")</f>
        <v>1</v>
      </c>
      <c r="J503" s="5">
        <f>VLOOKUP(B503,Bookings!B:H,7,FALSE())</f>
        <v>7.5</v>
      </c>
      <c r="K503" s="5" t="str">
        <f t="shared" si="1"/>
        <v>Medium</v>
      </c>
      <c r="L503" s="11">
        <f t="array" ref="L503">IFERROR(INDEX(Bookings!$K:$K,MATCH(A503,Bookings!$A:$A,0)),"")</f>
        <v>6186</v>
      </c>
      <c r="M503" s="5" t="str">
        <f t="shared" si="2"/>
        <v>Medium</v>
      </c>
      <c r="N503" s="5">
        <f t="array" ref="N503">IFERROR(INDEX(Bookings!$I:$I,MATCH(A503,Bookings!$A:$A,0)),"")</f>
        <v>46</v>
      </c>
      <c r="O503" s="5" t="str">
        <f t="shared" si="3"/>
        <v>Advance</v>
      </c>
      <c r="P503" s="5" t="str">
        <f t="shared" si="4"/>
        <v>Bengaluru -&gt; Kolkata</v>
      </c>
    </row>
    <row r="504" ht="15.75" customHeight="1">
      <c r="A504" s="5" t="s">
        <v>1847</v>
      </c>
      <c r="B504" s="5" t="s">
        <v>619</v>
      </c>
      <c r="C504" s="5" t="s">
        <v>392</v>
      </c>
      <c r="D504" s="5" t="s">
        <v>58</v>
      </c>
      <c r="E504" s="6" t="str">
        <f t="array" ref="E504">IFERROR(INDEX(Airlines!$B:$B,MATCH(D504,Airlines!$A:$A,0)),"")</f>
        <v>Go_First</v>
      </c>
      <c r="F504" s="6" t="str">
        <f>VLOOKUP(A504,Bookings!$A:$F,6,FALSE())</f>
        <v>Economy</v>
      </c>
      <c r="G504" s="6" t="str">
        <f t="array" ref="G504">IFERROR(INDEX(Flights!$E:$E,MATCH(B504,Flights!$A:$A,0)),"")</f>
        <v>Bengaluru</v>
      </c>
      <c r="H504" s="6" t="str">
        <f>VLOOKUP(B504,Flights!A:H,6,FALSE())</f>
        <v>Kolkata</v>
      </c>
      <c r="I504" s="6" t="str">
        <f t="array" ref="I504">IFERROR(INDEX(Bookings!$G:$G,MATCH(B504,Bookings!$B:$B,0)),"")</f>
        <v>1</v>
      </c>
      <c r="J504" s="5">
        <f>VLOOKUP(B504,Bookings!B:H,7,FALSE())</f>
        <v>15.5</v>
      </c>
      <c r="K504" s="5" t="str">
        <f t="shared" si="1"/>
        <v>Long</v>
      </c>
      <c r="L504" s="11">
        <f t="array" ref="L504">IFERROR(INDEX(Bookings!$K:$K,MATCH(A504,Bookings!$A:$A,0)),"")</f>
        <v>6408</v>
      </c>
      <c r="M504" s="5" t="str">
        <f t="shared" si="2"/>
        <v>Medium</v>
      </c>
      <c r="N504" s="5">
        <f t="array" ref="N504">IFERROR(INDEX(Bookings!$I:$I,MATCH(A504,Bookings!$A:$A,0)),"")</f>
        <v>46</v>
      </c>
      <c r="O504" s="5" t="str">
        <f t="shared" si="3"/>
        <v>Advance</v>
      </c>
      <c r="P504" s="5" t="str">
        <f t="shared" si="4"/>
        <v>Bengaluru -&gt; Kolkata</v>
      </c>
    </row>
    <row r="505" ht="15.75" customHeight="1">
      <c r="A505" s="5" t="s">
        <v>1849</v>
      </c>
      <c r="B505" s="5" t="s">
        <v>656</v>
      </c>
      <c r="C505" s="5" t="s">
        <v>392</v>
      </c>
      <c r="D505" s="5" t="s">
        <v>43</v>
      </c>
      <c r="E505" s="6" t="str">
        <f t="array" ref="E505">IFERROR(INDEX(Airlines!$B:$B,MATCH(D505,Airlines!$A:$A,0)),"")</f>
        <v>Indigo</v>
      </c>
      <c r="F505" s="6" t="str">
        <f>VLOOKUP(A505,Bookings!$A:$F,6,FALSE())</f>
        <v>Economy</v>
      </c>
      <c r="G505" s="6" t="str">
        <f t="array" ref="G505">IFERROR(INDEX(Flights!$E:$E,MATCH(B505,Flights!$A:$A,0)),"")</f>
        <v>Bengaluru</v>
      </c>
      <c r="H505" s="6" t="str">
        <f>VLOOKUP(B505,Flights!A:H,6,FALSE())</f>
        <v>Kolkata</v>
      </c>
      <c r="I505" s="6" t="str">
        <f t="array" ref="I505">IFERROR(INDEX(Bookings!$G:$G,MATCH(B505,Bookings!$B:$B,0)),"")</f>
        <v>1</v>
      </c>
      <c r="J505" s="5">
        <f>VLOOKUP(B505,Bookings!B:H,7,FALSE())</f>
        <v>5.17</v>
      </c>
      <c r="K505" s="5" t="str">
        <f t="shared" si="1"/>
        <v>Medium</v>
      </c>
      <c r="L505" s="11">
        <f t="array" ref="L505">IFERROR(INDEX(Bookings!$K:$K,MATCH(A505,Bookings!$A:$A,0)),"")</f>
        <v>6548</v>
      </c>
      <c r="M505" s="5" t="str">
        <f t="shared" si="2"/>
        <v>Medium</v>
      </c>
      <c r="N505" s="5">
        <f t="array" ref="N505">IFERROR(INDEX(Bookings!$I:$I,MATCH(A505,Bookings!$A:$A,0)),"")</f>
        <v>46</v>
      </c>
      <c r="O505" s="5" t="str">
        <f t="shared" si="3"/>
        <v>Advance</v>
      </c>
      <c r="P505" s="5" t="str">
        <f t="shared" si="4"/>
        <v>Bengaluru -&gt; Kolkata</v>
      </c>
    </row>
    <row r="506" ht="15.75" customHeight="1">
      <c r="A506" s="5" t="s">
        <v>1851</v>
      </c>
      <c r="B506" s="5" t="s">
        <v>634</v>
      </c>
      <c r="C506" s="5" t="s">
        <v>392</v>
      </c>
      <c r="D506" s="5" t="s">
        <v>45</v>
      </c>
      <c r="E506" s="6" t="str">
        <f t="array" ref="E506">IFERROR(INDEX(Airlines!$B:$B,MATCH(D506,Airlines!$A:$A,0)),"")</f>
        <v>Air_India</v>
      </c>
      <c r="F506" s="6" t="str">
        <f>VLOOKUP(A506,Bookings!$A:$F,6,FALSE())</f>
        <v>Economy</v>
      </c>
      <c r="G506" s="6" t="str">
        <f t="array" ref="G506">IFERROR(INDEX(Flights!$E:$E,MATCH(B506,Flights!$A:$A,0)),"")</f>
        <v>Bengaluru</v>
      </c>
      <c r="H506" s="6" t="str">
        <f>VLOOKUP(B506,Flights!A:H,6,FALSE())</f>
        <v>Kolkata</v>
      </c>
      <c r="I506" s="6" t="str">
        <f t="array" ref="I506">IFERROR(INDEX(Bookings!$G:$G,MATCH(B506,Bookings!$B:$B,0)),"")</f>
        <v>1</v>
      </c>
      <c r="J506" s="5">
        <f>VLOOKUP(B506,Bookings!B:H,7,FALSE())</f>
        <v>21.75</v>
      </c>
      <c r="K506" s="5" t="str">
        <f t="shared" si="1"/>
        <v>Long</v>
      </c>
      <c r="L506" s="11">
        <f t="array" ref="L506">IFERROR(INDEX(Bookings!$K:$K,MATCH(A506,Bookings!$A:$A,0)),"")</f>
        <v>6583</v>
      </c>
      <c r="M506" s="5" t="str">
        <f t="shared" si="2"/>
        <v>Medium</v>
      </c>
      <c r="N506" s="5">
        <f t="array" ref="N506">IFERROR(INDEX(Bookings!$I:$I,MATCH(A506,Bookings!$A:$A,0)),"")</f>
        <v>45</v>
      </c>
      <c r="O506" s="5" t="str">
        <f t="shared" si="3"/>
        <v>Advance</v>
      </c>
      <c r="P506" s="5" t="str">
        <f t="shared" si="4"/>
        <v>Bengaluru -&gt; Kolkata</v>
      </c>
    </row>
    <row r="507" ht="15.75" customHeight="1">
      <c r="A507" s="5" t="s">
        <v>1852</v>
      </c>
      <c r="B507" s="5" t="s">
        <v>586</v>
      </c>
      <c r="C507" s="5" t="s">
        <v>392</v>
      </c>
      <c r="D507" s="5" t="s">
        <v>20</v>
      </c>
      <c r="E507" s="6" t="str">
        <f t="array" ref="E507">IFERROR(INDEX(Airlines!$B:$B,MATCH(D507,Airlines!$A:$A,0)),"")</f>
        <v>Vistara</v>
      </c>
      <c r="F507" s="6" t="str">
        <f>VLOOKUP(A507,Bookings!$A:$F,6,FALSE())</f>
        <v>Economy</v>
      </c>
      <c r="G507" s="6" t="str">
        <f t="array" ref="G507">IFERROR(INDEX(Flights!$E:$E,MATCH(B507,Flights!$A:$A,0)),"")</f>
        <v>Bengaluru</v>
      </c>
      <c r="H507" s="6" t="str">
        <f>VLOOKUP(B507,Flights!A:H,6,FALSE())</f>
        <v>Kolkata</v>
      </c>
      <c r="I507" s="6" t="str">
        <f t="array" ref="I507">IFERROR(INDEX(Bookings!$G:$G,MATCH(B507,Bookings!$B:$B,0)),"")</f>
        <v>1</v>
      </c>
      <c r="J507" s="5">
        <f>VLOOKUP(B507,Bookings!B:H,7,FALSE())</f>
        <v>8.42</v>
      </c>
      <c r="K507" s="5" t="str">
        <f t="shared" si="1"/>
        <v>Medium</v>
      </c>
      <c r="L507" s="11">
        <f t="array" ref="L507">IFERROR(INDEX(Bookings!$K:$K,MATCH(A507,Bookings!$A:$A,0)),"")</f>
        <v>6271</v>
      </c>
      <c r="M507" s="5" t="str">
        <f t="shared" si="2"/>
        <v>Medium</v>
      </c>
      <c r="N507" s="5">
        <f t="array" ref="N507">IFERROR(INDEX(Bookings!$I:$I,MATCH(A507,Bookings!$A:$A,0)),"")</f>
        <v>47</v>
      </c>
      <c r="O507" s="5" t="str">
        <f t="shared" si="3"/>
        <v>Advance</v>
      </c>
      <c r="P507" s="5" t="str">
        <f t="shared" si="4"/>
        <v>Bengaluru -&gt; Kolkata</v>
      </c>
    </row>
    <row r="508" ht="15.75" customHeight="1">
      <c r="A508" s="5" t="s">
        <v>1854</v>
      </c>
      <c r="B508" s="5" t="s">
        <v>637</v>
      </c>
      <c r="C508" s="5" t="s">
        <v>392</v>
      </c>
      <c r="D508" s="5" t="s">
        <v>45</v>
      </c>
      <c r="E508" s="6" t="str">
        <f t="array" ref="E508">IFERROR(INDEX(Airlines!$B:$B,MATCH(D508,Airlines!$A:$A,0)),"")</f>
        <v>Air_India</v>
      </c>
      <c r="F508" s="6" t="str">
        <f>VLOOKUP(A508,Bookings!$A:$F,6,FALSE())</f>
        <v>Business</v>
      </c>
      <c r="G508" s="6" t="str">
        <f t="array" ref="G508">IFERROR(INDEX(Flights!$E:$E,MATCH(B508,Flights!$A:$A,0)),"")</f>
        <v>Bengaluru</v>
      </c>
      <c r="H508" s="6" t="str">
        <f>VLOOKUP(B508,Flights!A:H,6,FALSE())</f>
        <v>Kolkata</v>
      </c>
      <c r="I508" s="6" t="str">
        <f t="array" ref="I508">IFERROR(INDEX(Bookings!$G:$G,MATCH(B508,Bookings!$B:$B,0)),"")</f>
        <v>1</v>
      </c>
      <c r="J508" s="5">
        <f>VLOOKUP(B508,Bookings!B:H,7,FALSE())</f>
        <v>26.08</v>
      </c>
      <c r="K508" s="5" t="str">
        <f t="shared" si="1"/>
        <v>Long</v>
      </c>
      <c r="L508" s="11">
        <f t="array" ref="L508">IFERROR(INDEX(Bookings!$K:$K,MATCH(A508,Bookings!$A:$A,0)),"")</f>
        <v>31817</v>
      </c>
      <c r="M508" s="5" t="str">
        <f t="shared" si="2"/>
        <v>High</v>
      </c>
      <c r="N508" s="5">
        <f t="array" ref="N508">IFERROR(INDEX(Bookings!$I:$I,MATCH(A508,Bookings!$A:$A,0)),"")</f>
        <v>47</v>
      </c>
      <c r="O508" s="5" t="str">
        <f t="shared" si="3"/>
        <v>Advance</v>
      </c>
      <c r="P508" s="5" t="str">
        <f t="shared" si="4"/>
        <v>Bengaluru -&gt; Kolkata</v>
      </c>
    </row>
    <row r="509" ht="15.75" customHeight="1">
      <c r="A509" s="5" t="s">
        <v>1855</v>
      </c>
      <c r="B509" s="5" t="s">
        <v>702</v>
      </c>
      <c r="C509" s="5" t="s">
        <v>423</v>
      </c>
      <c r="D509" s="5" t="s">
        <v>29</v>
      </c>
      <c r="E509" s="6" t="str">
        <f t="array" ref="E509">IFERROR(INDEX(Airlines!$B:$B,MATCH(D509,Airlines!$A:$A,0)),"")</f>
        <v>AirAsia</v>
      </c>
      <c r="F509" s="6" t="str">
        <f>VLOOKUP(A509,Bookings!$A:$F,6,FALSE())</f>
        <v>Economy</v>
      </c>
      <c r="G509" s="6" t="str">
        <f t="array" ref="G509">IFERROR(INDEX(Flights!$E:$E,MATCH(B509,Flights!$A:$A,0)),"")</f>
        <v>Bengaluru</v>
      </c>
      <c r="H509" s="6" t="str">
        <f>VLOOKUP(B509,Flights!A:H,6,FALSE())</f>
        <v>Hyderabad</v>
      </c>
      <c r="I509" s="6" t="str">
        <f t="array" ref="I509">IFERROR(INDEX(Bookings!$G:$G,MATCH(B509,Bookings!$B:$B,0)),"")</f>
        <v>0</v>
      </c>
      <c r="J509" s="5">
        <f>VLOOKUP(B509,Bookings!B:H,7,FALSE())</f>
        <v>1.17</v>
      </c>
      <c r="K509" s="5" t="str">
        <f t="shared" si="1"/>
        <v>Short</v>
      </c>
      <c r="L509" s="11">
        <f t="array" ref="L509">IFERROR(INDEX(Bookings!$K:$K,MATCH(A509,Bookings!$A:$A,0)),"")</f>
        <v>1714</v>
      </c>
      <c r="M509" s="5" t="str">
        <f t="shared" si="2"/>
        <v>Low</v>
      </c>
      <c r="N509" s="5">
        <f t="array" ref="N509">IFERROR(INDEX(Bookings!$I:$I,MATCH(A509,Bookings!$A:$A,0)),"")</f>
        <v>38</v>
      </c>
      <c r="O509" s="5" t="str">
        <f t="shared" si="3"/>
        <v>Advance</v>
      </c>
      <c r="P509" s="5" t="str">
        <f t="shared" si="4"/>
        <v>Bengaluru -&gt; Hyderabad</v>
      </c>
    </row>
    <row r="510" ht="15.75" customHeight="1">
      <c r="A510" s="5" t="s">
        <v>1857</v>
      </c>
      <c r="B510" s="5" t="s">
        <v>715</v>
      </c>
      <c r="C510" s="5" t="s">
        <v>423</v>
      </c>
      <c r="D510" s="5" t="s">
        <v>20</v>
      </c>
      <c r="E510" s="6" t="str">
        <f t="array" ref="E510">IFERROR(INDEX(Airlines!$B:$B,MATCH(D510,Airlines!$A:$A,0)),"")</f>
        <v>Vistara</v>
      </c>
      <c r="F510" s="6" t="str">
        <f>VLOOKUP(A510,Bookings!$A:$F,6,FALSE())</f>
        <v>Business</v>
      </c>
      <c r="G510" s="6" t="str">
        <f t="array" ref="G510">IFERROR(INDEX(Flights!$E:$E,MATCH(B510,Flights!$A:$A,0)),"")</f>
        <v>Bengaluru</v>
      </c>
      <c r="H510" s="6" t="str">
        <f>VLOOKUP(B510,Flights!A:H,6,FALSE())</f>
        <v>Hyderabad</v>
      </c>
      <c r="I510" s="6" t="str">
        <f t="array" ref="I510">IFERROR(INDEX(Bookings!$G:$G,MATCH(B510,Bookings!$B:$B,0)),"")</f>
        <v>1</v>
      </c>
      <c r="J510" s="5">
        <f>VLOOKUP(B510,Bookings!B:H,7,FALSE())</f>
        <v>25</v>
      </c>
      <c r="K510" s="5" t="str">
        <f t="shared" si="1"/>
        <v>Long</v>
      </c>
      <c r="L510" s="11">
        <f t="array" ref="L510">IFERROR(INDEX(Bookings!$K:$K,MATCH(A510,Bookings!$A:$A,0)),"")</f>
        <v>37985</v>
      </c>
      <c r="M510" s="5" t="str">
        <f t="shared" si="2"/>
        <v>High</v>
      </c>
      <c r="N510" s="5">
        <f t="array" ref="N510">IFERROR(INDEX(Bookings!$I:$I,MATCH(A510,Bookings!$A:$A,0)),"")</f>
        <v>15</v>
      </c>
      <c r="O510" s="5" t="str">
        <f t="shared" si="3"/>
        <v>Short Notice</v>
      </c>
      <c r="P510" s="5" t="str">
        <f t="shared" si="4"/>
        <v>Bengaluru -&gt; Hyderabad</v>
      </c>
    </row>
    <row r="511" ht="15.75" customHeight="1">
      <c r="A511" s="5" t="s">
        <v>1859</v>
      </c>
      <c r="B511" s="5" t="s">
        <v>665</v>
      </c>
      <c r="C511" s="5" t="s">
        <v>423</v>
      </c>
      <c r="D511" s="5" t="s">
        <v>43</v>
      </c>
      <c r="E511" s="6" t="str">
        <f t="array" ref="E511">IFERROR(INDEX(Airlines!$B:$B,MATCH(D511,Airlines!$A:$A,0)),"")</f>
        <v>Indigo</v>
      </c>
      <c r="F511" s="6" t="str">
        <f>VLOOKUP(A511,Bookings!$A:$F,6,FALSE())</f>
        <v>Economy</v>
      </c>
      <c r="G511" s="6" t="str">
        <f t="array" ref="G511">IFERROR(INDEX(Flights!$E:$E,MATCH(B511,Flights!$A:$A,0)),"")</f>
        <v>Bengaluru</v>
      </c>
      <c r="H511" s="6" t="str">
        <f>VLOOKUP(B511,Flights!A:H,6,FALSE())</f>
        <v>Hyderabad</v>
      </c>
      <c r="I511" s="6" t="str">
        <f t="array" ref="I511">IFERROR(INDEX(Bookings!$G:$G,MATCH(B511,Bookings!$B:$B,0)),"")</f>
        <v>1</v>
      </c>
      <c r="J511" s="5">
        <f>VLOOKUP(B511,Bookings!B:H,7,FALSE())</f>
        <v>8</v>
      </c>
      <c r="K511" s="5" t="str">
        <f t="shared" si="1"/>
        <v>Medium</v>
      </c>
      <c r="L511" s="11">
        <f t="array" ref="L511">IFERROR(INDEX(Bookings!$K:$K,MATCH(A511,Bookings!$A:$A,0)),"")</f>
        <v>12003</v>
      </c>
      <c r="M511" s="5" t="str">
        <f t="shared" si="2"/>
        <v>Medium</v>
      </c>
      <c r="N511" s="5">
        <f t="array" ref="N511">IFERROR(INDEX(Bookings!$I:$I,MATCH(A511,Bookings!$A:$A,0)),"")</f>
        <v>1</v>
      </c>
      <c r="O511" s="5" t="str">
        <f t="shared" si="3"/>
        <v>Last Minute</v>
      </c>
      <c r="P511" s="5" t="str">
        <f t="shared" si="4"/>
        <v>Bengaluru -&gt; Hyderabad</v>
      </c>
    </row>
    <row r="512" ht="15.75" customHeight="1">
      <c r="A512" s="5" t="s">
        <v>1860</v>
      </c>
      <c r="B512" s="5" t="s">
        <v>766</v>
      </c>
      <c r="C512" s="5" t="s">
        <v>423</v>
      </c>
      <c r="D512" s="5" t="s">
        <v>20</v>
      </c>
      <c r="E512" s="6" t="str">
        <f t="array" ref="E512">IFERROR(INDEX(Airlines!$B:$B,MATCH(D512,Airlines!$A:$A,0)),"")</f>
        <v>Vistara</v>
      </c>
      <c r="F512" s="6" t="str">
        <f>VLOOKUP(A512,Bookings!$A:$F,6,FALSE())</f>
        <v>Economy</v>
      </c>
      <c r="G512" s="6" t="str">
        <f t="array" ref="G512">IFERROR(INDEX(Flights!$E:$E,MATCH(B512,Flights!$A:$A,0)),"")</f>
        <v>Bengaluru</v>
      </c>
      <c r="H512" s="6" t="str">
        <f>VLOOKUP(B512,Flights!A:H,6,FALSE())</f>
        <v>Hyderabad</v>
      </c>
      <c r="I512" s="6" t="str">
        <f t="array" ref="I512">IFERROR(INDEX(Bookings!$G:$G,MATCH(B512,Bookings!$B:$B,0)),"")</f>
        <v>1</v>
      </c>
      <c r="J512" s="5">
        <f>VLOOKUP(B512,Bookings!B:H,7,FALSE())</f>
        <v>23.17</v>
      </c>
      <c r="K512" s="5" t="str">
        <f t="shared" si="1"/>
        <v>Long</v>
      </c>
      <c r="L512" s="11">
        <f t="array" ref="L512">IFERROR(INDEX(Bookings!$K:$K,MATCH(A512,Bookings!$A:$A,0)),"")</f>
        <v>6577</v>
      </c>
      <c r="M512" s="5" t="str">
        <f t="shared" si="2"/>
        <v>Medium</v>
      </c>
      <c r="N512" s="5">
        <f t="array" ref="N512">IFERROR(INDEX(Bookings!$I:$I,MATCH(A512,Bookings!$A:$A,0)),"")</f>
        <v>34</v>
      </c>
      <c r="O512" s="5" t="str">
        <f t="shared" si="3"/>
        <v>Advance</v>
      </c>
      <c r="P512" s="5" t="str">
        <f t="shared" si="4"/>
        <v>Bengaluru -&gt; Hyderabad</v>
      </c>
    </row>
    <row r="513" ht="15.75" customHeight="1">
      <c r="A513" s="5" t="s">
        <v>1863</v>
      </c>
      <c r="B513" s="5" t="s">
        <v>745</v>
      </c>
      <c r="C513" s="5" t="s">
        <v>423</v>
      </c>
      <c r="D513" s="5" t="s">
        <v>45</v>
      </c>
      <c r="E513" s="6" t="str">
        <f t="array" ref="E513">IFERROR(INDEX(Airlines!$B:$B,MATCH(D513,Airlines!$A:$A,0)),"")</f>
        <v>Air_India</v>
      </c>
      <c r="F513" s="6" t="str">
        <f>VLOOKUP(A513,Bookings!$A:$F,6,FALSE())</f>
        <v>Business</v>
      </c>
      <c r="G513" s="6" t="str">
        <f t="array" ref="G513">IFERROR(INDEX(Flights!$E:$E,MATCH(B513,Flights!$A:$A,0)),"")</f>
        <v>Bengaluru</v>
      </c>
      <c r="H513" s="6" t="str">
        <f>VLOOKUP(B513,Flights!A:H,6,FALSE())</f>
        <v>Hyderabad</v>
      </c>
      <c r="I513" s="6" t="str">
        <f t="array" ref="I513">IFERROR(INDEX(Bookings!$G:$G,MATCH(B513,Bookings!$B:$B,0)),"")</f>
        <v>1</v>
      </c>
      <c r="J513" s="5">
        <f>VLOOKUP(B513,Bookings!B:H,7,FALSE())</f>
        <v>21.17</v>
      </c>
      <c r="K513" s="5" t="str">
        <f t="shared" si="1"/>
        <v>Long</v>
      </c>
      <c r="L513" s="11">
        <f t="array" ref="L513">IFERROR(INDEX(Bookings!$K:$K,MATCH(A513,Bookings!$A:$A,0)),"")</f>
        <v>59253</v>
      </c>
      <c r="M513" s="5" t="str">
        <f t="shared" si="2"/>
        <v>High</v>
      </c>
      <c r="N513" s="5">
        <f t="array" ref="N513">IFERROR(INDEX(Bookings!$I:$I,MATCH(A513,Bookings!$A:$A,0)),"")</f>
        <v>2</v>
      </c>
      <c r="O513" s="5" t="str">
        <f t="shared" si="3"/>
        <v>Last Minute</v>
      </c>
      <c r="P513" s="5" t="str">
        <f t="shared" si="4"/>
        <v>Bengaluru -&gt; Hyderabad</v>
      </c>
    </row>
    <row r="514" ht="15.75" customHeight="1">
      <c r="A514" s="5" t="s">
        <v>1865</v>
      </c>
      <c r="B514" s="5" t="s">
        <v>662</v>
      </c>
      <c r="C514" s="5" t="s">
        <v>423</v>
      </c>
      <c r="D514" s="5" t="s">
        <v>20</v>
      </c>
      <c r="E514" s="6" t="str">
        <f t="array" ref="E514">IFERROR(INDEX(Airlines!$B:$B,MATCH(D514,Airlines!$A:$A,0)),"")</f>
        <v>Vistara</v>
      </c>
      <c r="F514" s="6" t="str">
        <f>VLOOKUP(A514,Bookings!$A:$F,6,FALSE())</f>
        <v>Economy</v>
      </c>
      <c r="G514" s="6" t="str">
        <f t="array" ref="G514">IFERROR(INDEX(Flights!$E:$E,MATCH(B514,Flights!$A:$A,0)),"")</f>
        <v>Bengaluru</v>
      </c>
      <c r="H514" s="6" t="str">
        <f>VLOOKUP(B514,Flights!A:H,6,FALSE())</f>
        <v>Hyderabad</v>
      </c>
      <c r="I514" s="6" t="str">
        <f t="array" ref="I514">IFERROR(INDEX(Bookings!$G:$G,MATCH(B514,Bookings!$B:$B,0)),"")</f>
        <v>1</v>
      </c>
      <c r="J514" s="5">
        <f>VLOOKUP(B514,Bookings!B:H,7,FALSE())</f>
        <v>28.58</v>
      </c>
      <c r="K514" s="5" t="str">
        <f t="shared" si="1"/>
        <v>Long</v>
      </c>
      <c r="L514" s="11">
        <f t="array" ref="L514">IFERROR(INDEX(Bookings!$K:$K,MATCH(A514,Bookings!$A:$A,0)),"")</f>
        <v>14150</v>
      </c>
      <c r="M514" s="5" t="str">
        <f t="shared" si="2"/>
        <v>Medium</v>
      </c>
      <c r="N514" s="5">
        <f t="array" ref="N514">IFERROR(INDEX(Bookings!$I:$I,MATCH(A514,Bookings!$A:$A,0)),"")</f>
        <v>1</v>
      </c>
      <c r="O514" s="5" t="str">
        <f t="shared" si="3"/>
        <v>Last Minute</v>
      </c>
      <c r="P514" s="5" t="str">
        <f t="shared" si="4"/>
        <v>Bengaluru -&gt; Hyderabad</v>
      </c>
    </row>
    <row r="515" ht="15.75" customHeight="1">
      <c r="A515" s="5" t="s">
        <v>1867</v>
      </c>
      <c r="B515" s="5" t="s">
        <v>688</v>
      </c>
      <c r="C515" s="5" t="s">
        <v>423</v>
      </c>
      <c r="D515" s="5" t="s">
        <v>45</v>
      </c>
      <c r="E515" s="6" t="str">
        <f t="array" ref="E515">IFERROR(INDEX(Airlines!$B:$B,MATCH(D515,Airlines!$A:$A,0)),"")</f>
        <v>Air_India</v>
      </c>
      <c r="F515" s="6" t="str">
        <f>VLOOKUP(A515,Bookings!$A:$F,6,FALSE())</f>
        <v>Economy</v>
      </c>
      <c r="G515" s="6" t="str">
        <f t="array" ref="G515">IFERROR(INDEX(Flights!$E:$E,MATCH(B515,Flights!$A:$A,0)),"")</f>
        <v>Bengaluru</v>
      </c>
      <c r="H515" s="6" t="str">
        <f>VLOOKUP(B515,Flights!A:H,6,FALSE())</f>
        <v>Hyderabad</v>
      </c>
      <c r="I515" s="6" t="str">
        <f t="array" ref="I515">IFERROR(INDEX(Bookings!$G:$G,MATCH(B515,Bookings!$B:$B,0)),"")</f>
        <v>2+</v>
      </c>
      <c r="J515" s="5">
        <f>VLOOKUP(B515,Bookings!B:H,7,FALSE())</f>
        <v>21.5</v>
      </c>
      <c r="K515" s="5" t="str">
        <f t="shared" si="1"/>
        <v>Long</v>
      </c>
      <c r="L515" s="11">
        <f t="array" ref="L515">IFERROR(INDEX(Bookings!$K:$K,MATCH(A515,Bookings!$A:$A,0)),"")</f>
        <v>14936</v>
      </c>
      <c r="M515" s="5" t="str">
        <f t="shared" si="2"/>
        <v>Medium</v>
      </c>
      <c r="N515" s="5">
        <f t="array" ref="N515">IFERROR(INDEX(Bookings!$I:$I,MATCH(A515,Bookings!$A:$A,0)),"")</f>
        <v>1</v>
      </c>
      <c r="O515" s="5" t="str">
        <f t="shared" si="3"/>
        <v>Last Minute</v>
      </c>
      <c r="P515" s="5" t="str">
        <f t="shared" si="4"/>
        <v>Bengaluru -&gt; Hyderabad</v>
      </c>
    </row>
    <row r="516" ht="15.75" customHeight="1">
      <c r="A516" s="5" t="s">
        <v>1868</v>
      </c>
      <c r="B516" s="5" t="s">
        <v>749</v>
      </c>
      <c r="C516" s="5" t="s">
        <v>423</v>
      </c>
      <c r="D516" s="5" t="s">
        <v>45</v>
      </c>
      <c r="E516" s="6" t="str">
        <f t="array" ref="E516">IFERROR(INDEX(Airlines!$B:$B,MATCH(D516,Airlines!$A:$A,0)),"")</f>
        <v>Air_India</v>
      </c>
      <c r="F516" s="6" t="str">
        <f>VLOOKUP(A516,Bookings!$A:$F,6,FALSE())</f>
        <v>Economy</v>
      </c>
      <c r="G516" s="6" t="str">
        <f t="array" ref="G516">IFERROR(INDEX(Flights!$E:$E,MATCH(B516,Flights!$A:$A,0)),"")</f>
        <v>Bengaluru</v>
      </c>
      <c r="H516" s="6" t="str">
        <f>VLOOKUP(B516,Flights!A:H,6,FALSE())</f>
        <v>Hyderabad</v>
      </c>
      <c r="I516" s="6" t="str">
        <f t="array" ref="I516">IFERROR(INDEX(Bookings!$G:$G,MATCH(B516,Bookings!$B:$B,0)),"")</f>
        <v>2+</v>
      </c>
      <c r="J516" s="5">
        <f>VLOOKUP(B516,Bookings!B:H,7,FALSE())</f>
        <v>20.58</v>
      </c>
      <c r="K516" s="5" t="str">
        <f t="shared" si="1"/>
        <v>Long</v>
      </c>
      <c r="L516" s="11">
        <f t="array" ref="L516">IFERROR(INDEX(Bookings!$K:$K,MATCH(A516,Bookings!$A:$A,0)),"")</f>
        <v>12440</v>
      </c>
      <c r="M516" s="5" t="str">
        <f t="shared" si="2"/>
        <v>Medium</v>
      </c>
      <c r="N516" s="5">
        <f t="array" ref="N516">IFERROR(INDEX(Bookings!$I:$I,MATCH(A516,Bookings!$A:$A,0)),"")</f>
        <v>14</v>
      </c>
      <c r="O516" s="5" t="str">
        <f t="shared" si="3"/>
        <v>Short Notice</v>
      </c>
      <c r="P516" s="5" t="str">
        <f t="shared" si="4"/>
        <v>Bengaluru -&gt; Hyderabad</v>
      </c>
    </row>
    <row r="517" ht="15.75" customHeight="1">
      <c r="A517" s="5" t="s">
        <v>1870</v>
      </c>
      <c r="B517" s="5" t="s">
        <v>693</v>
      </c>
      <c r="C517" s="5" t="s">
        <v>423</v>
      </c>
      <c r="D517" s="5" t="s">
        <v>20</v>
      </c>
      <c r="E517" s="6" t="str">
        <f t="array" ref="E517">IFERROR(INDEX(Airlines!$B:$B,MATCH(D517,Airlines!$A:$A,0)),"")</f>
        <v>Vistara</v>
      </c>
      <c r="F517" s="6" t="str">
        <f>VLOOKUP(A517,Bookings!$A:$F,6,FALSE())</f>
        <v>Business</v>
      </c>
      <c r="G517" s="6" t="str">
        <f t="array" ref="G517">IFERROR(INDEX(Flights!$E:$E,MATCH(B517,Flights!$A:$A,0)),"")</f>
        <v>Bengaluru</v>
      </c>
      <c r="H517" s="6" t="str">
        <f>VLOOKUP(B517,Flights!A:H,6,FALSE())</f>
        <v>Hyderabad</v>
      </c>
      <c r="I517" s="6" t="str">
        <f t="array" ref="I517">IFERROR(INDEX(Bookings!$G:$G,MATCH(B517,Bookings!$B:$B,0)),"")</f>
        <v>1</v>
      </c>
      <c r="J517" s="5">
        <f>VLOOKUP(B517,Bookings!B:H,7,FALSE())</f>
        <v>11.42</v>
      </c>
      <c r="K517" s="5" t="str">
        <f t="shared" si="1"/>
        <v>Long</v>
      </c>
      <c r="L517" s="11">
        <f t="array" ref="L517">IFERROR(INDEX(Bookings!$K:$K,MATCH(A517,Bookings!$A:$A,0)),"")</f>
        <v>56588</v>
      </c>
      <c r="M517" s="5" t="str">
        <f t="shared" si="2"/>
        <v>High</v>
      </c>
      <c r="N517" s="5">
        <f t="array" ref="N517">IFERROR(INDEX(Bookings!$I:$I,MATCH(A517,Bookings!$A:$A,0)),"")</f>
        <v>34</v>
      </c>
      <c r="O517" s="5" t="str">
        <f t="shared" si="3"/>
        <v>Advance</v>
      </c>
      <c r="P517" s="5" t="str">
        <f t="shared" si="4"/>
        <v>Bengaluru -&gt; Hyderabad</v>
      </c>
    </row>
    <row r="518" ht="15.75" customHeight="1">
      <c r="A518" s="5" t="s">
        <v>1871</v>
      </c>
      <c r="B518" s="5" t="s">
        <v>672</v>
      </c>
      <c r="C518" s="5" t="s">
        <v>423</v>
      </c>
      <c r="D518" s="5" t="s">
        <v>45</v>
      </c>
      <c r="E518" s="6" t="str">
        <f t="array" ref="E518">IFERROR(INDEX(Airlines!$B:$B,MATCH(D518,Airlines!$A:$A,0)),"")</f>
        <v>Air_India</v>
      </c>
      <c r="F518" s="6" t="str">
        <f>VLOOKUP(A518,Bookings!$A:$F,6,FALSE())</f>
        <v>Economy</v>
      </c>
      <c r="G518" s="6" t="str">
        <f t="array" ref="G518">IFERROR(INDEX(Flights!$E:$E,MATCH(B518,Flights!$A:$A,0)),"")</f>
        <v>Bengaluru</v>
      </c>
      <c r="H518" s="6" t="str">
        <f>VLOOKUP(B518,Flights!A:H,6,FALSE())</f>
        <v>Hyderabad</v>
      </c>
      <c r="I518" s="6" t="str">
        <f t="array" ref="I518">IFERROR(INDEX(Bookings!$G:$G,MATCH(B518,Bookings!$B:$B,0)),"")</f>
        <v>1</v>
      </c>
      <c r="J518" s="5">
        <f>VLOOKUP(B518,Bookings!B:H,7,FALSE())</f>
        <v>23.08</v>
      </c>
      <c r="K518" s="5" t="str">
        <f t="shared" si="1"/>
        <v>Long</v>
      </c>
      <c r="L518" s="11">
        <f t="array" ref="L518">IFERROR(INDEX(Bookings!$K:$K,MATCH(A518,Bookings!$A:$A,0)),"")</f>
        <v>10056</v>
      </c>
      <c r="M518" s="5" t="str">
        <f t="shared" si="2"/>
        <v>Medium</v>
      </c>
      <c r="N518" s="5">
        <f t="array" ref="N518">IFERROR(INDEX(Bookings!$I:$I,MATCH(A518,Bookings!$A:$A,0)),"")</f>
        <v>44</v>
      </c>
      <c r="O518" s="5" t="str">
        <f t="shared" si="3"/>
        <v>Advance</v>
      </c>
      <c r="P518" s="5" t="str">
        <f t="shared" si="4"/>
        <v>Bengaluru -&gt; Hyderabad</v>
      </c>
    </row>
    <row r="519" ht="15.75" customHeight="1">
      <c r="A519" s="5" t="s">
        <v>1874</v>
      </c>
      <c r="B519" s="5" t="s">
        <v>763</v>
      </c>
      <c r="C519" s="5" t="s">
        <v>423</v>
      </c>
      <c r="D519" s="5" t="s">
        <v>72</v>
      </c>
      <c r="E519" s="6" t="str">
        <f t="array" ref="E519">IFERROR(INDEX(Airlines!$B:$B,MATCH(D519,Airlines!$A:$A,0)),"")</f>
        <v>Spicejet</v>
      </c>
      <c r="F519" s="6" t="str">
        <f>VLOOKUP(A519,Bookings!$A:$F,6,FALSE())</f>
        <v>Economy</v>
      </c>
      <c r="G519" s="6" t="str">
        <f t="array" ref="G519">IFERROR(INDEX(Flights!$E:$E,MATCH(B519,Flights!$A:$A,0)),"")</f>
        <v>Bengaluru</v>
      </c>
      <c r="H519" s="6" t="str">
        <f>VLOOKUP(B519,Flights!A:H,6,FALSE())</f>
        <v>Hyderabad</v>
      </c>
      <c r="I519" s="6" t="str">
        <f t="array" ref="I519">IFERROR(INDEX(Bookings!$G:$G,MATCH(B519,Bookings!$B:$B,0)),"")</f>
        <v>0</v>
      </c>
      <c r="J519" s="5">
        <f>VLOOKUP(B519,Bookings!B:H,7,FALSE())</f>
        <v>1</v>
      </c>
      <c r="K519" s="5" t="str">
        <f t="shared" si="1"/>
        <v>Short</v>
      </c>
      <c r="L519" s="11">
        <f t="array" ref="L519">IFERROR(INDEX(Bookings!$K:$K,MATCH(A519,Bookings!$A:$A,0)),"")</f>
        <v>4338</v>
      </c>
      <c r="M519" s="5" t="str">
        <f t="shared" si="2"/>
        <v>Low</v>
      </c>
      <c r="N519" s="5">
        <f t="array" ref="N519">IFERROR(INDEX(Bookings!$I:$I,MATCH(A519,Bookings!$A:$A,0)),"")</f>
        <v>16</v>
      </c>
      <c r="O519" s="5" t="str">
        <f t="shared" si="3"/>
        <v>Moderate</v>
      </c>
      <c r="P519" s="5" t="str">
        <f t="shared" si="4"/>
        <v>Bengaluru -&gt; Hyderabad</v>
      </c>
    </row>
    <row r="520" ht="15.75" customHeight="1">
      <c r="A520" s="5" t="s">
        <v>1876</v>
      </c>
      <c r="B520" s="5" t="s">
        <v>721</v>
      </c>
      <c r="C520" s="5" t="s">
        <v>423</v>
      </c>
      <c r="D520" s="5" t="s">
        <v>43</v>
      </c>
      <c r="E520" s="6" t="str">
        <f t="array" ref="E520">IFERROR(INDEX(Airlines!$B:$B,MATCH(D520,Airlines!$A:$A,0)),"")</f>
        <v>Indigo</v>
      </c>
      <c r="F520" s="6" t="str">
        <f>VLOOKUP(A520,Bookings!$A:$F,6,FALSE())</f>
        <v>Economy</v>
      </c>
      <c r="G520" s="6" t="str">
        <f t="array" ref="G520">IFERROR(INDEX(Flights!$E:$E,MATCH(B520,Flights!$A:$A,0)),"")</f>
        <v>Bengaluru</v>
      </c>
      <c r="H520" s="6" t="str">
        <f>VLOOKUP(B520,Flights!A:H,6,FALSE())</f>
        <v>Hyderabad</v>
      </c>
      <c r="I520" s="6" t="str">
        <f t="array" ref="I520">IFERROR(INDEX(Bookings!$G:$G,MATCH(B520,Bookings!$B:$B,0)),"")</f>
        <v>1</v>
      </c>
      <c r="J520" s="5">
        <f>VLOOKUP(B520,Bookings!B:H,7,FALSE())</f>
        <v>4.08</v>
      </c>
      <c r="K520" s="5" t="str">
        <f t="shared" si="1"/>
        <v>Medium</v>
      </c>
      <c r="L520" s="11">
        <f t="array" ref="L520">IFERROR(INDEX(Bookings!$K:$K,MATCH(A520,Bookings!$A:$A,0)),"")</f>
        <v>1694</v>
      </c>
      <c r="M520" s="5" t="str">
        <f t="shared" si="2"/>
        <v>Low</v>
      </c>
      <c r="N520" s="5">
        <f t="array" ref="N520">IFERROR(INDEX(Bookings!$I:$I,MATCH(A520,Bookings!$A:$A,0)),"")</f>
        <v>39</v>
      </c>
      <c r="O520" s="5" t="str">
        <f t="shared" si="3"/>
        <v>Advance</v>
      </c>
      <c r="P520" s="5" t="str">
        <f t="shared" si="4"/>
        <v>Bengaluru -&gt; Hyderabad</v>
      </c>
    </row>
    <row r="521" ht="15.75" customHeight="1">
      <c r="A521" s="5" t="s">
        <v>1879</v>
      </c>
      <c r="B521" s="5" t="s">
        <v>676</v>
      </c>
      <c r="C521" s="5" t="s">
        <v>423</v>
      </c>
      <c r="D521" s="5" t="s">
        <v>45</v>
      </c>
      <c r="E521" s="6" t="str">
        <f t="array" ref="E521">IFERROR(INDEX(Airlines!$B:$B,MATCH(D521,Airlines!$A:$A,0)),"")</f>
        <v>Air_India</v>
      </c>
      <c r="F521" s="6" t="str">
        <f>VLOOKUP(A521,Bookings!$A:$F,6,FALSE())</f>
        <v>Economy</v>
      </c>
      <c r="G521" s="6" t="str">
        <f t="array" ref="G521">IFERROR(INDEX(Flights!$E:$E,MATCH(B521,Flights!$A:$A,0)),"")</f>
        <v>Bengaluru</v>
      </c>
      <c r="H521" s="6" t="str">
        <f>VLOOKUP(B521,Flights!A:H,6,FALSE())</f>
        <v>Hyderabad</v>
      </c>
      <c r="I521" s="6" t="str">
        <f t="array" ref="I521">IFERROR(INDEX(Bookings!$G:$G,MATCH(B521,Bookings!$B:$B,0)),"")</f>
        <v>1</v>
      </c>
      <c r="J521" s="5">
        <f>VLOOKUP(B521,Bookings!B:H,7,FALSE())</f>
        <v>19.75</v>
      </c>
      <c r="K521" s="5" t="str">
        <f t="shared" si="1"/>
        <v>Long</v>
      </c>
      <c r="L521" s="11">
        <f t="array" ref="L521">IFERROR(INDEX(Bookings!$K:$K,MATCH(A521,Bookings!$A:$A,0)),"")</f>
        <v>10062</v>
      </c>
      <c r="M521" s="5" t="str">
        <f t="shared" si="2"/>
        <v>Medium</v>
      </c>
      <c r="N521" s="5">
        <f t="array" ref="N521">IFERROR(INDEX(Bookings!$I:$I,MATCH(A521,Bookings!$A:$A,0)),"")</f>
        <v>2</v>
      </c>
      <c r="O521" s="5" t="str">
        <f t="shared" si="3"/>
        <v>Last Minute</v>
      </c>
      <c r="P521" s="5" t="str">
        <f t="shared" si="4"/>
        <v>Bengaluru -&gt; Hyderabad</v>
      </c>
    </row>
    <row r="522" ht="15.75" customHeight="1">
      <c r="A522" s="5" t="s">
        <v>1880</v>
      </c>
      <c r="B522" s="5" t="s">
        <v>712</v>
      </c>
      <c r="C522" s="5" t="s">
        <v>423</v>
      </c>
      <c r="D522" s="5" t="s">
        <v>29</v>
      </c>
      <c r="E522" s="6" t="str">
        <f t="array" ref="E522">IFERROR(INDEX(Airlines!$B:$B,MATCH(D522,Airlines!$A:$A,0)),"")</f>
        <v>AirAsia</v>
      </c>
      <c r="F522" s="6" t="str">
        <f>VLOOKUP(A522,Bookings!$A:$F,6,FALSE())</f>
        <v>Economy</v>
      </c>
      <c r="G522" s="6" t="str">
        <f t="array" ref="G522">IFERROR(INDEX(Flights!$E:$E,MATCH(B522,Flights!$A:$A,0)),"")</f>
        <v>Bengaluru</v>
      </c>
      <c r="H522" s="6" t="str">
        <f>VLOOKUP(B522,Flights!A:H,6,FALSE())</f>
        <v>Hyderabad</v>
      </c>
      <c r="I522" s="6" t="str">
        <f t="array" ref="I522">IFERROR(INDEX(Bookings!$G:$G,MATCH(B522,Bookings!$B:$B,0)),"")</f>
        <v>1</v>
      </c>
      <c r="J522" s="5">
        <f>VLOOKUP(B522,Bookings!B:H,7,FALSE())</f>
        <v>3.67</v>
      </c>
      <c r="K522" s="5" t="str">
        <f t="shared" si="1"/>
        <v>Short</v>
      </c>
      <c r="L522" s="11">
        <f t="array" ref="L522">IFERROR(INDEX(Bookings!$K:$K,MATCH(A522,Bookings!$A:$A,0)),"")</f>
        <v>4336</v>
      </c>
      <c r="M522" s="5" t="str">
        <f t="shared" si="2"/>
        <v>Low</v>
      </c>
      <c r="N522" s="5">
        <f t="array" ref="N522">IFERROR(INDEX(Bookings!$I:$I,MATCH(A522,Bookings!$A:$A,0)),"")</f>
        <v>10</v>
      </c>
      <c r="O522" s="5" t="str">
        <f t="shared" si="3"/>
        <v>Short Notice</v>
      </c>
      <c r="P522" s="5" t="str">
        <f t="shared" si="4"/>
        <v>Bengaluru -&gt; Hyderabad</v>
      </c>
    </row>
    <row r="523" ht="15.75" customHeight="1">
      <c r="A523" s="5" t="s">
        <v>1882</v>
      </c>
      <c r="B523" s="5" t="s">
        <v>748</v>
      </c>
      <c r="C523" s="5" t="s">
        <v>423</v>
      </c>
      <c r="D523" s="5" t="s">
        <v>45</v>
      </c>
      <c r="E523" s="6" t="str">
        <f t="array" ref="E523">IFERROR(INDEX(Airlines!$B:$B,MATCH(D523,Airlines!$A:$A,0)),"")</f>
        <v>Air_India</v>
      </c>
      <c r="F523" s="6" t="str">
        <f>VLOOKUP(A523,Bookings!$A:$F,6,FALSE())</f>
        <v>Economy</v>
      </c>
      <c r="G523" s="6" t="str">
        <f t="array" ref="G523">IFERROR(INDEX(Flights!$E:$E,MATCH(B523,Flights!$A:$A,0)),"")</f>
        <v>Bengaluru</v>
      </c>
      <c r="H523" s="6" t="str">
        <f>VLOOKUP(B523,Flights!A:H,6,FALSE())</f>
        <v>Hyderabad</v>
      </c>
      <c r="I523" s="6" t="str">
        <f t="array" ref="I523">IFERROR(INDEX(Bookings!$G:$G,MATCH(B523,Bookings!$B:$B,0)),"")</f>
        <v>1</v>
      </c>
      <c r="J523" s="5">
        <f>VLOOKUP(B523,Bookings!B:H,7,FALSE())</f>
        <v>35.42</v>
      </c>
      <c r="K523" s="5" t="str">
        <f t="shared" si="1"/>
        <v>Long</v>
      </c>
      <c r="L523" s="11">
        <f t="array" ref="L523">IFERROR(INDEX(Bookings!$K:$K,MATCH(A523,Bookings!$A:$A,0)),"")</f>
        <v>10090</v>
      </c>
      <c r="M523" s="5" t="str">
        <f t="shared" si="2"/>
        <v>Medium</v>
      </c>
      <c r="N523" s="5">
        <f t="array" ref="N523">IFERROR(INDEX(Bookings!$I:$I,MATCH(A523,Bookings!$A:$A,0)),"")</f>
        <v>27</v>
      </c>
      <c r="O523" s="5" t="str">
        <f t="shared" si="3"/>
        <v>Moderate</v>
      </c>
      <c r="P523" s="5" t="str">
        <f t="shared" si="4"/>
        <v>Bengaluru -&gt; Hyderabad</v>
      </c>
    </row>
    <row r="524" ht="15.75" customHeight="1">
      <c r="A524" s="5" t="s">
        <v>1884</v>
      </c>
      <c r="B524" s="5" t="s">
        <v>759</v>
      </c>
      <c r="C524" s="5" t="s">
        <v>423</v>
      </c>
      <c r="D524" s="5" t="s">
        <v>20</v>
      </c>
      <c r="E524" s="6" t="str">
        <f t="array" ref="E524">IFERROR(INDEX(Airlines!$B:$B,MATCH(D524,Airlines!$A:$A,0)),"")</f>
        <v>Vistara</v>
      </c>
      <c r="F524" s="6" t="str">
        <f>VLOOKUP(A524,Bookings!$A:$F,6,FALSE())</f>
        <v>Economy</v>
      </c>
      <c r="G524" s="6" t="str">
        <f t="array" ref="G524">IFERROR(INDEX(Flights!$E:$E,MATCH(B524,Flights!$A:$A,0)),"")</f>
        <v>Bengaluru</v>
      </c>
      <c r="H524" s="6" t="str">
        <f>VLOOKUP(B524,Flights!A:H,6,FALSE())</f>
        <v>Hyderabad</v>
      </c>
      <c r="I524" s="6" t="str">
        <f t="array" ref="I524">IFERROR(INDEX(Bookings!$G:$G,MATCH(B524,Bookings!$B:$B,0)),"")</f>
        <v>1</v>
      </c>
      <c r="J524" s="5">
        <f>VLOOKUP(B524,Bookings!B:H,7,FALSE())</f>
        <v>10.33</v>
      </c>
      <c r="K524" s="5" t="str">
        <f t="shared" si="1"/>
        <v>Long</v>
      </c>
      <c r="L524" s="11">
        <f t="array" ref="L524">IFERROR(INDEX(Bookings!$K:$K,MATCH(A524,Bookings!$A:$A,0)),"")</f>
        <v>6885</v>
      </c>
      <c r="M524" s="5" t="str">
        <f t="shared" si="2"/>
        <v>Medium</v>
      </c>
      <c r="N524" s="5">
        <f t="array" ref="N524">IFERROR(INDEX(Bookings!$I:$I,MATCH(A524,Bookings!$A:$A,0)),"")</f>
        <v>31</v>
      </c>
      <c r="O524" s="5" t="str">
        <f t="shared" si="3"/>
        <v>Advance</v>
      </c>
      <c r="P524" s="5" t="str">
        <f t="shared" si="4"/>
        <v>Bengaluru -&gt; Hyderabad</v>
      </c>
    </row>
    <row r="525" ht="15.75" customHeight="1">
      <c r="A525" s="5" t="s">
        <v>1886</v>
      </c>
      <c r="B525" s="5" t="s">
        <v>679</v>
      </c>
      <c r="C525" s="5" t="s">
        <v>423</v>
      </c>
      <c r="D525" s="5" t="s">
        <v>58</v>
      </c>
      <c r="E525" s="6" t="str">
        <f t="array" ref="E525">IFERROR(INDEX(Airlines!$B:$B,MATCH(D525,Airlines!$A:$A,0)),"")</f>
        <v>Go_First</v>
      </c>
      <c r="F525" s="6" t="str">
        <f>VLOOKUP(A525,Bookings!$A:$F,6,FALSE())</f>
        <v>Economy</v>
      </c>
      <c r="G525" s="6" t="str">
        <f t="array" ref="G525">IFERROR(INDEX(Flights!$E:$E,MATCH(B525,Flights!$A:$A,0)),"")</f>
        <v>Bengaluru</v>
      </c>
      <c r="H525" s="6" t="str">
        <f>VLOOKUP(B525,Flights!A:H,6,FALSE())</f>
        <v>Hyderabad</v>
      </c>
      <c r="I525" s="6" t="str">
        <f t="array" ref="I525">IFERROR(INDEX(Bookings!$G:$G,MATCH(B525,Bookings!$B:$B,0)),"")</f>
        <v>1</v>
      </c>
      <c r="J525" s="5">
        <f>VLOOKUP(B525,Bookings!B:H,7,FALSE())</f>
        <v>15.33</v>
      </c>
      <c r="K525" s="5" t="str">
        <f t="shared" si="1"/>
        <v>Long</v>
      </c>
      <c r="L525" s="11">
        <f t="array" ref="L525">IFERROR(INDEX(Bookings!$K:$K,MATCH(A525,Bookings!$A:$A,0)),"")</f>
        <v>4337</v>
      </c>
      <c r="M525" s="5" t="str">
        <f t="shared" si="2"/>
        <v>Low</v>
      </c>
      <c r="N525" s="5" t="str">
        <f t="array" ref="N525">IFERROR(INDEX(Bookings!$I:$I,MATCH(A525,Bookings!$A:$A,0)),"")</f>
        <v/>
      </c>
      <c r="O525" s="5" t="str">
        <f t="shared" si="3"/>
        <v>Last Minute</v>
      </c>
      <c r="P525" s="5" t="str">
        <f t="shared" si="4"/>
        <v>Bengaluru -&gt; Hyderabad</v>
      </c>
    </row>
    <row r="526" ht="15.75" customHeight="1">
      <c r="A526" s="5" t="s">
        <v>1888</v>
      </c>
      <c r="B526" s="5" t="s">
        <v>684</v>
      </c>
      <c r="C526" s="5" t="s">
        <v>423</v>
      </c>
      <c r="D526" s="5" t="s">
        <v>45</v>
      </c>
      <c r="E526" s="6" t="str">
        <f t="array" ref="E526">IFERROR(INDEX(Airlines!$B:$B,MATCH(D526,Airlines!$A:$A,0)),"")</f>
        <v>Air_India</v>
      </c>
      <c r="F526" s="6" t="str">
        <f>VLOOKUP(A526,Bookings!$A:$F,6,FALSE())</f>
        <v>Economy</v>
      </c>
      <c r="G526" s="6" t="str">
        <f t="array" ref="G526">IFERROR(INDEX(Flights!$E:$E,MATCH(B526,Flights!$A:$A,0)),"")</f>
        <v>Bengaluru</v>
      </c>
      <c r="H526" s="6" t="str">
        <f>VLOOKUP(B526,Flights!A:H,6,FALSE())</f>
        <v>Hyderabad</v>
      </c>
      <c r="I526" s="6" t="str">
        <f t="array" ref="I526">IFERROR(INDEX(Bookings!$G:$G,MATCH(B526,Bookings!$B:$B,0)),"")</f>
        <v>1</v>
      </c>
      <c r="J526" s="5">
        <f>VLOOKUP(B526,Bookings!B:H,7,FALSE())</f>
        <v>29.67</v>
      </c>
      <c r="K526" s="5" t="str">
        <f t="shared" si="1"/>
        <v>Long</v>
      </c>
      <c r="L526" s="11">
        <f t="array" ref="L526">IFERROR(INDEX(Bookings!$K:$K,MATCH(A526,Bookings!$A:$A,0)),"")</f>
        <v>12385</v>
      </c>
      <c r="M526" s="5" t="str">
        <f t="shared" si="2"/>
        <v>Medium</v>
      </c>
      <c r="N526" s="5">
        <f t="array" ref="N526">IFERROR(INDEX(Bookings!$I:$I,MATCH(A526,Bookings!$A:$A,0)),"")</f>
        <v>4</v>
      </c>
      <c r="O526" s="5" t="str">
        <f t="shared" si="3"/>
        <v>Last Minute</v>
      </c>
      <c r="P526" s="5" t="str">
        <f t="shared" si="4"/>
        <v>Bengaluru -&gt; Hyderabad</v>
      </c>
    </row>
    <row r="527" ht="15.75" customHeight="1">
      <c r="A527" s="5" t="s">
        <v>1889</v>
      </c>
      <c r="B527" s="5" t="s">
        <v>730</v>
      </c>
      <c r="C527" s="5" t="s">
        <v>423</v>
      </c>
      <c r="D527" s="5" t="s">
        <v>72</v>
      </c>
      <c r="E527" s="6" t="str">
        <f t="array" ref="E527">IFERROR(INDEX(Airlines!$B:$B,MATCH(D527,Airlines!$A:$A,0)),"")</f>
        <v>Spicejet</v>
      </c>
      <c r="F527" s="6" t="str">
        <f>VLOOKUP(A527,Bookings!$A:$F,6,FALSE())</f>
        <v>Economy</v>
      </c>
      <c r="G527" s="6" t="str">
        <f t="array" ref="G527">IFERROR(INDEX(Flights!$E:$E,MATCH(B527,Flights!$A:$A,0)),"")</f>
        <v>Bengaluru</v>
      </c>
      <c r="H527" s="6" t="str">
        <f>VLOOKUP(B527,Flights!A:H,6,FALSE())</f>
        <v>Hyderabad</v>
      </c>
      <c r="I527" s="6" t="str">
        <f t="array" ref="I527">IFERROR(INDEX(Bookings!$G:$G,MATCH(B527,Bookings!$B:$B,0)),"")</f>
        <v>0</v>
      </c>
      <c r="J527" s="5">
        <f>VLOOKUP(B527,Bookings!B:H,7,FALSE())</f>
        <v>1.08</v>
      </c>
      <c r="K527" s="5" t="str">
        <f t="shared" si="1"/>
        <v>Short</v>
      </c>
      <c r="L527" s="11">
        <f t="array" ref="L527">IFERROR(INDEX(Bookings!$K:$K,MATCH(A527,Bookings!$A:$A,0)),"")</f>
        <v>4338</v>
      </c>
      <c r="M527" s="5" t="str">
        <f t="shared" si="2"/>
        <v>Low</v>
      </c>
      <c r="N527" s="5">
        <f t="array" ref="N527">IFERROR(INDEX(Bookings!$I:$I,MATCH(A527,Bookings!$A:$A,0)),"")</f>
        <v>7</v>
      </c>
      <c r="O527" s="5" t="str">
        <f t="shared" si="3"/>
        <v>Last Minute</v>
      </c>
      <c r="P527" s="5" t="str">
        <f t="shared" si="4"/>
        <v>Bengaluru -&gt; Hyderabad</v>
      </c>
    </row>
    <row r="528" ht="15.75" customHeight="1">
      <c r="A528" s="5" t="s">
        <v>1891</v>
      </c>
      <c r="B528" s="5" t="s">
        <v>770</v>
      </c>
      <c r="C528" s="5" t="s">
        <v>423</v>
      </c>
      <c r="D528" s="5" t="s">
        <v>20</v>
      </c>
      <c r="E528" s="6" t="str">
        <f t="array" ref="E528">IFERROR(INDEX(Airlines!$B:$B,MATCH(D528,Airlines!$A:$A,0)),"")</f>
        <v>Vistara</v>
      </c>
      <c r="F528" s="6" t="str">
        <f>VLOOKUP(A528,Bookings!$A:$F,6,FALSE())</f>
        <v>Business</v>
      </c>
      <c r="G528" s="6" t="str">
        <f t="array" ref="G528">IFERROR(INDEX(Flights!$E:$E,MATCH(B528,Flights!$A:$A,0)),"")</f>
        <v>Bengaluru</v>
      </c>
      <c r="H528" s="6" t="str">
        <f>VLOOKUP(B528,Flights!A:H,6,FALSE())</f>
        <v>Hyderabad</v>
      </c>
      <c r="I528" s="6" t="str">
        <f t="array" ref="I528">IFERROR(INDEX(Bookings!$G:$G,MATCH(B528,Bookings!$B:$B,0)),"")</f>
        <v>1</v>
      </c>
      <c r="J528" s="5">
        <f>VLOOKUP(B528,Bookings!B:H,7,FALSE())</f>
        <v>13.17</v>
      </c>
      <c r="K528" s="5" t="str">
        <f t="shared" si="1"/>
        <v>Long</v>
      </c>
      <c r="L528" s="11">
        <f t="array" ref="L528">IFERROR(INDEX(Bookings!$K:$K,MATCH(A528,Bookings!$A:$A,0)),"")</f>
        <v>56588</v>
      </c>
      <c r="M528" s="5" t="str">
        <f t="shared" si="2"/>
        <v>High</v>
      </c>
      <c r="N528" s="5">
        <f t="array" ref="N528">IFERROR(INDEX(Bookings!$I:$I,MATCH(A528,Bookings!$A:$A,0)),"")</f>
        <v>38</v>
      </c>
      <c r="O528" s="5" t="str">
        <f t="shared" si="3"/>
        <v>Advance</v>
      </c>
      <c r="P528" s="5" t="str">
        <f t="shared" si="4"/>
        <v>Bengaluru -&gt; Hyderabad</v>
      </c>
    </row>
    <row r="529" ht="15.75" customHeight="1">
      <c r="A529" s="5" t="s">
        <v>1893</v>
      </c>
      <c r="B529" s="5" t="s">
        <v>691</v>
      </c>
      <c r="C529" s="5" t="s">
        <v>423</v>
      </c>
      <c r="D529" s="5" t="s">
        <v>20</v>
      </c>
      <c r="E529" s="6" t="str">
        <f t="array" ref="E529">IFERROR(INDEX(Airlines!$B:$B,MATCH(D529,Airlines!$A:$A,0)),"")</f>
        <v>Vistara</v>
      </c>
      <c r="F529" s="6" t="str">
        <f>VLOOKUP(A529,Bookings!$A:$F,6,FALSE())</f>
        <v>Economy</v>
      </c>
      <c r="G529" s="6" t="str">
        <f t="array" ref="G529">IFERROR(INDEX(Flights!$E:$E,MATCH(B529,Flights!$A:$A,0)),"")</f>
        <v>Bengaluru</v>
      </c>
      <c r="H529" s="6" t="str">
        <f>VLOOKUP(B529,Flights!A:H,6,FALSE())</f>
        <v>Hyderabad</v>
      </c>
      <c r="I529" s="6" t="str">
        <f t="array" ref="I529">IFERROR(INDEX(Bookings!$G:$G,MATCH(B529,Bookings!$B:$B,0)),"")</f>
        <v>1</v>
      </c>
      <c r="J529" s="5">
        <f>VLOOKUP(B529,Bookings!B:H,7,FALSE())</f>
        <v>19.83</v>
      </c>
      <c r="K529" s="5" t="str">
        <f t="shared" si="1"/>
        <v>Long</v>
      </c>
      <c r="L529" s="11">
        <f t="array" ref="L529">IFERROR(INDEX(Bookings!$K:$K,MATCH(A529,Bookings!$A:$A,0)),"")</f>
        <v>6892</v>
      </c>
      <c r="M529" s="5" t="str">
        <f t="shared" si="2"/>
        <v>Medium</v>
      </c>
      <c r="N529" s="5">
        <f t="array" ref="N529">IFERROR(INDEX(Bookings!$I:$I,MATCH(A529,Bookings!$A:$A,0)),"")</f>
        <v>44</v>
      </c>
      <c r="O529" s="5" t="str">
        <f t="shared" si="3"/>
        <v>Advance</v>
      </c>
      <c r="P529" s="5" t="str">
        <f t="shared" si="4"/>
        <v>Bengaluru -&gt; Hyderabad</v>
      </c>
    </row>
    <row r="530" ht="15.75" customHeight="1">
      <c r="A530" s="5" t="s">
        <v>1894</v>
      </c>
      <c r="B530" s="5" t="s">
        <v>696</v>
      </c>
      <c r="C530" s="5" t="s">
        <v>423</v>
      </c>
      <c r="D530" s="5" t="s">
        <v>20</v>
      </c>
      <c r="E530" s="6" t="str">
        <f t="array" ref="E530">IFERROR(INDEX(Airlines!$B:$B,MATCH(D530,Airlines!$A:$A,0)),"")</f>
        <v>Vistara</v>
      </c>
      <c r="F530" s="6" t="str">
        <f>VLOOKUP(A530,Bookings!$A:$F,6,FALSE())</f>
        <v>Business</v>
      </c>
      <c r="G530" s="6" t="str">
        <f t="array" ref="G530">IFERROR(INDEX(Flights!$E:$E,MATCH(B530,Flights!$A:$A,0)),"")</f>
        <v>Bengaluru</v>
      </c>
      <c r="H530" s="6" t="str">
        <f>VLOOKUP(B530,Flights!A:H,6,FALSE())</f>
        <v>Hyderabad</v>
      </c>
      <c r="I530" s="6" t="str">
        <f t="array" ref="I530">IFERROR(INDEX(Bookings!$G:$G,MATCH(B530,Bookings!$B:$B,0)),"")</f>
        <v>1</v>
      </c>
      <c r="J530" s="5">
        <f>VLOOKUP(B530,Bookings!B:H,7,FALSE())</f>
        <v>7.25</v>
      </c>
      <c r="K530" s="5" t="str">
        <f t="shared" si="1"/>
        <v>Medium</v>
      </c>
      <c r="L530" s="11">
        <f t="array" ref="L530">IFERROR(INDEX(Bookings!$K:$K,MATCH(A530,Bookings!$A:$A,0)),"")</f>
        <v>56588</v>
      </c>
      <c r="M530" s="5" t="str">
        <f t="shared" si="2"/>
        <v>High</v>
      </c>
      <c r="N530" s="5">
        <f t="array" ref="N530">IFERROR(INDEX(Bookings!$I:$I,MATCH(A530,Bookings!$A:$A,0)),"")</f>
        <v>37</v>
      </c>
      <c r="O530" s="5" t="str">
        <f t="shared" si="3"/>
        <v>Advance</v>
      </c>
      <c r="P530" s="5" t="str">
        <f t="shared" si="4"/>
        <v>Bengaluru -&gt; Hyderabad</v>
      </c>
    </row>
    <row r="531" ht="15.75" customHeight="1">
      <c r="A531" s="5" t="s">
        <v>1897</v>
      </c>
      <c r="B531" s="5" t="s">
        <v>774</v>
      </c>
      <c r="C531" s="5" t="s">
        <v>423</v>
      </c>
      <c r="D531" s="5" t="s">
        <v>43</v>
      </c>
      <c r="E531" s="6" t="str">
        <f t="array" ref="E531">IFERROR(INDEX(Airlines!$B:$B,MATCH(D531,Airlines!$A:$A,0)),"")</f>
        <v>Indigo</v>
      </c>
      <c r="F531" s="6" t="str">
        <f>VLOOKUP(A531,Bookings!$A:$F,6,FALSE())</f>
        <v>Economy</v>
      </c>
      <c r="G531" s="6" t="str">
        <f t="array" ref="G531">IFERROR(INDEX(Flights!$E:$E,MATCH(B531,Flights!$A:$A,0)),"")</f>
        <v>Bengaluru</v>
      </c>
      <c r="H531" s="6" t="str">
        <f>VLOOKUP(B531,Flights!A:H,6,FALSE())</f>
        <v>Hyderabad</v>
      </c>
      <c r="I531" s="6" t="str">
        <f t="array" ref="I531">IFERROR(INDEX(Bookings!$G:$G,MATCH(B531,Bookings!$B:$B,0)),"")</f>
        <v>1</v>
      </c>
      <c r="J531" s="5">
        <f>VLOOKUP(B531,Bookings!B:H,7,FALSE())</f>
        <v>8.83</v>
      </c>
      <c r="K531" s="5" t="str">
        <f t="shared" si="1"/>
        <v>Medium</v>
      </c>
      <c r="L531" s="11">
        <f t="array" ref="L531">IFERROR(INDEX(Bookings!$K:$K,MATCH(A531,Bookings!$A:$A,0)),"")</f>
        <v>3354</v>
      </c>
      <c r="M531" s="5" t="str">
        <f t="shared" si="2"/>
        <v>Low</v>
      </c>
      <c r="N531" s="5">
        <f t="array" ref="N531">IFERROR(INDEX(Bookings!$I:$I,MATCH(A531,Bookings!$A:$A,0)),"")</f>
        <v>25</v>
      </c>
      <c r="O531" s="5" t="str">
        <f t="shared" si="3"/>
        <v>Moderate</v>
      </c>
      <c r="P531" s="5" t="str">
        <f t="shared" si="4"/>
        <v>Bengaluru -&gt; Hyderabad</v>
      </c>
    </row>
    <row r="532" ht="15.75" customHeight="1">
      <c r="A532" s="5" t="s">
        <v>1898</v>
      </c>
      <c r="B532" s="5" t="s">
        <v>717</v>
      </c>
      <c r="C532" s="5" t="s">
        <v>423</v>
      </c>
      <c r="D532" s="5" t="s">
        <v>45</v>
      </c>
      <c r="E532" s="6" t="str">
        <f t="array" ref="E532">IFERROR(INDEX(Airlines!$B:$B,MATCH(D532,Airlines!$A:$A,0)),"")</f>
        <v>Air_India</v>
      </c>
      <c r="F532" s="6" t="str">
        <f>VLOOKUP(A532,Bookings!$A:$F,6,FALSE())</f>
        <v>Business</v>
      </c>
      <c r="G532" s="6" t="str">
        <f t="array" ref="G532">IFERROR(INDEX(Flights!$E:$E,MATCH(B532,Flights!$A:$A,0)),"")</f>
        <v>Bengaluru</v>
      </c>
      <c r="H532" s="6" t="str">
        <f>VLOOKUP(B532,Flights!A:H,6,FALSE())</f>
        <v>Hyderabad</v>
      </c>
      <c r="I532" s="6" t="str">
        <f t="array" ref="I532">IFERROR(INDEX(Bookings!$G:$G,MATCH(B532,Bookings!$B:$B,0)),"")</f>
        <v>1</v>
      </c>
      <c r="J532" s="5">
        <f>VLOOKUP(B532,Bookings!B:H,7,FALSE())</f>
        <v>14.42</v>
      </c>
      <c r="K532" s="5" t="str">
        <f t="shared" si="1"/>
        <v>Long</v>
      </c>
      <c r="L532" s="11">
        <f t="array" ref="L532">IFERROR(INDEX(Bookings!$K:$K,MATCH(A532,Bookings!$A:$A,0)),"")</f>
        <v>56476</v>
      </c>
      <c r="M532" s="5" t="str">
        <f t="shared" si="2"/>
        <v>High</v>
      </c>
      <c r="N532" s="5">
        <f t="array" ref="N532">IFERROR(INDEX(Bookings!$I:$I,MATCH(A532,Bookings!$A:$A,0)),"")</f>
        <v>34</v>
      </c>
      <c r="O532" s="5" t="str">
        <f t="shared" si="3"/>
        <v>Advance</v>
      </c>
      <c r="P532" s="5" t="str">
        <f t="shared" si="4"/>
        <v>Bengaluru -&gt; Hyderabad</v>
      </c>
    </row>
    <row r="533" ht="15.75" customHeight="1">
      <c r="A533" s="5" t="s">
        <v>1900</v>
      </c>
      <c r="B533" s="5" t="s">
        <v>739</v>
      </c>
      <c r="C533" s="5" t="s">
        <v>423</v>
      </c>
      <c r="D533" s="5" t="s">
        <v>20</v>
      </c>
      <c r="E533" s="6" t="str">
        <f t="array" ref="E533">IFERROR(INDEX(Airlines!$B:$B,MATCH(D533,Airlines!$A:$A,0)),"")</f>
        <v>Vistara</v>
      </c>
      <c r="F533" s="6" t="str">
        <f>VLOOKUP(A533,Bookings!$A:$F,6,FALSE())</f>
        <v>Economy</v>
      </c>
      <c r="G533" s="6" t="str">
        <f t="array" ref="G533">IFERROR(INDEX(Flights!$E:$E,MATCH(B533,Flights!$A:$A,0)),"")</f>
        <v>Bengaluru</v>
      </c>
      <c r="H533" s="6" t="str">
        <f>VLOOKUP(B533,Flights!A:H,6,FALSE())</f>
        <v>Hyderabad</v>
      </c>
      <c r="I533" s="6" t="str">
        <f t="array" ref="I533">IFERROR(INDEX(Bookings!$G:$G,MATCH(B533,Bookings!$B:$B,0)),"")</f>
        <v>1</v>
      </c>
      <c r="J533" s="5">
        <f>VLOOKUP(B533,Bookings!B:H,7,FALSE())</f>
        <v>33</v>
      </c>
      <c r="K533" s="5" t="str">
        <f t="shared" si="1"/>
        <v>Long</v>
      </c>
      <c r="L533" s="11">
        <f t="array" ref="L533">IFERROR(INDEX(Bookings!$K:$K,MATCH(A533,Bookings!$A:$A,0)),"")</f>
        <v>7336</v>
      </c>
      <c r="M533" s="5" t="str">
        <f t="shared" si="2"/>
        <v>Medium</v>
      </c>
      <c r="N533" s="5">
        <f t="array" ref="N533">IFERROR(INDEX(Bookings!$I:$I,MATCH(A533,Bookings!$A:$A,0)),"")</f>
        <v>7</v>
      </c>
      <c r="O533" s="5" t="str">
        <f t="shared" si="3"/>
        <v>Last Minute</v>
      </c>
      <c r="P533" s="5" t="str">
        <f t="shared" si="4"/>
        <v>Bengaluru -&gt; Hyderabad</v>
      </c>
    </row>
    <row r="534" ht="15.75" customHeight="1">
      <c r="A534" s="5" t="s">
        <v>1903</v>
      </c>
      <c r="B534" s="5" t="s">
        <v>736</v>
      </c>
      <c r="C534" s="5" t="s">
        <v>423</v>
      </c>
      <c r="D534" s="5" t="s">
        <v>20</v>
      </c>
      <c r="E534" s="6" t="str">
        <f t="array" ref="E534">IFERROR(INDEX(Airlines!$B:$B,MATCH(D534,Airlines!$A:$A,0)),"")</f>
        <v>Vistara</v>
      </c>
      <c r="F534" s="6" t="str">
        <f>VLOOKUP(A534,Bookings!$A:$F,6,FALSE())</f>
        <v>Economy</v>
      </c>
      <c r="G534" s="6" t="str">
        <f t="array" ref="G534">IFERROR(INDEX(Flights!$E:$E,MATCH(B534,Flights!$A:$A,0)),"")</f>
        <v>Bengaluru</v>
      </c>
      <c r="H534" s="6" t="str">
        <f>VLOOKUP(B534,Flights!A:H,6,FALSE())</f>
        <v>Hyderabad</v>
      </c>
      <c r="I534" s="6" t="str">
        <f t="array" ref="I534">IFERROR(INDEX(Bookings!$G:$G,MATCH(B534,Bookings!$B:$B,0)),"")</f>
        <v>2+</v>
      </c>
      <c r="J534" s="5">
        <f>VLOOKUP(B534,Bookings!B:H,7,FALSE())</f>
        <v>29.5</v>
      </c>
      <c r="K534" s="5" t="str">
        <f t="shared" si="1"/>
        <v>Long</v>
      </c>
      <c r="L534" s="11">
        <f t="array" ref="L534">IFERROR(INDEX(Bookings!$K:$K,MATCH(A534,Bookings!$A:$A,0)),"")</f>
        <v>16286</v>
      </c>
      <c r="M534" s="5" t="str">
        <f t="shared" si="2"/>
        <v>High</v>
      </c>
      <c r="N534" s="5">
        <f t="array" ref="N534">IFERROR(INDEX(Bookings!$I:$I,MATCH(A534,Bookings!$A:$A,0)),"")</f>
        <v>7</v>
      </c>
      <c r="O534" s="5" t="str">
        <f t="shared" si="3"/>
        <v>Last Minute</v>
      </c>
      <c r="P534" s="5" t="str">
        <f t="shared" si="4"/>
        <v>Bengaluru -&gt; Hyderabad</v>
      </c>
    </row>
    <row r="535" ht="15.75" customHeight="1">
      <c r="A535" s="5" t="s">
        <v>1904</v>
      </c>
      <c r="B535" s="5" t="s">
        <v>734</v>
      </c>
      <c r="C535" s="5" t="s">
        <v>423</v>
      </c>
      <c r="D535" s="5" t="s">
        <v>45</v>
      </c>
      <c r="E535" s="6" t="str">
        <f t="array" ref="E535">IFERROR(INDEX(Airlines!$B:$B,MATCH(D535,Airlines!$A:$A,0)),"")</f>
        <v>Air_India</v>
      </c>
      <c r="F535" s="6" t="str">
        <f>VLOOKUP(A535,Bookings!$A:$F,6,FALSE())</f>
        <v>Business</v>
      </c>
      <c r="G535" s="6" t="str">
        <f t="array" ref="G535">IFERROR(INDEX(Flights!$E:$E,MATCH(B535,Flights!$A:$A,0)),"")</f>
        <v>Bengaluru</v>
      </c>
      <c r="H535" s="6" t="str">
        <f>VLOOKUP(B535,Flights!A:H,6,FALSE())</f>
        <v>Hyderabad</v>
      </c>
      <c r="I535" s="6" t="str">
        <f t="array" ref="I535">IFERROR(INDEX(Bookings!$G:$G,MATCH(B535,Bookings!$B:$B,0)),"")</f>
        <v>2+</v>
      </c>
      <c r="J535" s="5">
        <f>VLOOKUP(B535,Bookings!B:H,7,FALSE())</f>
        <v>20.42</v>
      </c>
      <c r="K535" s="5" t="str">
        <f t="shared" si="1"/>
        <v>Long</v>
      </c>
      <c r="L535" s="11">
        <f t="array" ref="L535">IFERROR(INDEX(Bookings!$K:$K,MATCH(A535,Bookings!$A:$A,0)),"")</f>
        <v>7336</v>
      </c>
      <c r="M535" s="5" t="str">
        <f t="shared" si="2"/>
        <v>Medium</v>
      </c>
      <c r="N535" s="5">
        <f t="array" ref="N535">IFERROR(INDEX(Bookings!$I:$I,MATCH(A535,Bookings!$A:$A,0)),"")</f>
        <v>33</v>
      </c>
      <c r="O535" s="5" t="str">
        <f t="shared" si="3"/>
        <v>Advance</v>
      </c>
      <c r="P535" s="5" t="str">
        <f t="shared" si="4"/>
        <v>Bengaluru -&gt; Hyderabad</v>
      </c>
    </row>
    <row r="536" ht="15.75" customHeight="1">
      <c r="A536" s="5" t="s">
        <v>1906</v>
      </c>
      <c r="B536" s="5" t="s">
        <v>706</v>
      </c>
      <c r="C536" s="5" t="s">
        <v>423</v>
      </c>
      <c r="D536" s="5" t="s">
        <v>45</v>
      </c>
      <c r="E536" s="6" t="str">
        <f t="array" ref="E536">IFERROR(INDEX(Airlines!$B:$B,MATCH(D536,Airlines!$A:$A,0)),"")</f>
        <v>Air_India</v>
      </c>
      <c r="F536" s="6" t="str">
        <f>VLOOKUP(A536,Bookings!$A:$F,6,FALSE())</f>
        <v>Economy</v>
      </c>
      <c r="G536" s="6" t="str">
        <f t="array" ref="G536">IFERROR(INDEX(Flights!$E:$E,MATCH(B536,Flights!$A:$A,0)),"")</f>
        <v>Bengaluru</v>
      </c>
      <c r="H536" s="6" t="str">
        <f>VLOOKUP(B536,Flights!A:H,6,FALSE())</f>
        <v>Hyderabad</v>
      </c>
      <c r="I536" s="6" t="str">
        <f t="array" ref="I536">IFERROR(INDEX(Bookings!$G:$G,MATCH(B536,Bookings!$B:$B,0)),"")</f>
        <v>2+</v>
      </c>
      <c r="J536" s="5">
        <f>VLOOKUP(B536,Bookings!B:H,7,FALSE())</f>
        <v>16.67</v>
      </c>
      <c r="K536" s="5" t="str">
        <f t="shared" si="1"/>
        <v>Long</v>
      </c>
      <c r="L536" s="11">
        <f t="array" ref="L536">IFERROR(INDEX(Bookings!$K:$K,MATCH(A536,Bookings!$A:$A,0)),"")</f>
        <v>14314</v>
      </c>
      <c r="M536" s="5" t="str">
        <f t="shared" si="2"/>
        <v>Medium</v>
      </c>
      <c r="N536" s="5">
        <f t="array" ref="N536">IFERROR(INDEX(Bookings!$I:$I,MATCH(A536,Bookings!$A:$A,0)),"")</f>
        <v>14</v>
      </c>
      <c r="O536" s="5" t="str">
        <f t="shared" si="3"/>
        <v>Short Notice</v>
      </c>
      <c r="P536" s="5" t="str">
        <f t="shared" si="4"/>
        <v>Bengaluru -&gt; Hyderabad</v>
      </c>
    </row>
    <row r="537" ht="15.75" customHeight="1">
      <c r="A537" s="5" t="s">
        <v>1908</v>
      </c>
      <c r="B537" s="5" t="s">
        <v>687</v>
      </c>
      <c r="C537" s="5" t="s">
        <v>423</v>
      </c>
      <c r="D537" s="5" t="s">
        <v>45</v>
      </c>
      <c r="E537" s="6" t="str">
        <f t="array" ref="E537">IFERROR(INDEX(Airlines!$B:$B,MATCH(D537,Airlines!$A:$A,0)),"")</f>
        <v>Air_India</v>
      </c>
      <c r="F537" s="6" t="str">
        <f>VLOOKUP(A537,Bookings!$A:$F,6,FALSE())</f>
        <v>Economy</v>
      </c>
      <c r="G537" s="6" t="str">
        <f t="array" ref="G537">IFERROR(INDEX(Flights!$E:$E,MATCH(B537,Flights!$A:$A,0)),"")</f>
        <v>Bengaluru</v>
      </c>
      <c r="H537" s="6" t="str">
        <f>VLOOKUP(B537,Flights!A:H,6,FALSE())</f>
        <v>Hyderabad</v>
      </c>
      <c r="I537" s="6" t="str">
        <f t="array" ref="I537">IFERROR(INDEX(Bookings!$G:$G,MATCH(B537,Bookings!$B:$B,0)),"")</f>
        <v>2+</v>
      </c>
      <c r="J537" s="5">
        <f>VLOOKUP(B537,Bookings!B:H,7,FALSE())</f>
        <v>25.5</v>
      </c>
      <c r="K537" s="5" t="str">
        <f t="shared" si="1"/>
        <v>Long</v>
      </c>
      <c r="L537" s="11">
        <f t="array" ref="L537">IFERROR(INDEX(Bookings!$K:$K,MATCH(A537,Bookings!$A:$A,0)),"")</f>
        <v>14314</v>
      </c>
      <c r="M537" s="5" t="str">
        <f t="shared" si="2"/>
        <v>Medium</v>
      </c>
      <c r="N537" s="5">
        <f t="array" ref="N537">IFERROR(INDEX(Bookings!$I:$I,MATCH(A537,Bookings!$A:$A,0)),"")</f>
        <v>14</v>
      </c>
      <c r="O537" s="5" t="str">
        <f t="shared" si="3"/>
        <v>Short Notice</v>
      </c>
      <c r="P537" s="5" t="str">
        <f t="shared" si="4"/>
        <v>Bengaluru -&gt; Hyderabad</v>
      </c>
    </row>
    <row r="538" ht="15.75" customHeight="1">
      <c r="A538" s="5" t="s">
        <v>1909</v>
      </c>
      <c r="B538" s="5" t="s">
        <v>725</v>
      </c>
      <c r="C538" s="5" t="s">
        <v>423</v>
      </c>
      <c r="D538" s="5" t="s">
        <v>45</v>
      </c>
      <c r="E538" s="6" t="str">
        <f t="array" ref="E538">IFERROR(INDEX(Airlines!$B:$B,MATCH(D538,Airlines!$A:$A,0)),"")</f>
        <v>Air_India</v>
      </c>
      <c r="F538" s="6" t="str">
        <f>VLOOKUP(A538,Bookings!$A:$F,6,FALSE())</f>
        <v>Economy</v>
      </c>
      <c r="G538" s="6" t="str">
        <f t="array" ref="G538">IFERROR(INDEX(Flights!$E:$E,MATCH(B538,Flights!$A:$A,0)),"")</f>
        <v>Bengaluru</v>
      </c>
      <c r="H538" s="6" t="str">
        <f>VLOOKUP(B538,Flights!A:H,6,FALSE())</f>
        <v>Hyderabad</v>
      </c>
      <c r="I538" s="6" t="str">
        <f t="array" ref="I538">IFERROR(INDEX(Bookings!$G:$G,MATCH(B538,Bookings!$B:$B,0)),"")</f>
        <v>2+</v>
      </c>
      <c r="J538" s="5">
        <f>VLOOKUP(B538,Bookings!B:H,7,FALSE())</f>
        <v>17.42</v>
      </c>
      <c r="K538" s="5" t="str">
        <f t="shared" si="1"/>
        <v>Long</v>
      </c>
      <c r="L538" s="11">
        <f t="array" ref="L538">IFERROR(INDEX(Bookings!$K:$K,MATCH(A538,Bookings!$A:$A,0)),"")</f>
        <v>14839</v>
      </c>
      <c r="M538" s="5" t="str">
        <f t="shared" si="2"/>
        <v>Medium</v>
      </c>
      <c r="N538" s="5">
        <f t="array" ref="N538">IFERROR(INDEX(Bookings!$I:$I,MATCH(A538,Bookings!$A:$A,0)),"")</f>
        <v>15</v>
      </c>
      <c r="O538" s="5" t="str">
        <f t="shared" si="3"/>
        <v>Short Notice</v>
      </c>
      <c r="P538" s="5" t="str">
        <f t="shared" si="4"/>
        <v>Bengaluru -&gt; Hyderabad</v>
      </c>
    </row>
    <row r="539" ht="15.75" customHeight="1">
      <c r="A539" s="5" t="s">
        <v>1911</v>
      </c>
      <c r="B539" s="5" t="s">
        <v>673</v>
      </c>
      <c r="C539" s="5" t="s">
        <v>423</v>
      </c>
      <c r="D539" s="5" t="s">
        <v>20</v>
      </c>
      <c r="E539" s="6" t="str">
        <f t="array" ref="E539">IFERROR(INDEX(Airlines!$B:$B,MATCH(D539,Airlines!$A:$A,0)),"")</f>
        <v>Vistara</v>
      </c>
      <c r="F539" s="6" t="str">
        <f>VLOOKUP(A539,Bookings!$A:$F,6,FALSE())</f>
        <v>Economy</v>
      </c>
      <c r="G539" s="6" t="str">
        <f t="array" ref="G539">IFERROR(INDEX(Flights!$E:$E,MATCH(B539,Flights!$A:$A,0)),"")</f>
        <v>Bengaluru</v>
      </c>
      <c r="H539" s="6" t="str">
        <f>VLOOKUP(B539,Flights!A:H,6,FALSE())</f>
        <v>Hyderabad</v>
      </c>
      <c r="I539" s="6" t="str">
        <f t="array" ref="I539">IFERROR(INDEX(Bookings!$G:$G,MATCH(B539,Bookings!$B:$B,0)),"")</f>
        <v>1</v>
      </c>
      <c r="J539" s="5">
        <f>VLOOKUP(B539,Bookings!B:H,7,FALSE())</f>
        <v>13.75</v>
      </c>
      <c r="K539" s="5" t="str">
        <f t="shared" si="1"/>
        <v>Long</v>
      </c>
      <c r="L539" s="11">
        <f t="array" ref="L539">IFERROR(INDEX(Bookings!$K:$K,MATCH(A539,Bookings!$A:$A,0)),"")</f>
        <v>5743</v>
      </c>
      <c r="M539" s="5" t="str">
        <f t="shared" si="2"/>
        <v>Medium</v>
      </c>
      <c r="N539" s="5" t="str">
        <f t="array" ref="N539">IFERROR(INDEX(Bookings!$I:$I,MATCH(A539,Bookings!$A:$A,0)),"")</f>
        <v/>
      </c>
      <c r="O539" s="5" t="str">
        <f t="shared" si="3"/>
        <v>Last Minute</v>
      </c>
      <c r="P539" s="5" t="str">
        <f t="shared" si="4"/>
        <v>Bengaluru -&gt; Hyderabad</v>
      </c>
    </row>
    <row r="540" ht="15.75" customHeight="1">
      <c r="A540" s="5" t="s">
        <v>1912</v>
      </c>
      <c r="B540" s="5" t="s">
        <v>728</v>
      </c>
      <c r="C540" s="5" t="s">
        <v>423</v>
      </c>
      <c r="D540" s="5" t="s">
        <v>43</v>
      </c>
      <c r="E540" s="6" t="str">
        <f t="array" ref="E540">IFERROR(INDEX(Airlines!$B:$B,MATCH(D540,Airlines!$A:$A,0)),"")</f>
        <v>Indigo</v>
      </c>
      <c r="F540" s="6" t="str">
        <f>VLOOKUP(A540,Bookings!$A:$F,6,FALSE())</f>
        <v>Economy</v>
      </c>
      <c r="G540" s="6" t="str">
        <f t="array" ref="G540">IFERROR(INDEX(Flights!$E:$E,MATCH(B540,Flights!$A:$A,0)),"")</f>
        <v>Bengaluru</v>
      </c>
      <c r="H540" s="6" t="str">
        <f>VLOOKUP(B540,Flights!A:H,6,FALSE())</f>
        <v>Hyderabad</v>
      </c>
      <c r="I540" s="6" t="str">
        <f t="array" ref="I540">IFERROR(INDEX(Bookings!$G:$G,MATCH(B540,Bookings!$B:$B,0)),"")</f>
        <v>1</v>
      </c>
      <c r="J540" s="5">
        <f>VLOOKUP(B540,Bookings!B:H,7,FALSE())</f>
        <v>8.42</v>
      </c>
      <c r="K540" s="5" t="str">
        <f t="shared" si="1"/>
        <v>Medium</v>
      </c>
      <c r="L540" s="11">
        <f t="array" ref="L540">IFERROR(INDEX(Bookings!$K:$K,MATCH(A540,Bookings!$A:$A,0)),"")</f>
        <v>1694</v>
      </c>
      <c r="M540" s="5" t="str">
        <f t="shared" si="2"/>
        <v>Low</v>
      </c>
      <c r="N540" s="5">
        <f t="array" ref="N540">IFERROR(INDEX(Bookings!$I:$I,MATCH(A540,Bookings!$A:$A,0)),"")</f>
        <v>46</v>
      </c>
      <c r="O540" s="5" t="str">
        <f t="shared" si="3"/>
        <v>Advance</v>
      </c>
      <c r="P540" s="5" t="str">
        <f t="shared" si="4"/>
        <v>Bengaluru -&gt; Hyderabad</v>
      </c>
    </row>
    <row r="541" ht="15.75" customHeight="1">
      <c r="A541" s="5" t="s">
        <v>1914</v>
      </c>
      <c r="B541" s="5" t="s">
        <v>700</v>
      </c>
      <c r="C541" s="5" t="s">
        <v>423</v>
      </c>
      <c r="D541" s="5" t="s">
        <v>43</v>
      </c>
      <c r="E541" s="6" t="str">
        <f t="array" ref="E541">IFERROR(INDEX(Airlines!$B:$B,MATCH(D541,Airlines!$A:$A,0)),"")</f>
        <v>Indigo</v>
      </c>
      <c r="F541" s="6" t="str">
        <f>VLOOKUP(A541,Bookings!$A:$F,6,FALSE())</f>
        <v>Economy</v>
      </c>
      <c r="G541" s="6" t="str">
        <f t="array" ref="G541">IFERROR(INDEX(Flights!$E:$E,MATCH(B541,Flights!$A:$A,0)),"")</f>
        <v>Bengaluru</v>
      </c>
      <c r="H541" s="6" t="str">
        <f>VLOOKUP(B541,Flights!A:H,6,FALSE())</f>
        <v>Hyderabad</v>
      </c>
      <c r="I541" s="6" t="str">
        <f t="array" ref="I541">IFERROR(INDEX(Bookings!$G:$G,MATCH(B541,Bookings!$B:$B,0)),"")</f>
        <v>1</v>
      </c>
      <c r="J541" s="5">
        <f>VLOOKUP(B541,Bookings!B:H,7,FALSE())</f>
        <v>3.67</v>
      </c>
      <c r="K541" s="5" t="str">
        <f t="shared" si="1"/>
        <v>Short</v>
      </c>
      <c r="L541" s="11">
        <f t="array" ref="L541">IFERROR(INDEX(Bookings!$K:$K,MATCH(A541,Bookings!$A:$A,0)),"")</f>
        <v>1694</v>
      </c>
      <c r="M541" s="5" t="str">
        <f t="shared" si="2"/>
        <v>Low</v>
      </c>
      <c r="N541" s="5">
        <f t="array" ref="N541">IFERROR(INDEX(Bookings!$I:$I,MATCH(A541,Bookings!$A:$A,0)),"")</f>
        <v>46</v>
      </c>
      <c r="O541" s="5" t="str">
        <f t="shared" si="3"/>
        <v>Advance</v>
      </c>
      <c r="P541" s="5" t="str">
        <f t="shared" si="4"/>
        <v>Bengaluru -&gt; Hyderabad</v>
      </c>
    </row>
    <row r="542" ht="15.75" customHeight="1">
      <c r="A542" s="5" t="s">
        <v>1916</v>
      </c>
      <c r="B542" s="5" t="s">
        <v>757</v>
      </c>
      <c r="C542" s="5" t="s">
        <v>423</v>
      </c>
      <c r="D542" s="5" t="s">
        <v>43</v>
      </c>
      <c r="E542" s="6" t="str">
        <f t="array" ref="E542">IFERROR(INDEX(Airlines!$B:$B,MATCH(D542,Airlines!$A:$A,0)),"")</f>
        <v>Indigo</v>
      </c>
      <c r="F542" s="6" t="str">
        <f>VLOOKUP(A542,Bookings!$A:$F,6,FALSE())</f>
        <v>Economy</v>
      </c>
      <c r="G542" s="6" t="str">
        <f t="array" ref="G542">IFERROR(INDEX(Flights!$E:$E,MATCH(B542,Flights!$A:$A,0)),"")</f>
        <v>Bengaluru</v>
      </c>
      <c r="H542" s="6" t="str">
        <f>VLOOKUP(B542,Flights!A:H,6,FALSE())</f>
        <v>Hyderabad</v>
      </c>
      <c r="I542" s="6" t="str">
        <f t="array" ref="I542">IFERROR(INDEX(Bookings!$G:$G,MATCH(B542,Bookings!$B:$B,0)),"")</f>
        <v>1</v>
      </c>
      <c r="J542" s="5">
        <f>VLOOKUP(B542,Bookings!B:H,7,FALSE())</f>
        <v>6.17</v>
      </c>
      <c r="K542" s="5" t="str">
        <f t="shared" si="1"/>
        <v>Medium</v>
      </c>
      <c r="L542" s="11">
        <f t="array" ref="L542">IFERROR(INDEX(Bookings!$K:$K,MATCH(A542,Bookings!$A:$A,0)),"")</f>
        <v>1694</v>
      </c>
      <c r="M542" s="5" t="str">
        <f t="shared" si="2"/>
        <v>Low</v>
      </c>
      <c r="N542" s="5">
        <f t="array" ref="N542">IFERROR(INDEX(Bookings!$I:$I,MATCH(A542,Bookings!$A:$A,0)),"")</f>
        <v>46</v>
      </c>
      <c r="O542" s="5" t="str">
        <f t="shared" si="3"/>
        <v>Advance</v>
      </c>
      <c r="P542" s="5" t="str">
        <f t="shared" si="4"/>
        <v>Bengaluru -&gt; Hyderabad</v>
      </c>
    </row>
    <row r="543" ht="15.75" customHeight="1">
      <c r="A543" s="5" t="s">
        <v>1918</v>
      </c>
      <c r="B543" s="5" t="s">
        <v>680</v>
      </c>
      <c r="C543" s="5" t="s">
        <v>423</v>
      </c>
      <c r="D543" s="5" t="s">
        <v>43</v>
      </c>
      <c r="E543" s="6" t="str">
        <f t="array" ref="E543">IFERROR(INDEX(Airlines!$B:$B,MATCH(D543,Airlines!$A:$A,0)),"")</f>
        <v>Indigo</v>
      </c>
      <c r="F543" s="6" t="str">
        <f>VLOOKUP(A543,Bookings!$A:$F,6,FALSE())</f>
        <v>Economy</v>
      </c>
      <c r="G543" s="6" t="str">
        <f t="array" ref="G543">IFERROR(INDEX(Flights!$E:$E,MATCH(B543,Flights!$A:$A,0)),"")</f>
        <v>Bengaluru</v>
      </c>
      <c r="H543" s="6" t="str">
        <f>VLOOKUP(B543,Flights!A:H,6,FALSE())</f>
        <v>Hyderabad</v>
      </c>
      <c r="I543" s="6" t="str">
        <f t="array" ref="I543">IFERROR(INDEX(Bookings!$G:$G,MATCH(B543,Bookings!$B:$B,0)),"")</f>
        <v>0</v>
      </c>
      <c r="J543" s="5">
        <f>VLOOKUP(B543,Bookings!B:H,7,FALSE())</f>
        <v>1.17</v>
      </c>
      <c r="K543" s="5" t="str">
        <f t="shared" si="1"/>
        <v>Short</v>
      </c>
      <c r="L543" s="11">
        <f t="array" ref="L543">IFERROR(INDEX(Bookings!$K:$K,MATCH(A543,Bookings!$A:$A,0)),"")</f>
        <v>2343</v>
      </c>
      <c r="M543" s="5" t="str">
        <f t="shared" si="2"/>
        <v>Low</v>
      </c>
      <c r="N543" s="5">
        <f t="array" ref="N543">IFERROR(INDEX(Bookings!$I:$I,MATCH(A543,Bookings!$A:$A,0)),"")</f>
        <v>46</v>
      </c>
      <c r="O543" s="5" t="str">
        <f t="shared" si="3"/>
        <v>Advance</v>
      </c>
      <c r="P543" s="5" t="str">
        <f t="shared" si="4"/>
        <v>Bengaluru -&gt; Hyderabad</v>
      </c>
    </row>
    <row r="544" ht="15.75" customHeight="1">
      <c r="A544" s="5" t="s">
        <v>1920</v>
      </c>
      <c r="B544" s="5" t="s">
        <v>667</v>
      </c>
      <c r="C544" s="5" t="s">
        <v>423</v>
      </c>
      <c r="D544" s="5" t="s">
        <v>58</v>
      </c>
      <c r="E544" s="6" t="str">
        <f t="array" ref="E544">IFERROR(INDEX(Airlines!$B:$B,MATCH(D544,Airlines!$A:$A,0)),"")</f>
        <v>Go_First</v>
      </c>
      <c r="F544" s="6" t="str">
        <f>VLOOKUP(A544,Bookings!$A:$F,6,FALSE())</f>
        <v>Economy</v>
      </c>
      <c r="G544" s="6" t="str">
        <f t="array" ref="G544">IFERROR(INDEX(Flights!$E:$E,MATCH(B544,Flights!$A:$A,0)),"")</f>
        <v>Bengaluru</v>
      </c>
      <c r="H544" s="6" t="str">
        <f>VLOOKUP(B544,Flights!A:H,6,FALSE())</f>
        <v>Hyderabad</v>
      </c>
      <c r="I544" s="6" t="str">
        <f t="array" ref="I544">IFERROR(INDEX(Bookings!$G:$G,MATCH(B544,Bookings!$B:$B,0)),"")</f>
        <v>1</v>
      </c>
      <c r="J544" s="5">
        <f>VLOOKUP(B544,Bookings!B:H,7,FALSE())</f>
        <v>8.42</v>
      </c>
      <c r="K544" s="5" t="str">
        <f t="shared" si="1"/>
        <v>Medium</v>
      </c>
      <c r="L544" s="11">
        <f t="array" ref="L544">IFERROR(INDEX(Bookings!$K:$K,MATCH(A544,Bookings!$A:$A,0)),"")</f>
        <v>4366</v>
      </c>
      <c r="M544" s="5" t="str">
        <f t="shared" si="2"/>
        <v>Low</v>
      </c>
      <c r="N544" s="5">
        <f t="array" ref="N544">IFERROR(INDEX(Bookings!$I:$I,MATCH(A544,Bookings!$A:$A,0)),"")</f>
        <v>46</v>
      </c>
      <c r="O544" s="5" t="str">
        <f t="shared" si="3"/>
        <v>Advance</v>
      </c>
      <c r="P544" s="5" t="str">
        <f t="shared" si="4"/>
        <v>Bengaluru -&gt; Hyderabad</v>
      </c>
    </row>
    <row r="545" ht="15.75" customHeight="1">
      <c r="A545" s="5" t="s">
        <v>1922</v>
      </c>
      <c r="B545" s="5" t="s">
        <v>659</v>
      </c>
      <c r="C545" s="5" t="s">
        <v>423</v>
      </c>
      <c r="D545" s="5" t="s">
        <v>45</v>
      </c>
      <c r="E545" s="6" t="str">
        <f t="array" ref="E545">IFERROR(INDEX(Airlines!$B:$B,MATCH(D545,Airlines!$A:$A,0)),"")</f>
        <v>Air_India</v>
      </c>
      <c r="F545" s="6" t="str">
        <f>VLOOKUP(A545,Bookings!$A:$F,6,FALSE())</f>
        <v>Economy</v>
      </c>
      <c r="G545" s="6" t="str">
        <f t="array" ref="G545">IFERROR(INDEX(Flights!$E:$E,MATCH(B545,Flights!$A:$A,0)),"")</f>
        <v>Bengaluru</v>
      </c>
      <c r="H545" s="6" t="str">
        <f>VLOOKUP(B545,Flights!A:H,6,FALSE())</f>
        <v>Hyderabad</v>
      </c>
      <c r="I545" s="6" t="str">
        <f t="array" ref="I545">IFERROR(INDEX(Bookings!$G:$G,MATCH(B545,Bookings!$B:$B,0)),"")</f>
        <v>1</v>
      </c>
      <c r="J545" s="5">
        <f>VLOOKUP(B545,Bookings!B:H,7,FALSE())</f>
        <v>26.83</v>
      </c>
      <c r="K545" s="5" t="str">
        <f t="shared" si="1"/>
        <v>Long</v>
      </c>
      <c r="L545" s="11">
        <f t="array" ref="L545">IFERROR(INDEX(Bookings!$K:$K,MATCH(A545,Bookings!$A:$A,0)),"")</f>
        <v>6200</v>
      </c>
      <c r="M545" s="5" t="str">
        <f t="shared" si="2"/>
        <v>Medium</v>
      </c>
      <c r="N545" s="5">
        <f t="array" ref="N545">IFERROR(INDEX(Bookings!$I:$I,MATCH(A545,Bookings!$A:$A,0)),"")</f>
        <v>46</v>
      </c>
      <c r="O545" s="5" t="str">
        <f t="shared" si="3"/>
        <v>Advance</v>
      </c>
      <c r="P545" s="5" t="str">
        <f t="shared" si="4"/>
        <v>Bengaluru -&gt; Hyderabad</v>
      </c>
    </row>
    <row r="546" ht="15.75" customHeight="1">
      <c r="A546" s="5" t="s">
        <v>1923</v>
      </c>
      <c r="B546" s="5" t="s">
        <v>709</v>
      </c>
      <c r="C546" s="5" t="s">
        <v>423</v>
      </c>
      <c r="D546" s="5" t="s">
        <v>20</v>
      </c>
      <c r="E546" s="6" t="str">
        <f t="array" ref="E546">IFERROR(INDEX(Airlines!$B:$B,MATCH(D546,Airlines!$A:$A,0)),"")</f>
        <v>Vistara</v>
      </c>
      <c r="F546" s="6" t="str">
        <f>VLOOKUP(A546,Bookings!$A:$F,6,FALSE())</f>
        <v>Business</v>
      </c>
      <c r="G546" s="6" t="str">
        <f t="array" ref="G546">IFERROR(INDEX(Flights!$E:$E,MATCH(B546,Flights!$A:$A,0)),"")</f>
        <v>Bengaluru</v>
      </c>
      <c r="H546" s="6" t="str">
        <f>VLOOKUP(B546,Flights!A:H,6,FALSE())</f>
        <v>Hyderabad</v>
      </c>
      <c r="I546" s="6" t="str">
        <f t="array" ref="I546">IFERROR(INDEX(Bookings!$G:$G,MATCH(B546,Bookings!$B:$B,0)),"")</f>
        <v>1</v>
      </c>
      <c r="J546" s="5">
        <f>VLOOKUP(B546,Bookings!B:H,7,FALSE())</f>
        <v>12.83</v>
      </c>
      <c r="K546" s="5" t="str">
        <f t="shared" si="1"/>
        <v>Long</v>
      </c>
      <c r="L546" s="11">
        <f t="array" ref="L546">IFERROR(INDEX(Bookings!$K:$K,MATCH(A546,Bookings!$A:$A,0)),"")</f>
        <v>56588</v>
      </c>
      <c r="M546" s="5" t="str">
        <f t="shared" si="2"/>
        <v>High</v>
      </c>
      <c r="N546" s="5">
        <f t="array" ref="N546">IFERROR(INDEX(Bookings!$I:$I,MATCH(A546,Bookings!$A:$A,0)),"")</f>
        <v>48</v>
      </c>
      <c r="O546" s="5" t="str">
        <f t="shared" si="3"/>
        <v>Advance</v>
      </c>
      <c r="P546" s="5" t="str">
        <f t="shared" si="4"/>
        <v>Bengaluru -&gt; Hyderabad</v>
      </c>
    </row>
    <row r="547" ht="15.75" customHeight="1">
      <c r="A547" s="5" t="s">
        <v>1925</v>
      </c>
      <c r="B547" s="5" t="s">
        <v>754</v>
      </c>
      <c r="C547" s="5" t="s">
        <v>423</v>
      </c>
      <c r="D547" s="5" t="s">
        <v>45</v>
      </c>
      <c r="E547" s="6" t="str">
        <f t="array" ref="E547">IFERROR(INDEX(Airlines!$B:$B,MATCH(D547,Airlines!$A:$A,0)),"")</f>
        <v>Air_India</v>
      </c>
      <c r="F547" s="6" t="str">
        <f>VLOOKUP(A547,Bookings!$A:$F,6,FALSE())</f>
        <v>Economy</v>
      </c>
      <c r="G547" s="6" t="str">
        <f t="array" ref="G547">IFERROR(INDEX(Flights!$E:$E,MATCH(B547,Flights!$A:$A,0)),"")</f>
        <v>Bengaluru</v>
      </c>
      <c r="H547" s="6" t="str">
        <f>VLOOKUP(B547,Flights!A:H,6,FALSE())</f>
        <v>Hyderabad</v>
      </c>
      <c r="I547" s="6" t="str">
        <f t="array" ref="I547">IFERROR(INDEX(Bookings!$G:$G,MATCH(B547,Bookings!$B:$B,0)),"")</f>
        <v>1</v>
      </c>
      <c r="J547" s="5">
        <f>VLOOKUP(B547,Bookings!B:H,7,FALSE())</f>
        <v>22.08</v>
      </c>
      <c r="K547" s="5" t="str">
        <f t="shared" si="1"/>
        <v>Long</v>
      </c>
      <c r="L547" s="11">
        <f t="array" ref="L547">IFERROR(INDEX(Bookings!$K:$K,MATCH(A547,Bookings!$A:$A,0)),"")</f>
        <v>3174</v>
      </c>
      <c r="M547" s="5" t="str">
        <f t="shared" si="2"/>
        <v>Low</v>
      </c>
      <c r="N547" s="5">
        <f t="array" ref="N547">IFERROR(INDEX(Bookings!$I:$I,MATCH(A547,Bookings!$A:$A,0)),"")</f>
        <v>47</v>
      </c>
      <c r="O547" s="5" t="str">
        <f t="shared" si="3"/>
        <v>Advance</v>
      </c>
      <c r="P547" s="5" t="str">
        <f t="shared" si="4"/>
        <v>Bengaluru -&gt; Hyderabad</v>
      </c>
    </row>
    <row r="548" ht="15.75" customHeight="1">
      <c r="A548" s="5" t="s">
        <v>1926</v>
      </c>
      <c r="B548" s="5" t="s">
        <v>782</v>
      </c>
      <c r="C548" s="5" t="s">
        <v>452</v>
      </c>
      <c r="D548" s="5" t="s">
        <v>20</v>
      </c>
      <c r="E548" s="6" t="str">
        <f t="array" ref="E548">IFERROR(INDEX(Airlines!$B:$B,MATCH(D548,Airlines!$A:$A,0)),"")</f>
        <v>Vistara</v>
      </c>
      <c r="F548" s="6" t="str">
        <f>VLOOKUP(A548,Bookings!$A:$F,6,FALSE())</f>
        <v>Economy</v>
      </c>
      <c r="G548" s="6" t="str">
        <f t="array" ref="G548">IFERROR(INDEX(Flights!$E:$E,MATCH(B548,Flights!$A:$A,0)),"")</f>
        <v>Bengaluru</v>
      </c>
      <c r="H548" s="6" t="str">
        <f>VLOOKUP(B548,Flights!A:H,6,FALSE())</f>
        <v>Chennai</v>
      </c>
      <c r="I548" s="6" t="str">
        <f t="array" ref="I548">IFERROR(INDEX(Bookings!$G:$G,MATCH(B548,Bookings!$B:$B,0)),"")</f>
        <v>1</v>
      </c>
      <c r="J548" s="5">
        <f>VLOOKUP(B548,Bookings!B:H,7,FALSE())</f>
        <v>25.42</v>
      </c>
      <c r="K548" s="5" t="str">
        <f t="shared" si="1"/>
        <v>Long</v>
      </c>
      <c r="L548" s="11">
        <f t="array" ref="L548">IFERROR(INDEX(Bookings!$K:$K,MATCH(A548,Bookings!$A:$A,0)),"")</f>
        <v>12454</v>
      </c>
      <c r="M548" s="5" t="str">
        <f t="shared" si="2"/>
        <v>Medium</v>
      </c>
      <c r="N548" s="5">
        <f t="array" ref="N548">IFERROR(INDEX(Bookings!$I:$I,MATCH(A548,Bookings!$A:$A,0)),"")</f>
        <v>1</v>
      </c>
      <c r="O548" s="5" t="str">
        <f t="shared" si="3"/>
        <v>Last Minute</v>
      </c>
      <c r="P548" s="5" t="str">
        <f t="shared" si="4"/>
        <v>Bengaluru -&gt; Chennai</v>
      </c>
    </row>
    <row r="549" ht="15.75" customHeight="1">
      <c r="A549" s="5" t="s">
        <v>1927</v>
      </c>
      <c r="B549" s="5" t="s">
        <v>814</v>
      </c>
      <c r="C549" s="5" t="s">
        <v>452</v>
      </c>
      <c r="D549" s="5" t="s">
        <v>20</v>
      </c>
      <c r="E549" s="6" t="str">
        <f t="array" ref="E549">IFERROR(INDEX(Airlines!$B:$B,MATCH(D549,Airlines!$A:$A,0)),"")</f>
        <v>Vistara</v>
      </c>
      <c r="F549" s="6" t="str">
        <f>VLOOKUP(A549,Bookings!$A:$F,6,FALSE())</f>
        <v>Economy</v>
      </c>
      <c r="G549" s="6" t="str">
        <f t="array" ref="G549">IFERROR(INDEX(Flights!$E:$E,MATCH(B549,Flights!$A:$A,0)),"")</f>
        <v>Bengaluru</v>
      </c>
      <c r="H549" s="6" t="str">
        <f>VLOOKUP(B549,Flights!A:H,6,FALSE())</f>
        <v>Chennai</v>
      </c>
      <c r="I549" s="6" t="str">
        <f t="array" ref="I549">IFERROR(INDEX(Bookings!$G:$G,MATCH(B549,Bookings!$B:$B,0)),"")</f>
        <v>1</v>
      </c>
      <c r="J549" s="5">
        <f>VLOOKUP(B549,Bookings!B:H,7,FALSE())</f>
        <v>28.92</v>
      </c>
      <c r="K549" s="5" t="str">
        <f t="shared" si="1"/>
        <v>Long</v>
      </c>
      <c r="L549" s="11">
        <f t="array" ref="L549">IFERROR(INDEX(Bookings!$K:$K,MATCH(A549,Bookings!$A:$A,0)),"")</f>
        <v>12454</v>
      </c>
      <c r="M549" s="5" t="str">
        <f t="shared" si="2"/>
        <v>Medium</v>
      </c>
      <c r="N549" s="5">
        <f t="array" ref="N549">IFERROR(INDEX(Bookings!$I:$I,MATCH(A549,Bookings!$A:$A,0)),"")</f>
        <v>2</v>
      </c>
      <c r="O549" s="5" t="str">
        <f t="shared" si="3"/>
        <v>Last Minute</v>
      </c>
      <c r="P549" s="5" t="str">
        <f t="shared" si="4"/>
        <v>Bengaluru -&gt; Chennai</v>
      </c>
    </row>
    <row r="550" ht="15.75" customHeight="1">
      <c r="A550" s="5" t="s">
        <v>1929</v>
      </c>
      <c r="B550" s="5" t="s">
        <v>896</v>
      </c>
      <c r="C550" s="5" t="s">
        <v>452</v>
      </c>
      <c r="D550" s="5" t="s">
        <v>45</v>
      </c>
      <c r="E550" s="6" t="str">
        <f t="array" ref="E550">IFERROR(INDEX(Airlines!$B:$B,MATCH(D550,Airlines!$A:$A,0)),"")</f>
        <v>Air_India</v>
      </c>
      <c r="F550" s="6" t="str">
        <f>VLOOKUP(A550,Bookings!$A:$F,6,FALSE())</f>
        <v>Economy</v>
      </c>
      <c r="G550" s="6" t="str">
        <f t="array" ref="G550">IFERROR(INDEX(Flights!$E:$E,MATCH(B550,Flights!$A:$A,0)),"")</f>
        <v>Bengaluru</v>
      </c>
      <c r="H550" s="6" t="str">
        <f>VLOOKUP(B550,Flights!A:H,6,FALSE())</f>
        <v>Chennai</v>
      </c>
      <c r="I550" s="6" t="str">
        <f t="array" ref="I550">IFERROR(INDEX(Bookings!$G:$G,MATCH(B550,Bookings!$B:$B,0)),"")</f>
        <v>1</v>
      </c>
      <c r="J550" s="5">
        <f>VLOOKUP(B550,Bookings!B:H,7,FALSE())</f>
        <v>10.25</v>
      </c>
      <c r="K550" s="5" t="str">
        <f t="shared" si="1"/>
        <v>Long</v>
      </c>
      <c r="L550" s="11">
        <f t="array" ref="L550">IFERROR(INDEX(Bookings!$K:$K,MATCH(A550,Bookings!$A:$A,0)),"")</f>
        <v>6444</v>
      </c>
      <c r="M550" s="5" t="str">
        <f t="shared" si="2"/>
        <v>Medium</v>
      </c>
      <c r="N550" s="5">
        <f t="array" ref="N550">IFERROR(INDEX(Bookings!$I:$I,MATCH(A550,Bookings!$A:$A,0)),"")</f>
        <v>36</v>
      </c>
      <c r="O550" s="5" t="str">
        <f t="shared" si="3"/>
        <v>Advance</v>
      </c>
      <c r="P550" s="5" t="str">
        <f t="shared" si="4"/>
        <v>Bengaluru -&gt; Chennai</v>
      </c>
    </row>
    <row r="551" ht="15.75" customHeight="1">
      <c r="A551" s="5" t="s">
        <v>1931</v>
      </c>
      <c r="B551" s="5" t="s">
        <v>847</v>
      </c>
      <c r="C551" s="5" t="s">
        <v>452</v>
      </c>
      <c r="D551" s="5" t="s">
        <v>20</v>
      </c>
      <c r="E551" s="6" t="str">
        <f t="array" ref="E551">IFERROR(INDEX(Airlines!$B:$B,MATCH(D551,Airlines!$A:$A,0)),"")</f>
        <v>Vistara</v>
      </c>
      <c r="F551" s="6" t="str">
        <f>VLOOKUP(A551,Bookings!$A:$F,6,FALSE())</f>
        <v>Economy</v>
      </c>
      <c r="G551" s="6" t="str">
        <f t="array" ref="G551">IFERROR(INDEX(Flights!$E:$E,MATCH(B551,Flights!$A:$A,0)),"")</f>
        <v>Bengaluru</v>
      </c>
      <c r="H551" s="6" t="str">
        <f>VLOOKUP(B551,Flights!A:H,6,FALSE())</f>
        <v>Chennai</v>
      </c>
      <c r="I551" s="6">
        <f t="array" ref="I551">IFERROR(INDEX(Bookings!$G:$G,MATCH(B551,Bookings!$B:$B,0)),"")</f>
        <v>1</v>
      </c>
      <c r="J551" s="5">
        <f>VLOOKUP(B551,Bookings!B:H,7,FALSE())</f>
        <v>22.42</v>
      </c>
      <c r="K551" s="5" t="str">
        <f t="shared" si="1"/>
        <v>Long</v>
      </c>
      <c r="L551" s="11">
        <f t="array" ref="L551">IFERROR(INDEX(Bookings!$K:$K,MATCH(A551,Bookings!$A:$A,0)),"")</f>
        <v>6161</v>
      </c>
      <c r="M551" s="5" t="str">
        <f t="shared" si="2"/>
        <v>Medium</v>
      </c>
      <c r="N551" s="5">
        <f t="array" ref="N551">IFERROR(INDEX(Bookings!$I:$I,MATCH(A551,Bookings!$A:$A,0)),"")</f>
        <v>28</v>
      </c>
      <c r="O551" s="5" t="str">
        <f t="shared" si="3"/>
        <v>Moderate</v>
      </c>
      <c r="P551" s="5" t="str">
        <f t="shared" si="4"/>
        <v>Bengaluru -&gt; Chennai</v>
      </c>
    </row>
    <row r="552" ht="15.75" customHeight="1">
      <c r="A552" s="5" t="s">
        <v>1932</v>
      </c>
      <c r="B552" s="5" t="s">
        <v>928</v>
      </c>
      <c r="C552" s="5" t="s">
        <v>452</v>
      </c>
      <c r="D552" s="5" t="s">
        <v>45</v>
      </c>
      <c r="E552" s="6" t="str">
        <f t="array" ref="E552">IFERROR(INDEX(Airlines!$B:$B,MATCH(D552,Airlines!$A:$A,0)),"")</f>
        <v>Air_India</v>
      </c>
      <c r="F552" s="6" t="str">
        <f>VLOOKUP(A552,Bookings!$A:$F,6,FALSE())</f>
        <v>Economy</v>
      </c>
      <c r="G552" s="6" t="str">
        <f t="array" ref="G552">IFERROR(INDEX(Flights!$E:$E,MATCH(B552,Flights!$A:$A,0)),"")</f>
        <v>Bengaluru</v>
      </c>
      <c r="H552" s="6" t="str">
        <f>VLOOKUP(B552,Flights!A:H,6,FALSE())</f>
        <v>Chennai</v>
      </c>
      <c r="I552" s="6" t="str">
        <f t="array" ref="I552">IFERROR(INDEX(Bookings!$G:$G,MATCH(B552,Bookings!$B:$B,0)),"")</f>
        <v>1</v>
      </c>
      <c r="J552" s="5">
        <f>VLOOKUP(B552,Bookings!B:H,7,FALSE())</f>
        <v>25.17</v>
      </c>
      <c r="K552" s="5" t="str">
        <f t="shared" si="1"/>
        <v>Long</v>
      </c>
      <c r="L552" s="11">
        <f t="array" ref="L552">IFERROR(INDEX(Bookings!$K:$K,MATCH(A552,Bookings!$A:$A,0)),"")</f>
        <v>15364</v>
      </c>
      <c r="M552" s="5" t="str">
        <f t="shared" si="2"/>
        <v>Medium</v>
      </c>
      <c r="N552" s="5">
        <f t="array" ref="N552">IFERROR(INDEX(Bookings!$I:$I,MATCH(A552,Bookings!$A:$A,0)),"")</f>
        <v>1</v>
      </c>
      <c r="O552" s="5" t="str">
        <f t="shared" si="3"/>
        <v>Last Minute</v>
      </c>
      <c r="P552" s="5" t="str">
        <f t="shared" si="4"/>
        <v>Bengaluru -&gt; Chennai</v>
      </c>
    </row>
    <row r="553" ht="15.75" customHeight="1">
      <c r="A553" s="5" t="s">
        <v>1935</v>
      </c>
      <c r="B553" s="5" t="s">
        <v>865</v>
      </c>
      <c r="C553" s="5" t="s">
        <v>452</v>
      </c>
      <c r="D553" s="5" t="s">
        <v>45</v>
      </c>
      <c r="E553" s="6" t="str">
        <f t="array" ref="E553">IFERROR(INDEX(Airlines!$B:$B,MATCH(D553,Airlines!$A:$A,0)),"")</f>
        <v>Air_India</v>
      </c>
      <c r="F553" s="6" t="str">
        <f>VLOOKUP(A553,Bookings!$A:$F,6,FALSE())</f>
        <v>Business</v>
      </c>
      <c r="G553" s="6" t="str">
        <f t="array" ref="G553">IFERROR(INDEX(Flights!$E:$E,MATCH(B553,Flights!$A:$A,0)),"")</f>
        <v>Bengaluru</v>
      </c>
      <c r="H553" s="6" t="str">
        <f>VLOOKUP(B553,Flights!A:H,6,FALSE())</f>
        <v>Chennai</v>
      </c>
      <c r="I553" s="6" t="str">
        <f t="array" ref="I553">IFERROR(INDEX(Bookings!$G:$G,MATCH(B553,Bookings!$B:$B,0)),"")</f>
        <v>1</v>
      </c>
      <c r="J553" s="5">
        <f>VLOOKUP(B553,Bookings!B:H,7,FALSE())</f>
        <v>26.58</v>
      </c>
      <c r="K553" s="5" t="str">
        <f t="shared" si="1"/>
        <v>Long</v>
      </c>
      <c r="L553" s="11">
        <f t="array" ref="L553">IFERROR(INDEX(Bookings!$K:$K,MATCH(A553,Bookings!$A:$A,0)),"")</f>
        <v>65445</v>
      </c>
      <c r="M553" s="5" t="str">
        <f t="shared" si="2"/>
        <v>High</v>
      </c>
      <c r="N553" s="5">
        <f t="array" ref="N553">IFERROR(INDEX(Bookings!$I:$I,MATCH(A553,Bookings!$A:$A,0)),"")</f>
        <v>1</v>
      </c>
      <c r="O553" s="5" t="str">
        <f t="shared" si="3"/>
        <v>Last Minute</v>
      </c>
      <c r="P553" s="5" t="str">
        <f t="shared" si="4"/>
        <v>Bengaluru -&gt; Chennai</v>
      </c>
    </row>
    <row r="554" ht="15.75" customHeight="1">
      <c r="A554" s="5" t="s">
        <v>1937</v>
      </c>
      <c r="B554" s="5" t="s">
        <v>857</v>
      </c>
      <c r="C554" s="5" t="s">
        <v>452</v>
      </c>
      <c r="D554" s="5" t="s">
        <v>45</v>
      </c>
      <c r="E554" s="6" t="str">
        <f t="array" ref="E554">IFERROR(INDEX(Airlines!$B:$B,MATCH(D554,Airlines!$A:$A,0)),"")</f>
        <v>Air_India</v>
      </c>
      <c r="F554" s="6" t="str">
        <f>VLOOKUP(A554,Bookings!$A:$F,6,FALSE())</f>
        <v>Business</v>
      </c>
      <c r="G554" s="6" t="str">
        <f t="array" ref="G554">IFERROR(INDEX(Flights!$E:$E,MATCH(B554,Flights!$A:$A,0)),"")</f>
        <v>Bengaluru</v>
      </c>
      <c r="H554" s="6" t="str">
        <f>VLOOKUP(B554,Flights!A:H,6,FALSE())</f>
        <v>Chennai</v>
      </c>
      <c r="I554" s="6" t="str">
        <f t="array" ref="I554">IFERROR(INDEX(Bookings!$G:$G,MATCH(B554,Bookings!$B:$B,0)),"")</f>
        <v>1</v>
      </c>
      <c r="J554" s="5">
        <f>VLOOKUP(B554,Bookings!B:H,7,FALSE())</f>
        <v>19.58</v>
      </c>
      <c r="K554" s="5" t="str">
        <f t="shared" si="1"/>
        <v>Long</v>
      </c>
      <c r="L554" s="11">
        <f t="array" ref="L554">IFERROR(INDEX(Bookings!$K:$K,MATCH(A554,Bookings!$A:$A,0)),"")</f>
        <v>60396</v>
      </c>
      <c r="M554" s="5" t="str">
        <f t="shared" si="2"/>
        <v>High</v>
      </c>
      <c r="N554" s="5">
        <f t="array" ref="N554">IFERROR(INDEX(Bookings!$I:$I,MATCH(A554,Bookings!$A:$A,0)),"")</f>
        <v>42</v>
      </c>
      <c r="O554" s="5" t="str">
        <f t="shared" si="3"/>
        <v>Advance</v>
      </c>
      <c r="P554" s="5" t="str">
        <f t="shared" si="4"/>
        <v>Bengaluru -&gt; Chennai</v>
      </c>
    </row>
    <row r="555" ht="15.75" customHeight="1">
      <c r="A555" s="5" t="s">
        <v>1940</v>
      </c>
      <c r="B555" s="5" t="s">
        <v>923</v>
      </c>
      <c r="C555" s="5" t="s">
        <v>452</v>
      </c>
      <c r="D555" s="5" t="s">
        <v>45</v>
      </c>
      <c r="E555" s="6" t="str">
        <f t="array" ref="E555">IFERROR(INDEX(Airlines!$B:$B,MATCH(D555,Airlines!$A:$A,0)),"")</f>
        <v>Air_India</v>
      </c>
      <c r="F555" s="6" t="str">
        <f>VLOOKUP(A555,Bookings!$A:$F,6,FALSE())</f>
        <v>Business</v>
      </c>
      <c r="G555" s="6" t="str">
        <f t="array" ref="G555">IFERROR(INDEX(Flights!$E:$E,MATCH(B555,Flights!$A:$A,0)),"")</f>
        <v>Bengaluru</v>
      </c>
      <c r="H555" s="6" t="str">
        <f>VLOOKUP(B555,Flights!A:H,6,FALSE())</f>
        <v>Chennai</v>
      </c>
      <c r="I555" s="6" t="str">
        <f t="array" ref="I555">IFERROR(INDEX(Bookings!$G:$G,MATCH(B555,Bookings!$B:$B,0)),"")</f>
        <v>1</v>
      </c>
      <c r="J555" s="5">
        <f>VLOOKUP(B555,Bookings!B:H,7,FALSE())</f>
        <v>22.5</v>
      </c>
      <c r="K555" s="5" t="str">
        <f t="shared" si="1"/>
        <v>Long</v>
      </c>
      <c r="L555" s="11">
        <f t="array" ref="L555">IFERROR(INDEX(Bookings!$K:$K,MATCH(A555,Bookings!$A:$A,0)),"")</f>
        <v>60396</v>
      </c>
      <c r="M555" s="5" t="str">
        <f t="shared" si="2"/>
        <v>High</v>
      </c>
      <c r="N555" s="5">
        <f t="array" ref="N555">IFERROR(INDEX(Bookings!$I:$I,MATCH(A555,Bookings!$A:$A,0)),"")</f>
        <v>20</v>
      </c>
      <c r="O555" s="5" t="str">
        <f t="shared" si="3"/>
        <v>Moderate</v>
      </c>
      <c r="P555" s="5" t="str">
        <f t="shared" si="4"/>
        <v>Bengaluru -&gt; Chennai</v>
      </c>
    </row>
    <row r="556" ht="15.75" customHeight="1">
      <c r="A556" s="5" t="s">
        <v>1941</v>
      </c>
      <c r="B556" s="5" t="s">
        <v>817</v>
      </c>
      <c r="C556" s="5" t="s">
        <v>452</v>
      </c>
      <c r="D556" s="5" t="s">
        <v>20</v>
      </c>
      <c r="E556" s="6" t="str">
        <f t="array" ref="E556">IFERROR(INDEX(Airlines!$B:$B,MATCH(D556,Airlines!$A:$A,0)),"")</f>
        <v>Vistara</v>
      </c>
      <c r="F556" s="6" t="str">
        <f>VLOOKUP(A556,Bookings!$A:$F,6,FALSE())</f>
        <v>Economy</v>
      </c>
      <c r="G556" s="6" t="str">
        <f t="array" ref="G556">IFERROR(INDEX(Flights!$E:$E,MATCH(B556,Flights!$A:$A,0)),"")</f>
        <v>Bengaluru</v>
      </c>
      <c r="H556" s="6" t="str">
        <f>VLOOKUP(B556,Flights!A:H,6,FALSE())</f>
        <v>Chennai</v>
      </c>
      <c r="I556" s="6" t="str">
        <f t="array" ref="I556">IFERROR(INDEX(Bookings!$G:$G,MATCH(B556,Bookings!$B:$B,0)),"")</f>
        <v>1</v>
      </c>
      <c r="J556" s="5">
        <f>VLOOKUP(B556,Bookings!B:H,7,FALSE())</f>
        <v>15.92</v>
      </c>
      <c r="K556" s="5" t="str">
        <f t="shared" si="1"/>
        <v>Long</v>
      </c>
      <c r="L556" s="11">
        <f t="array" ref="L556">IFERROR(INDEX(Bookings!$K:$K,MATCH(A556,Bookings!$A:$A,0)),"")</f>
        <v>4792</v>
      </c>
      <c r="M556" s="5" t="str">
        <f t="shared" si="2"/>
        <v>Medium</v>
      </c>
      <c r="N556" s="5">
        <f t="array" ref="N556">IFERROR(INDEX(Bookings!$I:$I,MATCH(A556,Bookings!$A:$A,0)),"")</f>
        <v>46</v>
      </c>
      <c r="O556" s="5" t="str">
        <f t="shared" si="3"/>
        <v>Advance</v>
      </c>
      <c r="P556" s="5" t="str">
        <f t="shared" si="4"/>
        <v>Bengaluru -&gt; Chennai</v>
      </c>
    </row>
    <row r="557" ht="15.75" customHeight="1">
      <c r="A557" s="5" t="s">
        <v>1944</v>
      </c>
      <c r="B557" s="5" t="s">
        <v>876</v>
      </c>
      <c r="C557" s="5" t="s">
        <v>452</v>
      </c>
      <c r="D557" s="5" t="s">
        <v>72</v>
      </c>
      <c r="E557" s="6" t="str">
        <f t="array" ref="E557">IFERROR(INDEX(Airlines!$B:$B,MATCH(D557,Airlines!$A:$A,0)),"")</f>
        <v>Spicejet</v>
      </c>
      <c r="F557" s="6" t="str">
        <f>VLOOKUP(A557,Bookings!$A:$F,6,FALSE())</f>
        <v>Economy</v>
      </c>
      <c r="G557" s="6" t="str">
        <f t="array" ref="G557">IFERROR(INDEX(Flights!$E:$E,MATCH(B557,Flights!$A:$A,0)),"")</f>
        <v>Bengaluru</v>
      </c>
      <c r="H557" s="6" t="str">
        <f>VLOOKUP(B557,Flights!A:H,6,FALSE())</f>
        <v>Chennai</v>
      </c>
      <c r="I557" s="6" t="str">
        <f t="array" ref="I557">IFERROR(INDEX(Bookings!$G:$G,MATCH(B557,Bookings!$B:$B,0)),"")</f>
        <v>0</v>
      </c>
      <c r="J557" s="5">
        <f>VLOOKUP(B557,Bookings!B:H,7,FALSE())</f>
        <v>1.08</v>
      </c>
      <c r="K557" s="5" t="str">
        <f t="shared" si="1"/>
        <v>Short</v>
      </c>
      <c r="L557" s="11">
        <f t="array" ref="L557">IFERROR(INDEX(Bookings!$K:$K,MATCH(A557,Bookings!$A:$A,0)),"")</f>
        <v>1606</v>
      </c>
      <c r="M557" s="5" t="str">
        <f t="shared" si="2"/>
        <v>Low</v>
      </c>
      <c r="N557" s="5">
        <f t="array" ref="N557">IFERROR(INDEX(Bookings!$I:$I,MATCH(A557,Bookings!$A:$A,0)),"")</f>
        <v>39</v>
      </c>
      <c r="O557" s="5" t="str">
        <f t="shared" si="3"/>
        <v>Advance</v>
      </c>
      <c r="P557" s="5" t="str">
        <f t="shared" si="4"/>
        <v>Bengaluru -&gt; Chennai</v>
      </c>
    </row>
    <row r="558" ht="15.75" customHeight="1">
      <c r="A558" s="5" t="s">
        <v>1946</v>
      </c>
      <c r="B558" s="5" t="s">
        <v>829</v>
      </c>
      <c r="C558" s="5" t="s">
        <v>452</v>
      </c>
      <c r="D558" s="5" t="s">
        <v>45</v>
      </c>
      <c r="E558" s="6" t="str">
        <f t="array" ref="E558">IFERROR(INDEX(Airlines!$B:$B,MATCH(D558,Airlines!$A:$A,0)),"")</f>
        <v>Air_India</v>
      </c>
      <c r="F558" s="6" t="str">
        <f>VLOOKUP(A558,Bookings!$A:$F,6,FALSE())</f>
        <v>Economy</v>
      </c>
      <c r="G558" s="6" t="str">
        <f t="array" ref="G558">IFERROR(INDEX(Flights!$E:$E,MATCH(B558,Flights!$A:$A,0)),"")</f>
        <v>Bengaluru</v>
      </c>
      <c r="H558" s="6" t="str">
        <f>VLOOKUP(B558,Flights!A:H,6,FALSE())</f>
        <v>Chennai</v>
      </c>
      <c r="I558" s="6" t="str">
        <f t="array" ref="I558">IFERROR(INDEX(Bookings!$G:$G,MATCH(B558,Bookings!$B:$B,0)),"")</f>
        <v>2+</v>
      </c>
      <c r="J558" s="5">
        <f>VLOOKUP(B558,Bookings!B:H,7,FALSE())</f>
        <v>25.92</v>
      </c>
      <c r="K558" s="5" t="str">
        <f t="shared" si="1"/>
        <v>Long</v>
      </c>
      <c r="L558" s="11">
        <f t="array" ref="L558">IFERROR(INDEX(Bookings!$K:$K,MATCH(A558,Bookings!$A:$A,0)),"")</f>
        <v>5539</v>
      </c>
      <c r="M558" s="5" t="str">
        <f t="shared" si="2"/>
        <v>Medium</v>
      </c>
      <c r="N558" s="5">
        <f t="array" ref="N558">IFERROR(INDEX(Bookings!$I:$I,MATCH(A558,Bookings!$A:$A,0)),"")</f>
        <v>31</v>
      </c>
      <c r="O558" s="5" t="str">
        <f t="shared" si="3"/>
        <v>Advance</v>
      </c>
      <c r="P558" s="5" t="str">
        <f t="shared" si="4"/>
        <v>Bengaluru -&gt; Chennai</v>
      </c>
    </row>
    <row r="559" ht="15.75" customHeight="1">
      <c r="A559" s="5" t="s">
        <v>1949</v>
      </c>
      <c r="B559" s="5" t="s">
        <v>840</v>
      </c>
      <c r="C559" s="5" t="s">
        <v>452</v>
      </c>
      <c r="D559" s="5" t="s">
        <v>45</v>
      </c>
      <c r="E559" s="6" t="str">
        <f t="array" ref="E559">IFERROR(INDEX(Airlines!$B:$B,MATCH(D559,Airlines!$A:$A,0)),"")</f>
        <v>Air_India</v>
      </c>
      <c r="F559" s="6" t="str">
        <f>VLOOKUP(A559,Bookings!$A:$F,6,FALSE())</f>
        <v>Economy</v>
      </c>
      <c r="G559" s="6" t="str">
        <f t="array" ref="G559">IFERROR(INDEX(Flights!$E:$E,MATCH(B559,Flights!$A:$A,0)),"")</f>
        <v>Bengaluru</v>
      </c>
      <c r="H559" s="6" t="str">
        <f>VLOOKUP(B559,Flights!A:H,6,FALSE())</f>
        <v>Chennai</v>
      </c>
      <c r="I559" s="6" t="str">
        <f t="array" ref="I559">IFERROR(INDEX(Bookings!$G:$G,MATCH(B559,Bookings!$B:$B,0)),"")</f>
        <v>1</v>
      </c>
      <c r="J559" s="5">
        <f>VLOOKUP(B559,Bookings!B:H,7,FALSE())</f>
        <v>25.5</v>
      </c>
      <c r="K559" s="5" t="str">
        <f t="shared" si="1"/>
        <v>Long</v>
      </c>
      <c r="L559" s="11">
        <f t="array" ref="L559">IFERROR(INDEX(Bookings!$K:$K,MATCH(A559,Bookings!$A:$A,0)),"")</f>
        <v>3174</v>
      </c>
      <c r="M559" s="5" t="str">
        <f t="shared" si="2"/>
        <v>Low</v>
      </c>
      <c r="N559" s="5">
        <f t="array" ref="N559">IFERROR(INDEX(Bookings!$I:$I,MATCH(A559,Bookings!$A:$A,0)),"")</f>
        <v>33</v>
      </c>
      <c r="O559" s="5" t="str">
        <f t="shared" si="3"/>
        <v>Advance</v>
      </c>
      <c r="P559" s="5" t="str">
        <f t="shared" si="4"/>
        <v>Bengaluru -&gt; Chennai</v>
      </c>
    </row>
    <row r="560" ht="15.75" customHeight="1">
      <c r="A560" s="5" t="s">
        <v>1951</v>
      </c>
      <c r="B560" s="5" t="s">
        <v>915</v>
      </c>
      <c r="C560" s="5" t="s">
        <v>452</v>
      </c>
      <c r="D560" s="5" t="s">
        <v>72</v>
      </c>
      <c r="E560" s="6" t="str">
        <f t="array" ref="E560">IFERROR(INDEX(Airlines!$B:$B,MATCH(D560,Airlines!$A:$A,0)),"")</f>
        <v>Spicejet</v>
      </c>
      <c r="F560" s="6" t="str">
        <f>VLOOKUP(A560,Bookings!$A:$F,6,FALSE())</f>
        <v>Economy</v>
      </c>
      <c r="G560" s="6" t="str">
        <f t="array" ref="G560">IFERROR(INDEX(Flights!$E:$E,MATCH(B560,Flights!$A:$A,0)),"")</f>
        <v>Bengaluru</v>
      </c>
      <c r="H560" s="6" t="str">
        <f>VLOOKUP(B560,Flights!A:H,6,FALSE())</f>
        <v>Chennai</v>
      </c>
      <c r="I560" s="6" t="str">
        <f t="array" ref="I560">IFERROR(INDEX(Bookings!$G:$G,MATCH(B560,Bookings!$B:$B,0)),"")</f>
        <v>0</v>
      </c>
      <c r="J560" s="5">
        <f>VLOOKUP(B560,Bookings!B:H,7,FALSE())</f>
        <v>1.08</v>
      </c>
      <c r="K560" s="5" t="str">
        <f t="shared" si="1"/>
        <v>Short</v>
      </c>
      <c r="L560" s="11">
        <f t="array" ref="L560">IFERROR(INDEX(Bookings!$K:$K,MATCH(A560,Bookings!$A:$A,0)),"")</f>
        <v>3497</v>
      </c>
      <c r="M560" s="5" t="str">
        <f t="shared" si="2"/>
        <v>Low</v>
      </c>
      <c r="N560" s="5">
        <f t="array" ref="N560">IFERROR(INDEX(Bookings!$I:$I,MATCH(A560,Bookings!$A:$A,0)),"")</f>
        <v>13</v>
      </c>
      <c r="O560" s="5" t="str">
        <f t="shared" si="3"/>
        <v>Short Notice</v>
      </c>
      <c r="P560" s="5" t="str">
        <f t="shared" si="4"/>
        <v>Bengaluru -&gt; Chennai</v>
      </c>
    </row>
    <row r="561" ht="15.75" customHeight="1">
      <c r="A561" s="5" t="s">
        <v>1953</v>
      </c>
      <c r="B561" s="5" t="s">
        <v>861</v>
      </c>
      <c r="C561" s="5" t="s">
        <v>452</v>
      </c>
      <c r="D561" s="5" t="s">
        <v>20</v>
      </c>
      <c r="E561" s="6" t="str">
        <f t="array" ref="E561">IFERROR(INDEX(Airlines!$B:$B,MATCH(D561,Airlines!$A:$A,0)),"")</f>
        <v>Vistara</v>
      </c>
      <c r="F561" s="6" t="str">
        <f>VLOOKUP(A561,Bookings!$A:$F,6,FALSE())</f>
        <v>Economy</v>
      </c>
      <c r="G561" s="6" t="str">
        <f t="array" ref="G561">IFERROR(INDEX(Flights!$E:$E,MATCH(B561,Flights!$A:$A,0)),"")</f>
        <v>Bengaluru</v>
      </c>
      <c r="H561" s="6" t="str">
        <f>VLOOKUP(B561,Flights!A:H,6,FALSE())</f>
        <v>Chennai</v>
      </c>
      <c r="I561" s="6" t="str">
        <f t="array" ref="I561">IFERROR(INDEX(Bookings!$G:$G,MATCH(B561,Bookings!$B:$B,0)),"")</f>
        <v>1</v>
      </c>
      <c r="J561" s="5">
        <f>VLOOKUP(B561,Bookings!B:H,7,FALSE())</f>
        <v>26.17</v>
      </c>
      <c r="K561" s="5" t="str">
        <f t="shared" si="1"/>
        <v>Long</v>
      </c>
      <c r="L561" s="11">
        <f t="array" ref="L561">IFERROR(INDEX(Bookings!$K:$K,MATCH(A561,Bookings!$A:$A,0)),"")</f>
        <v>4672</v>
      </c>
      <c r="M561" s="5" t="str">
        <f t="shared" si="2"/>
        <v>Medium</v>
      </c>
      <c r="N561" s="5">
        <f t="array" ref="N561">IFERROR(INDEX(Bookings!$I:$I,MATCH(A561,Bookings!$A:$A,0)),"")</f>
        <v>44</v>
      </c>
      <c r="O561" s="5" t="str">
        <f t="shared" si="3"/>
        <v>Advance</v>
      </c>
      <c r="P561" s="5" t="str">
        <f t="shared" si="4"/>
        <v>Bengaluru -&gt; Chennai</v>
      </c>
    </row>
    <row r="562" ht="15.75" customHeight="1">
      <c r="A562" s="5" t="s">
        <v>1954</v>
      </c>
      <c r="B562" s="5" t="s">
        <v>909</v>
      </c>
      <c r="C562" s="5" t="s">
        <v>452</v>
      </c>
      <c r="D562" s="5" t="s">
        <v>45</v>
      </c>
      <c r="E562" s="6" t="str">
        <f t="array" ref="E562">IFERROR(INDEX(Airlines!$B:$B,MATCH(D562,Airlines!$A:$A,0)),"")</f>
        <v>Air_India</v>
      </c>
      <c r="F562" s="6" t="str">
        <f>VLOOKUP(A562,Bookings!$A:$F,6,FALSE())</f>
        <v>Economy</v>
      </c>
      <c r="G562" s="6" t="str">
        <f t="array" ref="G562">IFERROR(INDEX(Flights!$E:$E,MATCH(B562,Flights!$A:$A,0)),"")</f>
        <v>Bengaluru</v>
      </c>
      <c r="H562" s="6" t="str">
        <f>VLOOKUP(B562,Flights!A:H,6,FALSE())</f>
        <v>Chennai</v>
      </c>
      <c r="I562" s="6" t="str">
        <f t="array" ref="I562">IFERROR(INDEX(Bookings!$G:$G,MATCH(B562,Bookings!$B:$B,0)),"")</f>
        <v>1</v>
      </c>
      <c r="J562" s="5">
        <f>VLOOKUP(B562,Bookings!B:H,7,FALSE())</f>
        <v>26.5</v>
      </c>
      <c r="K562" s="5" t="str">
        <f t="shared" si="1"/>
        <v>Long</v>
      </c>
      <c r="L562" s="11">
        <f t="array" ref="L562">IFERROR(INDEX(Bookings!$K:$K,MATCH(A562,Bookings!$A:$A,0)),"")</f>
        <v>15994</v>
      </c>
      <c r="M562" s="5" t="str">
        <f t="shared" si="2"/>
        <v>High</v>
      </c>
      <c r="N562" s="5">
        <f t="array" ref="N562">IFERROR(INDEX(Bookings!$I:$I,MATCH(A562,Bookings!$A:$A,0)),"")</f>
        <v>4</v>
      </c>
      <c r="O562" s="5" t="str">
        <f t="shared" si="3"/>
        <v>Last Minute</v>
      </c>
      <c r="P562" s="5" t="str">
        <f t="shared" si="4"/>
        <v>Bengaluru -&gt; Chennai</v>
      </c>
    </row>
    <row r="563" ht="15.75" customHeight="1">
      <c r="A563" s="5" t="s">
        <v>1956</v>
      </c>
      <c r="B563" s="5" t="s">
        <v>854</v>
      </c>
      <c r="C563" s="5" t="s">
        <v>452</v>
      </c>
      <c r="D563" s="5" t="s">
        <v>20</v>
      </c>
      <c r="E563" s="6" t="str">
        <f t="array" ref="E563">IFERROR(INDEX(Airlines!$B:$B,MATCH(D563,Airlines!$A:$A,0)),"")</f>
        <v>Vistara</v>
      </c>
      <c r="F563" s="6" t="str">
        <f>VLOOKUP(A563,Bookings!$A:$F,6,FALSE())</f>
        <v>Economy</v>
      </c>
      <c r="G563" s="6" t="str">
        <f t="array" ref="G563">IFERROR(INDEX(Flights!$E:$E,MATCH(B563,Flights!$A:$A,0)),"")</f>
        <v>Bengaluru</v>
      </c>
      <c r="H563" s="6" t="str">
        <f>VLOOKUP(B563,Flights!A:H,6,FALSE())</f>
        <v>Chennai</v>
      </c>
      <c r="I563" s="6" t="str">
        <f t="array" ref="I563">IFERROR(INDEX(Bookings!$G:$G,MATCH(B563,Bookings!$B:$B,0)),"")</f>
        <v>1</v>
      </c>
      <c r="J563" s="5">
        <f>VLOOKUP(B563,Bookings!B:H,7,FALSE())</f>
        <v>10.75</v>
      </c>
      <c r="K563" s="5" t="str">
        <f t="shared" si="1"/>
        <v>Long</v>
      </c>
      <c r="L563" s="11">
        <f t="array" ref="L563">IFERROR(INDEX(Bookings!$K:$K,MATCH(A563,Bookings!$A:$A,0)),"")</f>
        <v>6120</v>
      </c>
      <c r="M563" s="5" t="str">
        <f t="shared" si="2"/>
        <v>Medium</v>
      </c>
      <c r="N563" s="5">
        <f t="array" ref="N563">IFERROR(INDEX(Bookings!$I:$I,MATCH(A563,Bookings!$A:$A,0)),"")</f>
        <v>44</v>
      </c>
      <c r="O563" s="5" t="str">
        <f t="shared" si="3"/>
        <v>Advance</v>
      </c>
      <c r="P563" s="5" t="str">
        <f t="shared" si="4"/>
        <v>Bengaluru -&gt; Chennai</v>
      </c>
    </row>
    <row r="564" ht="15.75" customHeight="1">
      <c r="A564" s="5" t="s">
        <v>1958</v>
      </c>
      <c r="B564" s="5" t="s">
        <v>926</v>
      </c>
      <c r="C564" s="5" t="s">
        <v>452</v>
      </c>
      <c r="D564" s="5" t="s">
        <v>20</v>
      </c>
      <c r="E564" s="6" t="str">
        <f t="array" ref="E564">IFERROR(INDEX(Airlines!$B:$B,MATCH(D564,Airlines!$A:$A,0)),"")</f>
        <v>Vistara</v>
      </c>
      <c r="F564" s="6" t="str">
        <f>VLOOKUP(A564,Bookings!$A:$F,6,FALSE())</f>
        <v>Business</v>
      </c>
      <c r="G564" s="6" t="str">
        <f t="array" ref="G564">IFERROR(INDEX(Flights!$E:$E,MATCH(B564,Flights!$A:$A,0)),"")</f>
        <v>Bengaluru</v>
      </c>
      <c r="H564" s="6" t="str">
        <f>VLOOKUP(B564,Flights!A:H,6,FALSE())</f>
        <v>Chennai</v>
      </c>
      <c r="I564" s="6" t="str">
        <f t="array" ref="I564">IFERROR(INDEX(Bookings!$G:$G,MATCH(B564,Bookings!$B:$B,0)),"")</f>
        <v>1</v>
      </c>
      <c r="J564" s="5">
        <f>VLOOKUP(B564,Bookings!B:H,7,FALSE())</f>
        <v>22.25</v>
      </c>
      <c r="K564" s="5" t="str">
        <f t="shared" si="1"/>
        <v>Long</v>
      </c>
      <c r="L564" s="11">
        <f t="array" ref="L564">IFERROR(INDEX(Bookings!$K:$K,MATCH(A564,Bookings!$A:$A,0)),"")</f>
        <v>44280</v>
      </c>
      <c r="M564" s="5" t="str">
        <f t="shared" si="2"/>
        <v>High</v>
      </c>
      <c r="N564" s="5">
        <f t="array" ref="N564">IFERROR(INDEX(Bookings!$I:$I,MATCH(A564,Bookings!$A:$A,0)),"")</f>
        <v>39</v>
      </c>
      <c r="O564" s="5" t="str">
        <f t="shared" si="3"/>
        <v>Advance</v>
      </c>
      <c r="P564" s="5" t="str">
        <f t="shared" si="4"/>
        <v>Bengaluru -&gt; Chennai</v>
      </c>
    </row>
    <row r="565" ht="15.75" customHeight="1">
      <c r="A565" s="5" t="s">
        <v>1959</v>
      </c>
      <c r="B565" s="5" t="s">
        <v>786</v>
      </c>
      <c r="C565" s="5" t="s">
        <v>452</v>
      </c>
      <c r="D565" s="5" t="s">
        <v>20</v>
      </c>
      <c r="E565" s="6" t="str">
        <f t="array" ref="E565">IFERROR(INDEX(Airlines!$B:$B,MATCH(D565,Airlines!$A:$A,0)),"")</f>
        <v>Vistara</v>
      </c>
      <c r="F565" s="6" t="str">
        <f>VLOOKUP(A565,Bookings!$A:$F,6,FALSE())</f>
        <v>Economy</v>
      </c>
      <c r="G565" s="6" t="str">
        <f t="array" ref="G565">IFERROR(INDEX(Flights!$E:$E,MATCH(B565,Flights!$A:$A,0)),"")</f>
        <v>Bengaluru</v>
      </c>
      <c r="H565" s="6" t="str">
        <f>VLOOKUP(B565,Flights!A:H,6,FALSE())</f>
        <v>Chennai</v>
      </c>
      <c r="I565" s="6" t="str">
        <f t="array" ref="I565">IFERROR(INDEX(Bookings!$G:$G,MATCH(B565,Bookings!$B:$B,0)),"")</f>
        <v>1</v>
      </c>
      <c r="J565" s="5">
        <f>VLOOKUP(B565,Bookings!B:H,7,FALSE())</f>
        <v>24.33</v>
      </c>
      <c r="K565" s="5" t="str">
        <f t="shared" si="1"/>
        <v>Long</v>
      </c>
      <c r="L565" s="11">
        <f t="array" ref="L565">IFERROR(INDEX(Bookings!$K:$K,MATCH(A565,Bookings!$A:$A,0)),"")</f>
        <v>9866</v>
      </c>
      <c r="M565" s="5" t="str">
        <f t="shared" si="2"/>
        <v>Medium</v>
      </c>
      <c r="N565" s="5">
        <f t="array" ref="N565">IFERROR(INDEX(Bookings!$I:$I,MATCH(A565,Bookings!$A:$A,0)),"")</f>
        <v>9</v>
      </c>
      <c r="O565" s="5" t="str">
        <f t="shared" si="3"/>
        <v>Short Notice</v>
      </c>
      <c r="P565" s="5" t="str">
        <f t="shared" si="4"/>
        <v>Bengaluru -&gt; Chennai</v>
      </c>
    </row>
    <row r="566" ht="15.75" customHeight="1">
      <c r="A566" s="5" t="s">
        <v>1961</v>
      </c>
      <c r="B566" s="5" t="s">
        <v>796</v>
      </c>
      <c r="C566" s="5" t="s">
        <v>452</v>
      </c>
      <c r="D566" s="5" t="s">
        <v>45</v>
      </c>
      <c r="E566" s="6" t="str">
        <f t="array" ref="E566">IFERROR(INDEX(Airlines!$B:$B,MATCH(D566,Airlines!$A:$A,0)),"")</f>
        <v>Air_India</v>
      </c>
      <c r="F566" s="6" t="str">
        <f>VLOOKUP(A566,Bookings!$A:$F,6,FALSE())</f>
        <v>Economy</v>
      </c>
      <c r="G566" s="6" t="str">
        <f t="array" ref="G566">IFERROR(INDEX(Flights!$E:$E,MATCH(B566,Flights!$A:$A,0)),"")</f>
        <v>Bengaluru</v>
      </c>
      <c r="H566" s="6" t="str">
        <f>VLOOKUP(B566,Flights!A:H,6,FALSE())</f>
        <v>Chennai</v>
      </c>
      <c r="I566" s="6" t="str">
        <f t="array" ref="I566">IFERROR(INDEX(Bookings!$G:$G,MATCH(B566,Bookings!$B:$B,0)),"")</f>
        <v>2+</v>
      </c>
      <c r="J566" s="5">
        <f>VLOOKUP(B566,Bookings!B:H,7,FALSE())</f>
        <v>37.58</v>
      </c>
      <c r="K566" s="5" t="str">
        <f t="shared" si="1"/>
        <v>Long</v>
      </c>
      <c r="L566" s="11">
        <f t="array" ref="L566">IFERROR(INDEX(Bookings!$K:$K,MATCH(A566,Bookings!$A:$A,0)),"")</f>
        <v>11637</v>
      </c>
      <c r="M566" s="5" t="str">
        <f t="shared" si="2"/>
        <v>Medium</v>
      </c>
      <c r="N566" s="5">
        <f t="array" ref="N566">IFERROR(INDEX(Bookings!$I:$I,MATCH(A566,Bookings!$A:$A,0)),"")</f>
        <v>5</v>
      </c>
      <c r="O566" s="5" t="str">
        <f t="shared" si="3"/>
        <v>Last Minute</v>
      </c>
      <c r="P566" s="5" t="str">
        <f t="shared" si="4"/>
        <v>Bengaluru -&gt; Chennai</v>
      </c>
    </row>
    <row r="567" ht="15.75" customHeight="1">
      <c r="A567" s="5" t="s">
        <v>1963</v>
      </c>
      <c r="B567" s="5" t="s">
        <v>867</v>
      </c>
      <c r="C567" s="5" t="s">
        <v>452</v>
      </c>
      <c r="D567" s="5" t="s">
        <v>20</v>
      </c>
      <c r="E567" s="6" t="str">
        <f t="array" ref="E567">IFERROR(INDEX(Airlines!$B:$B,MATCH(D567,Airlines!$A:$A,0)),"")</f>
        <v>Vistara</v>
      </c>
      <c r="F567" s="6" t="str">
        <f>VLOOKUP(A567,Bookings!$A:$F,6,FALSE())</f>
        <v>Economy</v>
      </c>
      <c r="G567" s="6" t="str">
        <f t="array" ref="G567">IFERROR(INDEX(Flights!$E:$E,MATCH(B567,Flights!$A:$A,0)),"")</f>
        <v>Bengaluru</v>
      </c>
      <c r="H567" s="6" t="str">
        <f>VLOOKUP(B567,Flights!A:H,6,FALSE())</f>
        <v>Chennai</v>
      </c>
      <c r="I567" s="6" t="str">
        <f t="array" ref="I567">IFERROR(INDEX(Bookings!$G:$G,MATCH(B567,Bookings!$B:$B,0)),"")</f>
        <v>2+</v>
      </c>
      <c r="J567" s="5">
        <f>VLOOKUP(B567,Bookings!B:H,7,FALSE())</f>
        <v>12.92</v>
      </c>
      <c r="K567" s="5" t="str">
        <f t="shared" si="1"/>
        <v>Long</v>
      </c>
      <c r="L567" s="11">
        <f t="array" ref="L567">IFERROR(INDEX(Bookings!$K:$K,MATCH(A567,Bookings!$A:$A,0)),"")</f>
        <v>7336</v>
      </c>
      <c r="M567" s="5" t="str">
        <f t="shared" si="2"/>
        <v>Medium</v>
      </c>
      <c r="N567" s="5">
        <f t="array" ref="N567">IFERROR(INDEX(Bookings!$I:$I,MATCH(A567,Bookings!$A:$A,0)),"")</f>
        <v>33</v>
      </c>
      <c r="O567" s="5" t="str">
        <f t="shared" si="3"/>
        <v>Advance</v>
      </c>
      <c r="P567" s="5" t="str">
        <f t="shared" si="4"/>
        <v>Bengaluru -&gt; Chennai</v>
      </c>
    </row>
    <row r="568" ht="15.75" customHeight="1">
      <c r="A568" s="5" t="s">
        <v>1964</v>
      </c>
      <c r="B568" s="5" t="s">
        <v>871</v>
      </c>
      <c r="C568" s="5" t="s">
        <v>452</v>
      </c>
      <c r="D568" s="5" t="s">
        <v>45</v>
      </c>
      <c r="E568" s="6" t="str">
        <f t="array" ref="E568">IFERROR(INDEX(Airlines!$B:$B,MATCH(D568,Airlines!$A:$A,0)),"")</f>
        <v>Air_India</v>
      </c>
      <c r="F568" s="6" t="str">
        <f>VLOOKUP(A568,Bookings!$A:$F,6,FALSE())</f>
        <v>Economy</v>
      </c>
      <c r="G568" s="6" t="str">
        <f t="array" ref="G568">IFERROR(INDEX(Flights!$E:$E,MATCH(B568,Flights!$A:$A,0)),"")</f>
        <v>Bengaluru</v>
      </c>
      <c r="H568" s="6" t="str">
        <f>VLOOKUP(B568,Flights!A:H,6,FALSE())</f>
        <v>Chennai</v>
      </c>
      <c r="I568" s="6" t="str">
        <f t="array" ref="I568">IFERROR(INDEX(Bookings!$G:$G,MATCH(B568,Bookings!$B:$B,0)),"")</f>
        <v>1</v>
      </c>
      <c r="J568" s="5">
        <f>VLOOKUP(B568,Bookings!B:H,7,FALSE())</f>
        <v>21.08</v>
      </c>
      <c r="K568" s="5" t="str">
        <f t="shared" si="1"/>
        <v>Long</v>
      </c>
      <c r="L568" s="11">
        <f t="array" ref="L568">IFERROR(INDEX(Bookings!$K:$K,MATCH(A568,Bookings!$A:$A,0)),"")</f>
        <v>12949</v>
      </c>
      <c r="M568" s="5" t="str">
        <f t="shared" si="2"/>
        <v>Medium</v>
      </c>
      <c r="N568" s="5">
        <f t="array" ref="N568">IFERROR(INDEX(Bookings!$I:$I,MATCH(A568,Bookings!$A:$A,0)),"")</f>
        <v>5</v>
      </c>
      <c r="O568" s="5" t="str">
        <f t="shared" si="3"/>
        <v>Last Minute</v>
      </c>
      <c r="P568" s="5" t="str">
        <f t="shared" si="4"/>
        <v>Bengaluru -&gt; Chennai</v>
      </c>
    </row>
    <row r="569" ht="15.75" customHeight="1">
      <c r="A569" s="5" t="s">
        <v>1967</v>
      </c>
      <c r="B569" s="5" t="s">
        <v>912</v>
      </c>
      <c r="C569" s="5" t="s">
        <v>452</v>
      </c>
      <c r="D569" s="5" t="s">
        <v>45</v>
      </c>
      <c r="E569" s="6" t="str">
        <f t="array" ref="E569">IFERROR(INDEX(Airlines!$B:$B,MATCH(D569,Airlines!$A:$A,0)),"")</f>
        <v>Air_India</v>
      </c>
      <c r="F569" s="6" t="str">
        <f>VLOOKUP(A569,Bookings!$A:$F,6,FALSE())</f>
        <v>Economy</v>
      </c>
      <c r="G569" s="6" t="str">
        <f t="array" ref="G569">IFERROR(INDEX(Flights!$E:$E,MATCH(B569,Flights!$A:$A,0)),"")</f>
        <v>Bengaluru</v>
      </c>
      <c r="H569" s="6" t="str">
        <f>VLOOKUP(B569,Flights!A:H,6,FALSE())</f>
        <v>Chennai</v>
      </c>
      <c r="I569" s="6" t="str">
        <f t="array" ref="I569">IFERROR(INDEX(Bookings!$G:$G,MATCH(B569,Bookings!$B:$B,0)),"")</f>
        <v>1</v>
      </c>
      <c r="J569" s="5">
        <f>VLOOKUP(B569,Bookings!B:H,7,FALSE())</f>
        <v>36.83</v>
      </c>
      <c r="K569" s="5" t="str">
        <f t="shared" si="1"/>
        <v>Long</v>
      </c>
      <c r="L569" s="11">
        <f t="array" ref="L569">IFERROR(INDEX(Bookings!$K:$K,MATCH(A569,Bookings!$A:$A,0)),"")</f>
        <v>5148</v>
      </c>
      <c r="M569" s="5" t="str">
        <f t="shared" si="2"/>
        <v>Medium</v>
      </c>
      <c r="N569" s="5">
        <f t="array" ref="N569">IFERROR(INDEX(Bookings!$I:$I,MATCH(A569,Bookings!$A:$A,0)),"")</f>
        <v>40</v>
      </c>
      <c r="O569" s="5" t="str">
        <f t="shared" si="3"/>
        <v>Advance</v>
      </c>
      <c r="P569" s="5" t="str">
        <f t="shared" si="4"/>
        <v>Bengaluru -&gt; Chennai</v>
      </c>
    </row>
    <row r="570" ht="15.75" customHeight="1">
      <c r="A570" s="5" t="s">
        <v>1969</v>
      </c>
      <c r="B570" s="5" t="s">
        <v>904</v>
      </c>
      <c r="C570" s="5" t="s">
        <v>452</v>
      </c>
      <c r="D570" s="5" t="s">
        <v>45</v>
      </c>
      <c r="E570" s="6" t="str">
        <f t="array" ref="E570">IFERROR(INDEX(Airlines!$B:$B,MATCH(D570,Airlines!$A:$A,0)),"")</f>
        <v>Air_India</v>
      </c>
      <c r="F570" s="6" t="str">
        <f>VLOOKUP(A570,Bookings!$A:$F,6,FALSE())</f>
        <v>Economy</v>
      </c>
      <c r="G570" s="6" t="str">
        <f t="array" ref="G570">IFERROR(INDEX(Flights!$E:$E,MATCH(B570,Flights!$A:$A,0)),"")</f>
        <v>Bengaluru</v>
      </c>
      <c r="H570" s="6" t="str">
        <f>VLOOKUP(B570,Flights!A:H,6,FALSE())</f>
        <v>Chennai</v>
      </c>
      <c r="I570" s="6" t="str">
        <f t="array" ref="I570">IFERROR(INDEX(Bookings!$G:$G,MATCH(B570,Bookings!$B:$B,0)),"")</f>
        <v>1</v>
      </c>
      <c r="J570" s="5">
        <f>VLOOKUP(B570,Bookings!B:H,7,FALSE())</f>
        <v>13.75</v>
      </c>
      <c r="K570" s="5" t="str">
        <f t="shared" si="1"/>
        <v>Long</v>
      </c>
      <c r="L570" s="11">
        <f t="array" ref="L570">IFERROR(INDEX(Bookings!$K:$K,MATCH(A570,Bookings!$A:$A,0)),"")</f>
        <v>8592</v>
      </c>
      <c r="M570" s="5" t="str">
        <f t="shared" si="2"/>
        <v>Medium</v>
      </c>
      <c r="N570" s="5">
        <f t="array" ref="N570">IFERROR(INDEX(Bookings!$I:$I,MATCH(A570,Bookings!$A:$A,0)),"")</f>
        <v>6</v>
      </c>
      <c r="O570" s="5" t="str">
        <f t="shared" si="3"/>
        <v>Last Minute</v>
      </c>
      <c r="P570" s="5" t="str">
        <f t="shared" si="4"/>
        <v>Bengaluru -&gt; Chennai</v>
      </c>
    </row>
    <row r="571" ht="15.75" customHeight="1">
      <c r="A571" s="5" t="s">
        <v>1971</v>
      </c>
      <c r="B571" s="5" t="s">
        <v>842</v>
      </c>
      <c r="C571" s="5" t="s">
        <v>452</v>
      </c>
      <c r="D571" s="5" t="s">
        <v>45</v>
      </c>
      <c r="E571" s="6" t="str">
        <f t="array" ref="E571">IFERROR(INDEX(Airlines!$B:$B,MATCH(D571,Airlines!$A:$A,0)),"")</f>
        <v>Air_India</v>
      </c>
      <c r="F571" s="6" t="str">
        <f>VLOOKUP(A571,Bookings!$A:$F,6,FALSE())</f>
        <v>Business</v>
      </c>
      <c r="G571" s="6" t="str">
        <f t="array" ref="G571">IFERROR(INDEX(Flights!$E:$E,MATCH(B571,Flights!$A:$A,0)),"")</f>
        <v>Bengaluru</v>
      </c>
      <c r="H571" s="6" t="str">
        <f>VLOOKUP(B571,Flights!A:H,6,FALSE())</f>
        <v>Chennai</v>
      </c>
      <c r="I571" s="6" t="str">
        <f t="array" ref="I571">IFERROR(INDEX(Bookings!$G:$G,MATCH(B571,Bookings!$B:$B,0)),"")</f>
        <v>2+</v>
      </c>
      <c r="J571" s="5">
        <f>VLOOKUP(B571,Bookings!B:H,7,FALSE())</f>
        <v>9.5</v>
      </c>
      <c r="K571" s="5" t="str">
        <f t="shared" si="1"/>
        <v>Medium</v>
      </c>
      <c r="L571" s="11">
        <f t="array" ref="L571">IFERROR(INDEX(Bookings!$K:$K,MATCH(A571,Bookings!$A:$A,0)),"")</f>
        <v>52064</v>
      </c>
      <c r="M571" s="5" t="str">
        <f t="shared" si="2"/>
        <v>High</v>
      </c>
      <c r="N571" s="5">
        <f t="array" ref="N571">IFERROR(INDEX(Bookings!$I:$I,MATCH(A571,Bookings!$A:$A,0)),"")</f>
        <v>35</v>
      </c>
      <c r="O571" s="5" t="str">
        <f t="shared" si="3"/>
        <v>Advance</v>
      </c>
      <c r="P571" s="5" t="str">
        <f t="shared" si="4"/>
        <v>Bengaluru -&gt; Chennai</v>
      </c>
    </row>
    <row r="572" ht="15.75" customHeight="1">
      <c r="A572" s="5" t="s">
        <v>1973</v>
      </c>
      <c r="B572" s="5" t="s">
        <v>837</v>
      </c>
      <c r="C572" s="5" t="s">
        <v>452</v>
      </c>
      <c r="D572" s="5" t="s">
        <v>20</v>
      </c>
      <c r="E572" s="6" t="str">
        <f t="array" ref="E572">IFERROR(INDEX(Airlines!$B:$B,MATCH(D572,Airlines!$A:$A,0)),"")</f>
        <v>Vistara</v>
      </c>
      <c r="F572" s="6" t="str">
        <f>VLOOKUP(A572,Bookings!$A:$F,6,FALSE())</f>
        <v>Economy</v>
      </c>
      <c r="G572" s="6" t="str">
        <f t="array" ref="G572">IFERROR(INDEX(Flights!$E:$E,MATCH(B572,Flights!$A:$A,0)),"")</f>
        <v>Bengaluru</v>
      </c>
      <c r="H572" s="6" t="str">
        <f>VLOOKUP(B572,Flights!A:H,6,FALSE())</f>
        <v>Chennai</v>
      </c>
      <c r="I572" s="6" t="str">
        <f t="array" ref="I572">IFERROR(INDEX(Bookings!$G:$G,MATCH(B572,Bookings!$B:$B,0)),"")</f>
        <v>2+</v>
      </c>
      <c r="J572" s="5">
        <f>VLOOKUP(B572,Bookings!B:H,7,FALSE())</f>
        <v>24</v>
      </c>
      <c r="K572" s="5" t="str">
        <f t="shared" si="1"/>
        <v>Long</v>
      </c>
      <c r="L572" s="11">
        <f t="array" ref="L572">IFERROR(INDEX(Bookings!$K:$K,MATCH(A572,Bookings!$A:$A,0)),"")</f>
        <v>13930</v>
      </c>
      <c r="M572" s="5" t="str">
        <f t="shared" si="2"/>
        <v>Medium</v>
      </c>
      <c r="N572" s="5">
        <f t="array" ref="N572">IFERROR(INDEX(Bookings!$I:$I,MATCH(A572,Bookings!$A:$A,0)),"")</f>
        <v>9</v>
      </c>
      <c r="O572" s="5" t="str">
        <f t="shared" si="3"/>
        <v>Short Notice</v>
      </c>
      <c r="P572" s="5" t="str">
        <f t="shared" si="4"/>
        <v>Bengaluru -&gt; Chennai</v>
      </c>
    </row>
    <row r="573" ht="15.75" customHeight="1">
      <c r="A573" s="5" t="s">
        <v>1974</v>
      </c>
      <c r="B573" s="5" t="s">
        <v>901</v>
      </c>
      <c r="C573" s="5" t="s">
        <v>452</v>
      </c>
      <c r="D573" s="5" t="s">
        <v>45</v>
      </c>
      <c r="E573" s="6" t="str">
        <f t="array" ref="E573">IFERROR(INDEX(Airlines!$B:$B,MATCH(D573,Airlines!$A:$A,0)),"")</f>
        <v>Air_India</v>
      </c>
      <c r="F573" s="6" t="str">
        <f>VLOOKUP(A573,Bookings!$A:$F,6,FALSE())</f>
        <v>Economy</v>
      </c>
      <c r="G573" s="6" t="str">
        <f t="array" ref="G573">IFERROR(INDEX(Flights!$E:$E,MATCH(B573,Flights!$A:$A,0)),"")</f>
        <v>Bengaluru</v>
      </c>
      <c r="H573" s="6" t="str">
        <f>VLOOKUP(B573,Flights!A:H,6,FALSE())</f>
        <v>Chennai</v>
      </c>
      <c r="I573" s="6" t="str">
        <f t="array" ref="I573">IFERROR(INDEX(Bookings!$G:$G,MATCH(B573,Bookings!$B:$B,0)),"")</f>
        <v>2+</v>
      </c>
      <c r="J573" s="5">
        <f>VLOOKUP(B573,Bookings!B:H,7,FALSE())</f>
        <v>21.08</v>
      </c>
      <c r="K573" s="5" t="str">
        <f t="shared" si="1"/>
        <v>Long</v>
      </c>
      <c r="L573" s="11">
        <f t="array" ref="L573">IFERROR(INDEX(Bookings!$K:$K,MATCH(A573,Bookings!$A:$A,0)),"")</f>
        <v>6586</v>
      </c>
      <c r="M573" s="5" t="str">
        <f t="shared" si="2"/>
        <v>Medium</v>
      </c>
      <c r="N573" s="5">
        <f t="array" ref="N573">IFERROR(INDEX(Bookings!$I:$I,MATCH(A573,Bookings!$A:$A,0)),"")</f>
        <v>17</v>
      </c>
      <c r="O573" s="5" t="str">
        <f t="shared" si="3"/>
        <v>Moderate</v>
      </c>
      <c r="P573" s="5" t="str">
        <f t="shared" si="4"/>
        <v>Bengaluru -&gt; Chennai</v>
      </c>
    </row>
    <row r="574" ht="15.75" customHeight="1">
      <c r="A574" s="5" t="s">
        <v>1976</v>
      </c>
      <c r="B574" s="5" t="s">
        <v>778</v>
      </c>
      <c r="C574" s="5" t="s">
        <v>452</v>
      </c>
      <c r="D574" s="5" t="s">
        <v>29</v>
      </c>
      <c r="E574" s="6" t="str">
        <f t="array" ref="E574">IFERROR(INDEX(Airlines!$B:$B,MATCH(D574,Airlines!$A:$A,0)),"")</f>
        <v>AirAsia</v>
      </c>
      <c r="F574" s="6" t="str">
        <f>VLOOKUP(A574,Bookings!$A:$F,6,FALSE())</f>
        <v>Economy</v>
      </c>
      <c r="G574" s="6" t="str">
        <f t="array" ref="G574">IFERROR(INDEX(Flights!$E:$E,MATCH(B574,Flights!$A:$A,0)),"")</f>
        <v>Bengaluru</v>
      </c>
      <c r="H574" s="6" t="str">
        <f>VLOOKUP(B574,Flights!A:H,6,FALSE())</f>
        <v>Chennai</v>
      </c>
      <c r="I574" s="6" t="str">
        <f t="array" ref="I574">IFERROR(INDEX(Bookings!$G:$G,MATCH(B574,Bookings!$B:$B,0)),"")</f>
        <v>0</v>
      </c>
      <c r="J574" s="5">
        <f>VLOOKUP(B574,Bookings!B:H,7,FALSE())</f>
        <v>1</v>
      </c>
      <c r="K574" s="5" t="str">
        <f t="shared" si="1"/>
        <v>Short</v>
      </c>
      <c r="L574" s="11">
        <f t="array" ref="L574">IFERROR(INDEX(Bookings!$K:$K,MATCH(A574,Bookings!$A:$A,0)),"")</f>
        <v>7336</v>
      </c>
      <c r="M574" s="5" t="str">
        <f t="shared" si="2"/>
        <v>Medium</v>
      </c>
      <c r="N574" s="5">
        <f t="array" ref="N574">IFERROR(INDEX(Bookings!$I:$I,MATCH(A574,Bookings!$A:$A,0)),"")</f>
        <v>26</v>
      </c>
      <c r="O574" s="5" t="str">
        <f t="shared" si="3"/>
        <v>Moderate</v>
      </c>
      <c r="P574" s="5" t="str">
        <f t="shared" si="4"/>
        <v>Bengaluru -&gt; Chennai</v>
      </c>
    </row>
    <row r="575" ht="15.75" customHeight="1">
      <c r="A575" s="5" t="s">
        <v>1978</v>
      </c>
      <c r="B575" s="5" t="s">
        <v>790</v>
      </c>
      <c r="C575" s="5" t="s">
        <v>452</v>
      </c>
      <c r="D575" s="5" t="s">
        <v>58</v>
      </c>
      <c r="E575" s="6" t="str">
        <f t="array" ref="E575">IFERROR(INDEX(Airlines!$B:$B,MATCH(D575,Airlines!$A:$A,0)),"")</f>
        <v>Go_First</v>
      </c>
      <c r="F575" s="6" t="str">
        <f>VLOOKUP(A575,Bookings!$A:$F,6,FALSE())</f>
        <v>Economy</v>
      </c>
      <c r="G575" s="6" t="str">
        <f t="array" ref="G575">IFERROR(INDEX(Flights!$E:$E,MATCH(B575,Flights!$A:$A,0)),"")</f>
        <v>Bengaluru</v>
      </c>
      <c r="H575" s="6" t="str">
        <f>VLOOKUP(B575,Flights!A:H,6,FALSE())</f>
        <v>Chennai</v>
      </c>
      <c r="I575" s="6" t="str">
        <f t="array" ref="I575">IFERROR(INDEX(Bookings!$G:$G,MATCH(B575,Bookings!$B:$B,0)),"")</f>
        <v>1</v>
      </c>
      <c r="J575" s="5">
        <f>VLOOKUP(B575,Bookings!B:H,7,FALSE())</f>
        <v>12.67</v>
      </c>
      <c r="K575" s="5" t="str">
        <f t="shared" si="1"/>
        <v>Long</v>
      </c>
      <c r="L575" s="11">
        <f t="array" ref="L575">IFERROR(INDEX(Bookings!$K:$K,MATCH(A575,Bookings!$A:$A,0)),"")</f>
        <v>4687</v>
      </c>
      <c r="M575" s="5" t="str">
        <f t="shared" si="2"/>
        <v>Medium</v>
      </c>
      <c r="N575" s="5">
        <f t="array" ref="N575">IFERROR(INDEX(Bookings!$I:$I,MATCH(A575,Bookings!$A:$A,0)),"")</f>
        <v>42</v>
      </c>
      <c r="O575" s="5" t="str">
        <f t="shared" si="3"/>
        <v>Advance</v>
      </c>
      <c r="P575" s="5" t="str">
        <f t="shared" si="4"/>
        <v>Bengaluru -&gt; Chennai</v>
      </c>
    </row>
    <row r="576" ht="15.75" customHeight="1">
      <c r="A576" s="5" t="s">
        <v>1980</v>
      </c>
      <c r="B576" s="5" t="s">
        <v>935</v>
      </c>
      <c r="C576" s="5" t="s">
        <v>452</v>
      </c>
      <c r="D576" s="5" t="s">
        <v>45</v>
      </c>
      <c r="E576" s="6" t="str">
        <f t="array" ref="E576">IFERROR(INDEX(Airlines!$B:$B,MATCH(D576,Airlines!$A:$A,0)),"")</f>
        <v>Air_India</v>
      </c>
      <c r="F576" s="6" t="str">
        <f>VLOOKUP(A576,Bookings!$A:$F,6,FALSE())</f>
        <v>Economy</v>
      </c>
      <c r="G576" s="6" t="str">
        <f t="array" ref="G576">IFERROR(INDEX(Flights!$E:$E,MATCH(B576,Flights!$A:$A,0)),"")</f>
        <v>Bengaluru</v>
      </c>
      <c r="H576" s="6" t="str">
        <f>VLOOKUP(B576,Flights!A:H,6,FALSE())</f>
        <v>Chennai</v>
      </c>
      <c r="I576" s="6" t="str">
        <f t="array" ref="I576">IFERROR(INDEX(Bookings!$G:$G,MATCH(B576,Bookings!$B:$B,0)),"")</f>
        <v>1</v>
      </c>
      <c r="J576" s="5">
        <f>VLOOKUP(B576,Bookings!B:H,7,FALSE())</f>
        <v>16.08</v>
      </c>
      <c r="K576" s="5" t="str">
        <f t="shared" si="1"/>
        <v>Long</v>
      </c>
      <c r="L576" s="11">
        <f t="array" ref="L576">IFERROR(INDEX(Bookings!$K:$K,MATCH(A576,Bookings!$A:$A,0)),"")</f>
        <v>7336</v>
      </c>
      <c r="M576" s="5" t="str">
        <f t="shared" si="2"/>
        <v>Medium</v>
      </c>
      <c r="N576" s="5">
        <f t="array" ref="N576">IFERROR(INDEX(Bookings!$I:$I,MATCH(A576,Bookings!$A:$A,0)),"")</f>
        <v>19</v>
      </c>
      <c r="O576" s="5" t="str">
        <f t="shared" si="3"/>
        <v>Moderate</v>
      </c>
      <c r="P576" s="5" t="str">
        <f t="shared" si="4"/>
        <v>Bengaluru -&gt; Chennai</v>
      </c>
    </row>
    <row r="577" ht="15.75" customHeight="1">
      <c r="A577" s="5" t="s">
        <v>1981</v>
      </c>
      <c r="B577" s="5" t="s">
        <v>801</v>
      </c>
      <c r="C577" s="5" t="s">
        <v>452</v>
      </c>
      <c r="D577" s="5" t="s">
        <v>45</v>
      </c>
      <c r="E577" s="6" t="str">
        <f t="array" ref="E577">IFERROR(INDEX(Airlines!$B:$B,MATCH(D577,Airlines!$A:$A,0)),"")</f>
        <v>Air_India</v>
      </c>
      <c r="F577" s="6" t="str">
        <f>VLOOKUP(A577,Bookings!$A:$F,6,FALSE())</f>
        <v>Economy</v>
      </c>
      <c r="G577" s="6" t="str">
        <f t="array" ref="G577">IFERROR(INDEX(Flights!$E:$E,MATCH(B577,Flights!$A:$A,0)),"")</f>
        <v>Bengaluru</v>
      </c>
      <c r="H577" s="6" t="str">
        <f>VLOOKUP(B577,Flights!A:H,6,FALSE())</f>
        <v>Chennai</v>
      </c>
      <c r="I577" s="6" t="str">
        <f t="array" ref="I577">IFERROR(INDEX(Bookings!$G:$G,MATCH(B577,Bookings!$B:$B,0)),"")</f>
        <v>1</v>
      </c>
      <c r="J577" s="5">
        <f>VLOOKUP(B577,Bookings!B:H,7,FALSE())</f>
        <v>28.33</v>
      </c>
      <c r="K577" s="5" t="str">
        <f t="shared" si="1"/>
        <v>Long</v>
      </c>
      <c r="L577" s="11">
        <f t="array" ref="L577">IFERROR(INDEX(Bookings!$K:$K,MATCH(A577,Bookings!$A:$A,0)),"")</f>
        <v>8156</v>
      </c>
      <c r="M577" s="5" t="str">
        <f t="shared" si="2"/>
        <v>Medium</v>
      </c>
      <c r="N577" s="5">
        <f t="array" ref="N577">IFERROR(INDEX(Bookings!$I:$I,MATCH(A577,Bookings!$A:$A,0)),"")</f>
        <v>19</v>
      </c>
      <c r="O577" s="5" t="str">
        <f t="shared" si="3"/>
        <v>Moderate</v>
      </c>
      <c r="P577" s="5" t="str">
        <f t="shared" si="4"/>
        <v>Bengaluru -&gt; Chennai</v>
      </c>
    </row>
    <row r="578" ht="15.75" customHeight="1">
      <c r="A578" s="5" t="s">
        <v>1983</v>
      </c>
      <c r="B578" s="5" t="s">
        <v>887</v>
      </c>
      <c r="C578" s="5" t="s">
        <v>452</v>
      </c>
      <c r="D578" s="5" t="s">
        <v>20</v>
      </c>
      <c r="E578" s="6" t="str">
        <f t="array" ref="E578">IFERROR(INDEX(Airlines!$B:$B,MATCH(D578,Airlines!$A:$A,0)),"")</f>
        <v>Vistara</v>
      </c>
      <c r="F578" s="6" t="str">
        <f>VLOOKUP(A578,Bookings!$A:$F,6,FALSE())</f>
        <v>Economy</v>
      </c>
      <c r="G578" s="6" t="str">
        <f t="array" ref="G578">IFERROR(INDEX(Flights!$E:$E,MATCH(B578,Flights!$A:$A,0)),"")</f>
        <v>Bengaluru</v>
      </c>
      <c r="H578" s="6" t="str">
        <f>VLOOKUP(B578,Flights!A:H,6,FALSE())</f>
        <v>Chennai</v>
      </c>
      <c r="I578" s="6" t="str">
        <f t="array" ref="I578">IFERROR(INDEX(Bookings!$G:$G,MATCH(B578,Bookings!$B:$B,0)),"")</f>
        <v>1</v>
      </c>
      <c r="J578" s="5">
        <f>VLOOKUP(B578,Bookings!B:H,7,FALSE())</f>
        <v>23.08</v>
      </c>
      <c r="K578" s="5" t="str">
        <f t="shared" si="1"/>
        <v>Long</v>
      </c>
      <c r="L578" s="11">
        <f t="array" ref="L578">IFERROR(INDEX(Bookings!$K:$K,MATCH(A578,Bookings!$A:$A,0)),"")</f>
        <v>6510</v>
      </c>
      <c r="M578" s="5" t="str">
        <f t="shared" si="2"/>
        <v>Medium</v>
      </c>
      <c r="N578" s="5">
        <f t="array" ref="N578">IFERROR(INDEX(Bookings!$I:$I,MATCH(A578,Bookings!$A:$A,0)),"")</f>
        <v>45</v>
      </c>
      <c r="O578" s="5" t="str">
        <f t="shared" si="3"/>
        <v>Advance</v>
      </c>
      <c r="P578" s="5" t="str">
        <f t="shared" si="4"/>
        <v>Bengaluru -&gt; Chennai</v>
      </c>
    </row>
    <row r="579" ht="15.75" customHeight="1">
      <c r="A579" s="5" t="s">
        <v>1985</v>
      </c>
      <c r="B579" s="5" t="s">
        <v>844</v>
      </c>
      <c r="C579" s="5" t="s">
        <v>452</v>
      </c>
      <c r="D579" s="5" t="s">
        <v>58</v>
      </c>
      <c r="E579" s="6" t="str">
        <f t="array" ref="E579">IFERROR(INDEX(Airlines!$B:$B,MATCH(D579,Airlines!$A:$A,0)),"")</f>
        <v>Go_First</v>
      </c>
      <c r="F579" s="6" t="str">
        <f>VLOOKUP(A579,Bookings!$A:$F,6,FALSE())</f>
        <v>Economy</v>
      </c>
      <c r="G579" s="6" t="str">
        <f t="array" ref="G579">IFERROR(INDEX(Flights!$E:$E,MATCH(B579,Flights!$A:$A,0)),"")</f>
        <v>Bengaluru</v>
      </c>
      <c r="H579" s="6" t="str">
        <f>VLOOKUP(B579,Flights!A:H,6,FALSE())</f>
        <v>Chennai</v>
      </c>
      <c r="I579" s="6" t="str">
        <f t="array" ref="I579">IFERROR(INDEX(Bookings!$G:$G,MATCH(B579,Bookings!$B:$B,0)),"")</f>
        <v>1</v>
      </c>
      <c r="J579" s="5">
        <f>VLOOKUP(B579,Bookings!B:H,7,FALSE())</f>
        <v>11.75</v>
      </c>
      <c r="K579" s="5" t="str">
        <f t="shared" si="1"/>
        <v>Long</v>
      </c>
      <c r="L579" s="11">
        <f t="array" ref="L579">IFERROR(INDEX(Bookings!$K:$K,MATCH(A579,Bookings!$A:$A,0)),"")</f>
        <v>4687</v>
      </c>
      <c r="M579" s="5" t="str">
        <f t="shared" si="2"/>
        <v>Medium</v>
      </c>
      <c r="N579" s="5">
        <f t="array" ref="N579">IFERROR(INDEX(Bookings!$I:$I,MATCH(A579,Bookings!$A:$A,0)),"")</f>
        <v>44</v>
      </c>
      <c r="O579" s="5" t="str">
        <f t="shared" si="3"/>
        <v>Advance</v>
      </c>
      <c r="P579" s="5" t="str">
        <f t="shared" si="4"/>
        <v>Bengaluru -&gt; Chennai</v>
      </c>
    </row>
    <row r="580" ht="15.75" customHeight="1">
      <c r="A580" s="5" t="s">
        <v>1987</v>
      </c>
      <c r="B580" s="5" t="s">
        <v>806</v>
      </c>
      <c r="C580" s="5" t="s">
        <v>452</v>
      </c>
      <c r="D580" s="5" t="s">
        <v>45</v>
      </c>
      <c r="E580" s="6" t="str">
        <f t="array" ref="E580">IFERROR(INDEX(Airlines!$B:$B,MATCH(D580,Airlines!$A:$A,0)),"")</f>
        <v>Air_India</v>
      </c>
      <c r="F580" s="6" t="str">
        <f>VLOOKUP(A580,Bookings!$A:$F,6,FALSE())</f>
        <v>Economy</v>
      </c>
      <c r="G580" s="6" t="str">
        <f t="array" ref="G580">IFERROR(INDEX(Flights!$E:$E,MATCH(B580,Flights!$A:$A,0)),"")</f>
        <v>Bengaluru</v>
      </c>
      <c r="H580" s="6" t="str">
        <f>VLOOKUP(B580,Flights!A:H,6,FALSE())</f>
        <v>Chennai</v>
      </c>
      <c r="I580" s="6" t="str">
        <f t="array" ref="I580">IFERROR(INDEX(Bookings!$G:$G,MATCH(B580,Bookings!$B:$B,0)),"")</f>
        <v>1</v>
      </c>
      <c r="J580" s="5">
        <f>VLOOKUP(B580,Bookings!B:H,7,FALSE())</f>
        <v>12.42</v>
      </c>
      <c r="K580" s="5" t="str">
        <f t="shared" si="1"/>
        <v>Long</v>
      </c>
      <c r="L580" s="11">
        <f t="array" ref="L580">IFERROR(INDEX(Bookings!$K:$K,MATCH(A580,Bookings!$A:$A,0)),"")</f>
        <v>5221</v>
      </c>
      <c r="M580" s="5" t="str">
        <f t="shared" si="2"/>
        <v>Medium</v>
      </c>
      <c r="N580" s="5">
        <f t="array" ref="N580">IFERROR(INDEX(Bookings!$I:$I,MATCH(A580,Bookings!$A:$A,0)),"")</f>
        <v>44</v>
      </c>
      <c r="O580" s="5" t="str">
        <f t="shared" si="3"/>
        <v>Advance</v>
      </c>
      <c r="P580" s="5" t="str">
        <f t="shared" si="4"/>
        <v>Bengaluru -&gt; Chennai</v>
      </c>
    </row>
    <row r="581" ht="15.75" customHeight="1">
      <c r="A581" s="5" t="s">
        <v>1989</v>
      </c>
      <c r="B581" s="5" t="s">
        <v>931</v>
      </c>
      <c r="C581" s="5" t="s">
        <v>452</v>
      </c>
      <c r="D581" s="5" t="s">
        <v>45</v>
      </c>
      <c r="E581" s="6" t="str">
        <f t="array" ref="E581">IFERROR(INDEX(Airlines!$B:$B,MATCH(D581,Airlines!$A:$A,0)),"")</f>
        <v>Air_India</v>
      </c>
      <c r="F581" s="6" t="str">
        <f>VLOOKUP(A581,Bookings!$A:$F,6,FALSE())</f>
        <v>Economy</v>
      </c>
      <c r="G581" s="6" t="str">
        <f t="array" ref="G581">IFERROR(INDEX(Flights!$E:$E,MATCH(B581,Flights!$A:$A,0)),"")</f>
        <v>Bengaluru</v>
      </c>
      <c r="H581" s="6" t="str">
        <f>VLOOKUP(B581,Flights!A:H,6,FALSE())</f>
        <v>Chennai</v>
      </c>
      <c r="I581" s="6" t="str">
        <f t="array" ref="I581">IFERROR(INDEX(Bookings!$G:$G,MATCH(B581,Bookings!$B:$B,0)),"")</f>
        <v>1</v>
      </c>
      <c r="J581" s="5">
        <f>VLOOKUP(B581,Bookings!B:H,7,FALSE())</f>
        <v>25.83</v>
      </c>
      <c r="K581" s="5" t="str">
        <f t="shared" si="1"/>
        <v>Long</v>
      </c>
      <c r="L581" s="11">
        <f t="array" ref="L581">IFERROR(INDEX(Bookings!$K:$K,MATCH(A581,Bookings!$A:$A,0)),"")</f>
        <v>5846</v>
      </c>
      <c r="M581" s="5" t="str">
        <f t="shared" si="2"/>
        <v>Medium</v>
      </c>
      <c r="N581" s="5">
        <f t="array" ref="N581">IFERROR(INDEX(Bookings!$I:$I,MATCH(A581,Bookings!$A:$A,0)),"")</f>
        <v>44</v>
      </c>
      <c r="O581" s="5" t="str">
        <f t="shared" si="3"/>
        <v>Advance</v>
      </c>
      <c r="P581" s="5" t="str">
        <f t="shared" si="4"/>
        <v>Bengaluru -&gt; Chennai</v>
      </c>
    </row>
    <row r="582" ht="15.75" customHeight="1">
      <c r="A582" s="5" t="s">
        <v>1990</v>
      </c>
      <c r="B582" s="5" t="s">
        <v>919</v>
      </c>
      <c r="C582" s="5" t="s">
        <v>452</v>
      </c>
      <c r="D582" s="5" t="s">
        <v>43</v>
      </c>
      <c r="E582" s="6" t="str">
        <f t="array" ref="E582">IFERROR(INDEX(Airlines!$B:$B,MATCH(D582,Airlines!$A:$A,0)),"")</f>
        <v>Indigo</v>
      </c>
      <c r="F582" s="6" t="str">
        <f>VLOOKUP(A582,Bookings!$A:$F,6,FALSE())</f>
        <v>Economy</v>
      </c>
      <c r="G582" s="6" t="str">
        <f t="array" ref="G582">IFERROR(INDEX(Flights!$E:$E,MATCH(B582,Flights!$A:$A,0)),"")</f>
        <v>Bengaluru</v>
      </c>
      <c r="H582" s="6" t="str">
        <f>VLOOKUP(B582,Flights!A:H,6,FALSE())</f>
        <v>Chennai</v>
      </c>
      <c r="I582" s="6" t="str">
        <f t="array" ref="I582">IFERROR(INDEX(Bookings!$G:$G,MATCH(B582,Bookings!$B:$B,0)),"")</f>
        <v>0</v>
      </c>
      <c r="J582" s="5">
        <f>VLOOKUP(B582,Bookings!B:H,7,FALSE())</f>
        <v>1</v>
      </c>
      <c r="K582" s="5" t="str">
        <f t="shared" si="1"/>
        <v>Short</v>
      </c>
      <c r="L582" s="11">
        <f t="array" ref="L582">IFERROR(INDEX(Bookings!$K:$K,MATCH(A582,Bookings!$A:$A,0)),"")</f>
        <v>1604</v>
      </c>
      <c r="M582" s="5" t="str">
        <f t="shared" si="2"/>
        <v>Low</v>
      </c>
      <c r="N582" s="5">
        <f t="array" ref="N582">IFERROR(INDEX(Bookings!$I:$I,MATCH(A582,Bookings!$A:$A,0)),"")</f>
        <v>46</v>
      </c>
      <c r="O582" s="5" t="str">
        <f t="shared" si="3"/>
        <v>Advance</v>
      </c>
      <c r="P582" s="5" t="str">
        <f t="shared" si="4"/>
        <v>Bengaluru -&gt; Chennai</v>
      </c>
    </row>
    <row r="583" ht="15.75" customHeight="1">
      <c r="A583" s="5" t="s">
        <v>1992</v>
      </c>
      <c r="B583" s="5" t="s">
        <v>831</v>
      </c>
      <c r="C583" s="5" t="s">
        <v>452</v>
      </c>
      <c r="D583" s="5" t="s">
        <v>43</v>
      </c>
      <c r="E583" s="6" t="str">
        <f t="array" ref="E583">IFERROR(INDEX(Airlines!$B:$B,MATCH(D583,Airlines!$A:$A,0)),"")</f>
        <v>Indigo</v>
      </c>
      <c r="F583" s="6" t="str">
        <f>VLOOKUP(A583,Bookings!$A:$F,6,FALSE())</f>
        <v>Economy</v>
      </c>
      <c r="G583" s="6" t="str">
        <f t="array" ref="G583">IFERROR(INDEX(Flights!$E:$E,MATCH(B583,Flights!$A:$A,0)),"")</f>
        <v>Bengaluru</v>
      </c>
      <c r="H583" s="6" t="str">
        <f>VLOOKUP(B583,Flights!A:H,6,FALSE())</f>
        <v>Chennai</v>
      </c>
      <c r="I583" s="6" t="str">
        <f t="array" ref="I583">IFERROR(INDEX(Bookings!$G:$G,MATCH(B583,Bookings!$B:$B,0)),"")</f>
        <v>0</v>
      </c>
      <c r="J583" s="5">
        <f>VLOOKUP(B583,Bookings!B:H,7,FALSE())</f>
        <v>1.17</v>
      </c>
      <c r="K583" s="5" t="str">
        <f t="shared" si="1"/>
        <v>Short</v>
      </c>
      <c r="L583" s="11">
        <f t="array" ref="L583">IFERROR(INDEX(Bookings!$K:$K,MATCH(A583,Bookings!$A:$A,0)),"")</f>
        <v>1604</v>
      </c>
      <c r="M583" s="5" t="str">
        <f t="shared" si="2"/>
        <v>Low</v>
      </c>
      <c r="N583" s="5">
        <f t="array" ref="N583">IFERROR(INDEX(Bookings!$I:$I,MATCH(A583,Bookings!$A:$A,0)),"")</f>
        <v>46</v>
      </c>
      <c r="O583" s="5" t="str">
        <f t="shared" si="3"/>
        <v>Advance</v>
      </c>
      <c r="P583" s="5" t="str">
        <f t="shared" si="4"/>
        <v>Bengaluru -&gt; Chennai</v>
      </c>
    </row>
    <row r="584" ht="15.75" customHeight="1">
      <c r="A584" s="5" t="s">
        <v>1994</v>
      </c>
      <c r="B584" s="5" t="s">
        <v>890</v>
      </c>
      <c r="C584" s="5" t="s">
        <v>452</v>
      </c>
      <c r="D584" s="5" t="s">
        <v>58</v>
      </c>
      <c r="E584" s="6" t="str">
        <f t="array" ref="E584">IFERROR(INDEX(Airlines!$B:$B,MATCH(D584,Airlines!$A:$A,0)),"")</f>
        <v>Go_First</v>
      </c>
      <c r="F584" s="6" t="str">
        <f>VLOOKUP(A584,Bookings!$A:$F,6,FALSE())</f>
        <v>Economy</v>
      </c>
      <c r="G584" s="6" t="str">
        <f t="array" ref="G584">IFERROR(INDEX(Flights!$E:$E,MATCH(B584,Flights!$A:$A,0)),"")</f>
        <v>Bengaluru</v>
      </c>
      <c r="H584" s="6" t="str">
        <f>VLOOKUP(B584,Flights!A:H,6,FALSE())</f>
        <v>Chennai</v>
      </c>
      <c r="I584" s="6" t="str">
        <f t="array" ref="I584">IFERROR(INDEX(Bookings!$G:$G,MATCH(B584,Bookings!$B:$B,0)),"")</f>
        <v>1</v>
      </c>
      <c r="J584" s="5">
        <f>VLOOKUP(B584,Bookings!B:H,7,FALSE())</f>
        <v>7.92</v>
      </c>
      <c r="K584" s="5" t="str">
        <f t="shared" si="1"/>
        <v>Medium</v>
      </c>
      <c r="L584" s="11">
        <f t="array" ref="L584">IFERROR(INDEX(Bookings!$K:$K,MATCH(A584,Bookings!$A:$A,0)),"")</f>
        <v>7336</v>
      </c>
      <c r="M584" s="5" t="str">
        <f t="shared" si="2"/>
        <v>Medium</v>
      </c>
      <c r="N584" s="5">
        <f t="array" ref="N584">IFERROR(INDEX(Bookings!$I:$I,MATCH(A584,Bookings!$A:$A,0)),"")</f>
        <v>46</v>
      </c>
      <c r="O584" s="5" t="str">
        <f t="shared" si="3"/>
        <v>Advance</v>
      </c>
      <c r="P584" s="5" t="str">
        <f t="shared" si="4"/>
        <v>Bengaluru -&gt; Chennai</v>
      </c>
    </row>
    <row r="585" ht="15.75" customHeight="1">
      <c r="A585" s="5" t="s">
        <v>1995</v>
      </c>
      <c r="B585" s="5" t="s">
        <v>834</v>
      </c>
      <c r="C585" s="5" t="s">
        <v>452</v>
      </c>
      <c r="D585" s="5" t="s">
        <v>58</v>
      </c>
      <c r="E585" s="6" t="str">
        <f t="array" ref="E585">IFERROR(INDEX(Airlines!$B:$B,MATCH(D585,Airlines!$A:$A,0)),"")</f>
        <v>Go_First</v>
      </c>
      <c r="F585" s="6" t="str">
        <f>VLOOKUP(A585,Bookings!$A:$F,6,FALSE())</f>
        <v>Economy</v>
      </c>
      <c r="G585" s="6" t="str">
        <f t="array" ref="G585">IFERROR(INDEX(Flights!$E:$E,MATCH(B585,Flights!$A:$A,0)),"")</f>
        <v>Bengaluru</v>
      </c>
      <c r="H585" s="6" t="str">
        <f>VLOOKUP(B585,Flights!A:H,6,FALSE())</f>
        <v>Chennai</v>
      </c>
      <c r="I585" s="6" t="str">
        <f t="array" ref="I585">IFERROR(INDEX(Bookings!$G:$G,MATCH(B585,Bookings!$B:$B,0)),"")</f>
        <v>1</v>
      </c>
      <c r="J585" s="5">
        <f>VLOOKUP(B585,Bookings!B:H,7,FALSE())</f>
        <v>9.33</v>
      </c>
      <c r="K585" s="5" t="str">
        <f t="shared" si="1"/>
        <v>Medium</v>
      </c>
      <c r="L585" s="11">
        <f t="array" ref="L585">IFERROR(INDEX(Bookings!$K:$K,MATCH(A585,Bookings!$A:$A,0)),"")</f>
        <v>4687</v>
      </c>
      <c r="M585" s="5" t="str">
        <f t="shared" si="2"/>
        <v>Medium</v>
      </c>
      <c r="N585" s="5">
        <f t="array" ref="N585">IFERROR(INDEX(Bookings!$I:$I,MATCH(A585,Bookings!$A:$A,0)),"")</f>
        <v>46</v>
      </c>
      <c r="O585" s="5" t="str">
        <f t="shared" si="3"/>
        <v>Advance</v>
      </c>
      <c r="P585" s="5" t="str">
        <f t="shared" si="4"/>
        <v>Bengaluru -&gt; Chennai</v>
      </c>
    </row>
    <row r="586" ht="15.75" customHeight="1">
      <c r="A586" s="5" t="s">
        <v>1997</v>
      </c>
      <c r="B586" s="5" t="s">
        <v>809</v>
      </c>
      <c r="C586" s="5" t="s">
        <v>452</v>
      </c>
      <c r="D586" s="5" t="s">
        <v>45</v>
      </c>
      <c r="E586" s="6" t="str">
        <f t="array" ref="E586">IFERROR(INDEX(Airlines!$B:$B,MATCH(D586,Airlines!$A:$A,0)),"")</f>
        <v>Air_India</v>
      </c>
      <c r="F586" s="6" t="str">
        <f>VLOOKUP(A586,Bookings!$A:$F,6,FALSE())</f>
        <v>Economy</v>
      </c>
      <c r="G586" s="6" t="str">
        <f t="array" ref="G586">IFERROR(INDEX(Flights!$E:$E,MATCH(B586,Flights!$A:$A,0)),"")</f>
        <v>Bengaluru</v>
      </c>
      <c r="H586" s="6" t="str">
        <f>VLOOKUP(B586,Flights!A:H,6,FALSE())</f>
        <v>Chennai</v>
      </c>
      <c r="I586" s="6" t="str">
        <f t="array" ref="I586">IFERROR(INDEX(Bookings!$G:$G,MATCH(B586,Bookings!$B:$B,0)),"")</f>
        <v>1</v>
      </c>
      <c r="J586" s="5">
        <f>VLOOKUP(B586,Bookings!B:H,7,FALSE())</f>
        <v>6</v>
      </c>
      <c r="K586" s="5" t="str">
        <f t="shared" si="1"/>
        <v>Medium</v>
      </c>
      <c r="L586" s="11">
        <f t="array" ref="L586">IFERROR(INDEX(Bookings!$K:$K,MATCH(A586,Bookings!$A:$A,0)),"")</f>
        <v>6269</v>
      </c>
      <c r="M586" s="5" t="str">
        <f t="shared" si="2"/>
        <v>Medium</v>
      </c>
      <c r="N586" s="5">
        <f t="array" ref="N586">IFERROR(INDEX(Bookings!$I:$I,MATCH(A586,Bookings!$A:$A,0)),"")</f>
        <v>49</v>
      </c>
      <c r="O586" s="5" t="str">
        <f t="shared" si="3"/>
        <v>Advance</v>
      </c>
      <c r="P586" s="5" t="str">
        <f t="shared" si="4"/>
        <v>Bengaluru -&gt; Chennai</v>
      </c>
    </row>
    <row r="587" ht="15.75" customHeight="1">
      <c r="A587" s="5" t="s">
        <v>2000</v>
      </c>
      <c r="B587" s="5" t="s">
        <v>882</v>
      </c>
      <c r="C587" s="5" t="s">
        <v>452</v>
      </c>
      <c r="D587" s="5" t="s">
        <v>45</v>
      </c>
      <c r="E587" s="6" t="str">
        <f t="array" ref="E587">IFERROR(INDEX(Airlines!$B:$B,MATCH(D587,Airlines!$A:$A,0)),"")</f>
        <v>Air_India</v>
      </c>
      <c r="F587" s="6" t="str">
        <f>VLOOKUP(A587,Bookings!$A:$F,6,FALSE())</f>
        <v>Business</v>
      </c>
      <c r="G587" s="6" t="str">
        <f t="array" ref="G587">IFERROR(INDEX(Flights!$E:$E,MATCH(B587,Flights!$A:$A,0)),"")</f>
        <v>Bengaluru</v>
      </c>
      <c r="H587" s="6" t="str">
        <f>VLOOKUP(B587,Flights!A:H,6,FALSE())</f>
        <v>Chennai</v>
      </c>
      <c r="I587" s="6" t="str">
        <f t="array" ref="I587">IFERROR(INDEX(Bookings!$G:$G,MATCH(B587,Bookings!$B:$B,0)),"")</f>
        <v>1</v>
      </c>
      <c r="J587" s="5">
        <f>VLOOKUP(B587,Bookings!B:H,7,FALSE())</f>
        <v>47.75</v>
      </c>
      <c r="K587" s="5" t="str">
        <f t="shared" si="1"/>
        <v>Long</v>
      </c>
      <c r="L587" s="11">
        <f t="array" ref="L587">IFERROR(INDEX(Bookings!$K:$K,MATCH(A587,Bookings!$A:$A,0)),"")</f>
        <v>55122</v>
      </c>
      <c r="M587" s="5" t="str">
        <f t="shared" si="2"/>
        <v>High</v>
      </c>
      <c r="N587" s="5">
        <f t="array" ref="N587">IFERROR(INDEX(Bookings!$I:$I,MATCH(A587,Bookings!$A:$A,0)),"")</f>
        <v>47</v>
      </c>
      <c r="O587" s="5" t="str">
        <f t="shared" si="3"/>
        <v>Advance</v>
      </c>
      <c r="P587" s="5" t="str">
        <f t="shared" si="4"/>
        <v>Bengaluru -&gt; Chennai</v>
      </c>
    </row>
    <row r="588" ht="15.75" customHeight="1">
      <c r="A588" s="5" t="s">
        <v>2003</v>
      </c>
      <c r="B588" s="5" t="s">
        <v>1066</v>
      </c>
      <c r="C588" s="5" t="s">
        <v>475</v>
      </c>
      <c r="D588" s="5" t="s">
        <v>43</v>
      </c>
      <c r="E588" s="6" t="str">
        <f t="array" ref="E588">IFERROR(INDEX(Airlines!$B:$B,MATCH(D588,Airlines!$A:$A,0)),"")</f>
        <v>Indigo</v>
      </c>
      <c r="F588" s="6" t="str">
        <f>VLOOKUP(A588,Bookings!$A:$F,6,FALSE())</f>
        <v>Economy</v>
      </c>
      <c r="G588" s="6" t="str">
        <f t="array" ref="G588">IFERROR(INDEX(Flights!$E:$E,MATCH(B588,Flights!$A:$A,0)),"")</f>
        <v>Kolkata</v>
      </c>
      <c r="H588" s="6" t="str">
        <f>VLOOKUP(B588,Flights!A:H,6,FALSE())</f>
        <v>Delhi</v>
      </c>
      <c r="I588" s="6" t="str">
        <f t="array" ref="I588">IFERROR(INDEX(Bookings!$G:$G,MATCH(B588,Bookings!$B:$B,0)),"")</f>
        <v>0</v>
      </c>
      <c r="J588" s="5">
        <f>VLOOKUP(B588,Bookings!B:H,7,FALSE())</f>
        <v>2.42</v>
      </c>
      <c r="K588" s="5" t="str">
        <f t="shared" si="1"/>
        <v>Short</v>
      </c>
      <c r="L588" s="11">
        <f t="array" ref="L588">IFERROR(INDEX(Bookings!$K:$K,MATCH(A588,Bookings!$A:$A,0)),"")</f>
        <v>4809</v>
      </c>
      <c r="M588" s="5" t="str">
        <f t="shared" si="2"/>
        <v>Medium</v>
      </c>
      <c r="N588" s="5">
        <f t="array" ref="N588">IFERROR(INDEX(Bookings!$I:$I,MATCH(A588,Bookings!$A:$A,0)),"")</f>
        <v>23</v>
      </c>
      <c r="O588" s="5" t="str">
        <f t="shared" si="3"/>
        <v>Moderate</v>
      </c>
      <c r="P588" s="5" t="str">
        <f t="shared" si="4"/>
        <v>Kolkata -&gt; Delhi</v>
      </c>
    </row>
    <row r="589" ht="15.75" customHeight="1">
      <c r="A589" s="5" t="s">
        <v>2005</v>
      </c>
      <c r="B589" s="5" t="s">
        <v>1088</v>
      </c>
      <c r="C589" s="5" t="s">
        <v>475</v>
      </c>
      <c r="D589" s="5" t="s">
        <v>43</v>
      </c>
      <c r="E589" s="6" t="str">
        <f t="array" ref="E589">IFERROR(INDEX(Airlines!$B:$B,MATCH(D589,Airlines!$A:$A,0)),"")</f>
        <v>Indigo</v>
      </c>
      <c r="F589" s="6" t="str">
        <f>VLOOKUP(A589,Bookings!$A:$F,6,FALSE())</f>
        <v>Economy</v>
      </c>
      <c r="G589" s="6" t="str">
        <f t="array" ref="G589">IFERROR(INDEX(Flights!$E:$E,MATCH(B589,Flights!$A:$A,0)),"")</f>
        <v>Kolkata</v>
      </c>
      <c r="H589" s="6" t="str">
        <f>VLOOKUP(B589,Flights!A:H,6,FALSE())</f>
        <v>Delhi</v>
      </c>
      <c r="I589" s="6" t="str">
        <f t="array" ref="I589">IFERROR(INDEX(Bookings!$G:$G,MATCH(B589,Bookings!$B:$B,0)),"")</f>
        <v>1</v>
      </c>
      <c r="J589" s="5">
        <f>VLOOKUP(B589,Bookings!B:H,7,FALSE())</f>
        <v>9.25</v>
      </c>
      <c r="K589" s="5" t="str">
        <f t="shared" si="1"/>
        <v>Medium</v>
      </c>
      <c r="L589" s="11">
        <f t="array" ref="L589">IFERROR(INDEX(Bookings!$K:$K,MATCH(A589,Bookings!$A:$A,0)),"")</f>
        <v>11267</v>
      </c>
      <c r="M589" s="5" t="str">
        <f t="shared" si="2"/>
        <v>Medium</v>
      </c>
      <c r="N589" s="5">
        <f t="array" ref="N589">IFERROR(INDEX(Bookings!$I:$I,MATCH(A589,Bookings!$A:$A,0)),"")</f>
        <v>1</v>
      </c>
      <c r="O589" s="5" t="str">
        <f t="shared" si="3"/>
        <v>Last Minute</v>
      </c>
      <c r="P589" s="5" t="str">
        <f t="shared" si="4"/>
        <v>Kolkata -&gt; Delhi</v>
      </c>
    </row>
    <row r="590" ht="15.75" customHeight="1">
      <c r="A590" s="5" t="s">
        <v>2007</v>
      </c>
      <c r="B590" s="5" t="s">
        <v>960</v>
      </c>
      <c r="C590" s="5" t="s">
        <v>475</v>
      </c>
      <c r="D590" s="5" t="s">
        <v>20</v>
      </c>
      <c r="E590" s="6" t="str">
        <f t="array" ref="E590">IFERROR(INDEX(Airlines!$B:$B,MATCH(D590,Airlines!$A:$A,0)),"")</f>
        <v>Vistara</v>
      </c>
      <c r="F590" s="6" t="str">
        <f>VLOOKUP(A590,Bookings!$A:$F,6,FALSE())</f>
        <v>Economy</v>
      </c>
      <c r="G590" s="6" t="str">
        <f t="array" ref="G590">IFERROR(INDEX(Flights!$E:$E,MATCH(B590,Flights!$A:$A,0)),"")</f>
        <v>Kolkata</v>
      </c>
      <c r="H590" s="6" t="str">
        <f>VLOOKUP(B590,Flights!A:H,6,FALSE())</f>
        <v>Delhi</v>
      </c>
      <c r="I590" s="6" t="str">
        <f t="array" ref="I590">IFERROR(INDEX(Bookings!$G:$G,MATCH(B590,Bookings!$B:$B,0)),"")</f>
        <v>1</v>
      </c>
      <c r="J590" s="5">
        <f>VLOOKUP(B590,Bookings!B:H,7,FALSE())</f>
        <v>28.33</v>
      </c>
      <c r="K590" s="5" t="str">
        <f t="shared" si="1"/>
        <v>Long</v>
      </c>
      <c r="L590" s="11">
        <f t="array" ref="L590">IFERROR(INDEX(Bookings!$K:$K,MATCH(A590,Bookings!$A:$A,0)),"")</f>
        <v>7336</v>
      </c>
      <c r="M590" s="5" t="str">
        <f t="shared" si="2"/>
        <v>Medium</v>
      </c>
      <c r="N590" s="5">
        <f t="array" ref="N590">IFERROR(INDEX(Bookings!$I:$I,MATCH(A590,Bookings!$A:$A,0)),"")</f>
        <v>1</v>
      </c>
      <c r="O590" s="5" t="str">
        <f t="shared" si="3"/>
        <v>Last Minute</v>
      </c>
      <c r="P590" s="5" t="str">
        <f t="shared" si="4"/>
        <v>Kolkata -&gt; Delhi</v>
      </c>
    </row>
    <row r="591" ht="15.75" customHeight="1">
      <c r="A591" s="5" t="s">
        <v>2010</v>
      </c>
      <c r="B591" s="5" t="s">
        <v>1049</v>
      </c>
      <c r="C591" s="5" t="s">
        <v>475</v>
      </c>
      <c r="D591" s="5" t="s">
        <v>20</v>
      </c>
      <c r="E591" s="6" t="str">
        <f t="array" ref="E591">IFERROR(INDEX(Airlines!$B:$B,MATCH(D591,Airlines!$A:$A,0)),"")</f>
        <v>Vistara</v>
      </c>
      <c r="F591" s="6" t="str">
        <f>VLOOKUP(A591,Bookings!$A:$F,6,FALSE())</f>
        <v>Economy</v>
      </c>
      <c r="G591" s="6" t="str">
        <f t="array" ref="G591">IFERROR(INDEX(Flights!$E:$E,MATCH(B591,Flights!$A:$A,0)),"")</f>
        <v>Kolkata</v>
      </c>
      <c r="H591" s="6" t="str">
        <f>VLOOKUP(B591,Flights!A:H,6,FALSE())</f>
        <v>Delhi</v>
      </c>
      <c r="I591" s="6" t="str">
        <f t="array" ref="I591">IFERROR(INDEX(Bookings!$G:$G,MATCH(B591,Bookings!$B:$B,0)),"")</f>
        <v>1</v>
      </c>
      <c r="J591" s="5">
        <f>VLOOKUP(B591,Bookings!B:H,7,FALSE())</f>
        <v>34.08</v>
      </c>
      <c r="K591" s="5" t="str">
        <f t="shared" si="1"/>
        <v>Long</v>
      </c>
      <c r="L591" s="11">
        <f t="array" ref="L591">IFERROR(INDEX(Bookings!$K:$K,MATCH(A591,Bookings!$A:$A,0)),"")</f>
        <v>17996</v>
      </c>
      <c r="M591" s="5" t="str">
        <f t="shared" si="2"/>
        <v>High</v>
      </c>
      <c r="N591" s="5">
        <f t="array" ref="N591">IFERROR(INDEX(Bookings!$I:$I,MATCH(A591,Bookings!$A:$A,0)),"")</f>
        <v>2</v>
      </c>
      <c r="O591" s="5" t="str">
        <f t="shared" si="3"/>
        <v>Last Minute</v>
      </c>
      <c r="P591" s="5" t="str">
        <f t="shared" si="4"/>
        <v>Kolkata -&gt; Delhi</v>
      </c>
    </row>
    <row r="592" ht="15.75" customHeight="1">
      <c r="A592" s="5" t="s">
        <v>2011</v>
      </c>
      <c r="B592" s="5" t="s">
        <v>1108</v>
      </c>
      <c r="C592" s="5" t="s">
        <v>475</v>
      </c>
      <c r="D592" s="5" t="s">
        <v>43</v>
      </c>
      <c r="E592" s="6" t="str">
        <f t="array" ref="E592">IFERROR(INDEX(Airlines!$B:$B,MATCH(D592,Airlines!$A:$A,0)),"")</f>
        <v>Indigo</v>
      </c>
      <c r="F592" s="6" t="str">
        <f>VLOOKUP(A592,Bookings!$A:$F,6,FALSE())</f>
        <v>Economy</v>
      </c>
      <c r="G592" s="6" t="str">
        <f t="array" ref="G592">IFERROR(INDEX(Flights!$E:$E,MATCH(B592,Flights!$A:$A,0)),"")</f>
        <v>Kolkata</v>
      </c>
      <c r="H592" s="6" t="str">
        <f>VLOOKUP(B592,Flights!A:H,6,FALSE())</f>
        <v>Delhi</v>
      </c>
      <c r="I592" s="6" t="str">
        <f t="array" ref="I592">IFERROR(INDEX(Bookings!$G:$G,MATCH(B592,Bookings!$B:$B,0)),"")</f>
        <v>1</v>
      </c>
      <c r="J592" s="5">
        <f>VLOOKUP(B592,Bookings!B:H,7,FALSE())</f>
        <v>9.83</v>
      </c>
      <c r="K592" s="5" t="str">
        <f t="shared" si="1"/>
        <v>Medium</v>
      </c>
      <c r="L592" s="11">
        <f t="array" ref="L592">IFERROR(INDEX(Bookings!$K:$K,MATCH(A592,Bookings!$A:$A,0)),"")</f>
        <v>18407</v>
      </c>
      <c r="M592" s="5" t="str">
        <f t="shared" si="2"/>
        <v>High</v>
      </c>
      <c r="N592" s="5">
        <f t="array" ref="N592">IFERROR(INDEX(Bookings!$I:$I,MATCH(A592,Bookings!$A:$A,0)),"")</f>
        <v>2</v>
      </c>
      <c r="O592" s="5" t="str">
        <f t="shared" si="3"/>
        <v>Last Minute</v>
      </c>
      <c r="P592" s="5" t="str">
        <f t="shared" si="4"/>
        <v>Kolkata -&gt; Delhi</v>
      </c>
    </row>
    <row r="593" ht="15.75" customHeight="1">
      <c r="A593" s="5" t="s">
        <v>2014</v>
      </c>
      <c r="B593" s="5" t="s">
        <v>968</v>
      </c>
      <c r="C593" s="5" t="s">
        <v>475</v>
      </c>
      <c r="D593" s="5" t="s">
        <v>43</v>
      </c>
      <c r="E593" s="6" t="str">
        <f t="array" ref="E593">IFERROR(INDEX(Airlines!$B:$B,MATCH(D593,Airlines!$A:$A,0)),"")</f>
        <v>Indigo</v>
      </c>
      <c r="F593" s="6" t="str">
        <f>VLOOKUP(A593,Bookings!$A:$F,6,FALSE())</f>
        <v>Economy</v>
      </c>
      <c r="G593" s="6" t="str">
        <f t="array" ref="G593">IFERROR(INDEX(Flights!$E:$E,MATCH(B593,Flights!$A:$A,0)),"")</f>
        <v>Kolkata</v>
      </c>
      <c r="H593" s="6" t="str">
        <f>VLOOKUP(B593,Flights!A:H,6,FALSE())</f>
        <v>Delhi</v>
      </c>
      <c r="I593" s="6" t="str">
        <f t="array" ref="I593">IFERROR(INDEX(Bookings!$G:$G,MATCH(B593,Bookings!$B:$B,0)),"")</f>
        <v>1</v>
      </c>
      <c r="J593" s="5">
        <f>VLOOKUP(B593,Bookings!B:H,7,FALSE())</f>
        <v>6</v>
      </c>
      <c r="K593" s="5" t="str">
        <f t="shared" si="1"/>
        <v>Medium</v>
      </c>
      <c r="L593" s="11">
        <f t="array" ref="L593">IFERROR(INDEX(Bookings!$K:$K,MATCH(A593,Bookings!$A:$A,0)),"")</f>
        <v>5703</v>
      </c>
      <c r="M593" s="5" t="str">
        <f t="shared" si="2"/>
        <v>Medium</v>
      </c>
      <c r="N593" s="5">
        <f t="array" ref="N593">IFERROR(INDEX(Bookings!$I:$I,MATCH(A593,Bookings!$A:$A,0)),"")</f>
        <v>28</v>
      </c>
      <c r="O593" s="5" t="str">
        <f t="shared" si="3"/>
        <v>Moderate</v>
      </c>
      <c r="P593" s="5" t="str">
        <f t="shared" si="4"/>
        <v>Kolkata -&gt; Delhi</v>
      </c>
    </row>
    <row r="594" ht="15.75" customHeight="1">
      <c r="A594" s="5" t="s">
        <v>2016</v>
      </c>
      <c r="B594" s="5" t="s">
        <v>1094</v>
      </c>
      <c r="C594" s="5" t="s">
        <v>475</v>
      </c>
      <c r="D594" s="5" t="s">
        <v>20</v>
      </c>
      <c r="E594" s="6" t="str">
        <f t="array" ref="E594">IFERROR(INDEX(Airlines!$B:$B,MATCH(D594,Airlines!$A:$A,0)),"")</f>
        <v>Vistara</v>
      </c>
      <c r="F594" s="6" t="str">
        <f>VLOOKUP(A594,Bookings!$A:$F,6,FALSE())</f>
        <v>Economy</v>
      </c>
      <c r="G594" s="6" t="str">
        <f t="array" ref="G594">IFERROR(INDEX(Flights!$E:$E,MATCH(B594,Flights!$A:$A,0)),"")</f>
        <v>Kolkata</v>
      </c>
      <c r="H594" s="6" t="str">
        <f>VLOOKUP(B594,Flights!A:H,6,FALSE())</f>
        <v>Delhi</v>
      </c>
      <c r="I594" s="6" t="str">
        <f t="array" ref="I594">IFERROR(INDEX(Bookings!$G:$G,MATCH(B594,Bookings!$B:$B,0)),"")</f>
        <v>1</v>
      </c>
      <c r="J594" s="5">
        <f>VLOOKUP(B594,Bookings!B:H,7,FALSE())</f>
        <v>22.08</v>
      </c>
      <c r="K594" s="5" t="str">
        <f t="shared" si="1"/>
        <v>Long</v>
      </c>
      <c r="L594" s="11">
        <f t="array" ref="L594">IFERROR(INDEX(Bookings!$K:$K,MATCH(A594,Bookings!$A:$A,0)),"")</f>
        <v>9353</v>
      </c>
      <c r="M594" s="5" t="str">
        <f t="shared" si="2"/>
        <v>Medium</v>
      </c>
      <c r="N594" s="5">
        <f t="array" ref="N594">IFERROR(INDEX(Bookings!$I:$I,MATCH(A594,Bookings!$A:$A,0)),"")</f>
        <v>48</v>
      </c>
      <c r="O594" s="5" t="str">
        <f t="shared" si="3"/>
        <v>Advance</v>
      </c>
      <c r="P594" s="5" t="str">
        <f t="shared" si="4"/>
        <v>Kolkata -&gt; Delhi</v>
      </c>
    </row>
    <row r="595" ht="15.75" customHeight="1">
      <c r="A595" s="5" t="s">
        <v>2017</v>
      </c>
      <c r="B595" s="5" t="s">
        <v>1003</v>
      </c>
      <c r="C595" s="5" t="s">
        <v>475</v>
      </c>
      <c r="D595" s="5" t="s">
        <v>20</v>
      </c>
      <c r="E595" s="6" t="str">
        <f t="array" ref="E595">IFERROR(INDEX(Airlines!$B:$B,MATCH(D595,Airlines!$A:$A,0)),"")</f>
        <v>Vistara</v>
      </c>
      <c r="F595" s="6" t="str">
        <f>VLOOKUP(A595,Bookings!$A:$F,6,FALSE())</f>
        <v>Business</v>
      </c>
      <c r="G595" s="6" t="str">
        <f t="array" ref="G595">IFERROR(INDEX(Flights!$E:$E,MATCH(B595,Flights!$A:$A,0)),"")</f>
        <v>Kolkata</v>
      </c>
      <c r="H595" s="6" t="str">
        <f>VLOOKUP(B595,Flights!A:H,6,FALSE())</f>
        <v>Delhi</v>
      </c>
      <c r="I595" s="6" t="str">
        <f t="array" ref="I595">IFERROR(INDEX(Bookings!$G:$G,MATCH(B595,Bookings!$B:$B,0)),"")</f>
        <v>1</v>
      </c>
      <c r="J595" s="5">
        <f>VLOOKUP(B595,Bookings!B:H,7,FALSE())</f>
        <v>10.25</v>
      </c>
      <c r="K595" s="5" t="str">
        <f t="shared" si="1"/>
        <v>Long</v>
      </c>
      <c r="L595" s="11">
        <f t="array" ref="L595">IFERROR(INDEX(Bookings!$K:$K,MATCH(A595,Bookings!$A:$A,0)),"")</f>
        <v>76255</v>
      </c>
      <c r="M595" s="5" t="str">
        <f t="shared" si="2"/>
        <v>High</v>
      </c>
      <c r="N595" s="5">
        <f t="array" ref="N595">IFERROR(INDEX(Bookings!$I:$I,MATCH(A595,Bookings!$A:$A,0)),"")</f>
        <v>34</v>
      </c>
      <c r="O595" s="5" t="str">
        <f t="shared" si="3"/>
        <v>Advance</v>
      </c>
      <c r="P595" s="5" t="str">
        <f t="shared" si="4"/>
        <v>Kolkata -&gt; Delhi</v>
      </c>
    </row>
    <row r="596" ht="15.75" customHeight="1">
      <c r="A596" s="5" t="s">
        <v>2020</v>
      </c>
      <c r="B596" s="5" t="s">
        <v>1121</v>
      </c>
      <c r="C596" s="5" t="s">
        <v>475</v>
      </c>
      <c r="D596" s="5" t="s">
        <v>45</v>
      </c>
      <c r="E596" s="6" t="str">
        <f t="array" ref="E596">IFERROR(INDEX(Airlines!$B:$B,MATCH(D596,Airlines!$A:$A,0)),"")</f>
        <v>Air_India</v>
      </c>
      <c r="F596" s="6" t="str">
        <f>VLOOKUP(A596,Bookings!$A:$F,6,FALSE())</f>
        <v>Business</v>
      </c>
      <c r="G596" s="6" t="str">
        <f t="array" ref="G596">IFERROR(INDEX(Flights!$E:$E,MATCH(B596,Flights!$A:$A,0)),"")</f>
        <v>Kolkata</v>
      </c>
      <c r="H596" s="6" t="str">
        <f>VLOOKUP(B596,Flights!A:H,6,FALSE())</f>
        <v>Delhi</v>
      </c>
      <c r="I596" s="6" t="str">
        <f t="array" ref="I596">IFERROR(INDEX(Bookings!$G:$G,MATCH(B596,Bookings!$B:$B,0)),"")</f>
        <v>0</v>
      </c>
      <c r="J596" s="5">
        <f>VLOOKUP(B596,Bookings!B:H,7,FALSE())</f>
        <v>2.25</v>
      </c>
      <c r="K596" s="5" t="str">
        <f t="shared" si="1"/>
        <v>Short</v>
      </c>
      <c r="L596" s="11">
        <f t="array" ref="L596">IFERROR(INDEX(Bookings!$K:$K,MATCH(A596,Bookings!$A:$A,0)),"")</f>
        <v>28510</v>
      </c>
      <c r="M596" s="5" t="str">
        <f t="shared" si="2"/>
        <v>High</v>
      </c>
      <c r="N596" s="5">
        <f t="array" ref="N596">IFERROR(INDEX(Bookings!$I:$I,MATCH(A596,Bookings!$A:$A,0)),"")</f>
        <v>38</v>
      </c>
      <c r="O596" s="5" t="str">
        <f t="shared" si="3"/>
        <v>Advance</v>
      </c>
      <c r="P596" s="5" t="str">
        <f t="shared" si="4"/>
        <v>Kolkata -&gt; Delhi</v>
      </c>
    </row>
    <row r="597" ht="15.75" customHeight="1">
      <c r="A597" s="5" t="s">
        <v>2022</v>
      </c>
      <c r="B597" s="5" t="s">
        <v>986</v>
      </c>
      <c r="C597" s="5" t="s">
        <v>475</v>
      </c>
      <c r="D597" s="5" t="s">
        <v>45</v>
      </c>
      <c r="E597" s="6" t="str">
        <f t="array" ref="E597">IFERROR(INDEX(Airlines!$B:$B,MATCH(D597,Airlines!$A:$A,0)),"")</f>
        <v>Air_India</v>
      </c>
      <c r="F597" s="6" t="str">
        <f>VLOOKUP(A597,Bookings!$A:$F,6,FALSE())</f>
        <v>Economy</v>
      </c>
      <c r="G597" s="6" t="str">
        <f t="array" ref="G597">IFERROR(INDEX(Flights!$E:$E,MATCH(B597,Flights!$A:$A,0)),"")</f>
        <v>Kolkata</v>
      </c>
      <c r="H597" s="6" t="str">
        <f>VLOOKUP(B597,Flights!A:H,6,FALSE())</f>
        <v>Delhi</v>
      </c>
      <c r="I597" s="6" t="str">
        <f t="array" ref="I597">IFERROR(INDEX(Bookings!$G:$G,MATCH(B597,Bookings!$B:$B,0)),"")</f>
        <v>1</v>
      </c>
      <c r="J597" s="5">
        <f>VLOOKUP(B597,Bookings!B:H,7,FALSE())</f>
        <v>12.33</v>
      </c>
      <c r="K597" s="5" t="str">
        <f t="shared" si="1"/>
        <v>Long</v>
      </c>
      <c r="L597" s="11">
        <f t="array" ref="L597">IFERROR(INDEX(Bookings!$K:$K,MATCH(A597,Bookings!$A:$A,0)),"")</f>
        <v>4347</v>
      </c>
      <c r="M597" s="5" t="str">
        <f t="shared" si="2"/>
        <v>Low</v>
      </c>
      <c r="N597" s="5" t="str">
        <f t="array" ref="N597">IFERROR(INDEX(Bookings!$I:$I,MATCH(A597,Bookings!$A:$A,0)),"")</f>
        <v/>
      </c>
      <c r="O597" s="5" t="str">
        <f t="shared" si="3"/>
        <v>Last Minute</v>
      </c>
      <c r="P597" s="5" t="str">
        <f t="shared" si="4"/>
        <v>Kolkata -&gt; Delhi</v>
      </c>
    </row>
    <row r="598" ht="15.75" customHeight="1">
      <c r="A598" s="5" t="s">
        <v>2025</v>
      </c>
      <c r="B598" s="5" t="s">
        <v>1100</v>
      </c>
      <c r="C598" s="5" t="s">
        <v>475</v>
      </c>
      <c r="D598" s="5" t="s">
        <v>43</v>
      </c>
      <c r="E598" s="6" t="str">
        <f t="array" ref="E598">IFERROR(INDEX(Airlines!$B:$B,MATCH(D598,Airlines!$A:$A,0)),"")</f>
        <v>Indigo</v>
      </c>
      <c r="F598" s="6" t="str">
        <f>VLOOKUP(A598,Bookings!$A:$F,6,FALSE())</f>
        <v>Economy</v>
      </c>
      <c r="G598" s="6" t="str">
        <f t="array" ref="G598">IFERROR(INDEX(Flights!$E:$E,MATCH(B598,Flights!$A:$A,0)),"")</f>
        <v>Kolkata</v>
      </c>
      <c r="H598" s="6" t="str">
        <f>VLOOKUP(B598,Flights!A:H,6,FALSE())</f>
        <v>Delhi</v>
      </c>
      <c r="I598" s="6" t="str">
        <f t="array" ref="I598">IFERROR(INDEX(Bookings!$G:$G,MATCH(B598,Bookings!$B:$B,0)),"")</f>
        <v>1</v>
      </c>
      <c r="J598" s="5">
        <f>VLOOKUP(B598,Bookings!B:H,7,FALSE())</f>
        <v>6.33</v>
      </c>
      <c r="K598" s="5" t="str">
        <f t="shared" si="1"/>
        <v>Medium</v>
      </c>
      <c r="L598" s="11">
        <f t="array" ref="L598">IFERROR(INDEX(Bookings!$K:$K,MATCH(A598,Bookings!$A:$A,0)),"")</f>
        <v>4495</v>
      </c>
      <c r="M598" s="5" t="str">
        <f t="shared" si="2"/>
        <v>Low</v>
      </c>
      <c r="N598" s="5">
        <f t="array" ref="N598">IFERROR(INDEX(Bookings!$I:$I,MATCH(A598,Bookings!$A:$A,0)),"")</f>
        <v>29</v>
      </c>
      <c r="O598" s="5" t="str">
        <f t="shared" si="3"/>
        <v>Moderate</v>
      </c>
      <c r="P598" s="5" t="str">
        <f t="shared" si="4"/>
        <v>Kolkata -&gt; Delhi</v>
      </c>
    </row>
    <row r="599" ht="15.75" customHeight="1">
      <c r="A599" s="5" t="s">
        <v>2026</v>
      </c>
      <c r="B599" s="5" t="s">
        <v>1130</v>
      </c>
      <c r="C599" s="5" t="s">
        <v>475</v>
      </c>
      <c r="D599" s="5" t="s">
        <v>45</v>
      </c>
      <c r="E599" s="6" t="str">
        <f t="array" ref="E599">IFERROR(INDEX(Airlines!$B:$B,MATCH(D599,Airlines!$A:$A,0)),"")</f>
        <v>Air_India</v>
      </c>
      <c r="F599" s="6" t="str">
        <f>VLOOKUP(A599,Bookings!$A:$F,6,FALSE())</f>
        <v>Business</v>
      </c>
      <c r="G599" s="6" t="str">
        <f t="array" ref="G599">IFERROR(INDEX(Flights!$E:$E,MATCH(B599,Flights!$A:$A,0)),"")</f>
        <v>Kolkata</v>
      </c>
      <c r="H599" s="6" t="str">
        <f>VLOOKUP(B599,Flights!A:H,6,FALSE())</f>
        <v>Delhi</v>
      </c>
      <c r="I599" s="6" t="str">
        <f t="array" ref="I599">IFERROR(INDEX(Bookings!$G:$G,MATCH(B599,Bookings!$B:$B,0)),"")</f>
        <v>1</v>
      </c>
      <c r="J599" s="5">
        <f>VLOOKUP(B599,Bookings!B:H,7,FALSE())</f>
        <v>18.75</v>
      </c>
      <c r="K599" s="5" t="str">
        <f t="shared" si="1"/>
        <v>Long</v>
      </c>
      <c r="L599" s="11">
        <f t="array" ref="L599">IFERROR(INDEX(Bookings!$K:$K,MATCH(A599,Bookings!$A:$A,0)),"")</f>
        <v>57939</v>
      </c>
      <c r="M599" s="5" t="str">
        <f t="shared" si="2"/>
        <v>High</v>
      </c>
      <c r="N599" s="5">
        <f t="array" ref="N599">IFERROR(INDEX(Bookings!$I:$I,MATCH(A599,Bookings!$A:$A,0)),"")</f>
        <v>34</v>
      </c>
      <c r="O599" s="5" t="str">
        <f t="shared" si="3"/>
        <v>Advance</v>
      </c>
      <c r="P599" s="5" t="str">
        <f t="shared" si="4"/>
        <v>Kolkata -&gt; Delhi</v>
      </c>
    </row>
    <row r="600" ht="15.75" customHeight="1">
      <c r="A600" s="5" t="s">
        <v>2029</v>
      </c>
      <c r="B600" s="5" t="s">
        <v>1085</v>
      </c>
      <c r="C600" s="5" t="s">
        <v>475</v>
      </c>
      <c r="D600" s="5" t="s">
        <v>45</v>
      </c>
      <c r="E600" s="6" t="str">
        <f t="array" ref="E600">IFERROR(INDEX(Airlines!$B:$B,MATCH(D600,Airlines!$A:$A,0)),"")</f>
        <v>Air_India</v>
      </c>
      <c r="F600" s="6" t="str">
        <f>VLOOKUP(A600,Bookings!$A:$F,6,FALSE())</f>
        <v>Economy</v>
      </c>
      <c r="G600" s="6" t="str">
        <f t="array" ref="G600">IFERROR(INDEX(Flights!$E:$E,MATCH(B600,Flights!$A:$A,0)),"")</f>
        <v>Kolkata</v>
      </c>
      <c r="H600" s="6" t="str">
        <f>VLOOKUP(B600,Flights!A:H,6,FALSE())</f>
        <v>Delhi</v>
      </c>
      <c r="I600" s="6" t="str">
        <f t="array" ref="I600">IFERROR(INDEX(Bookings!$G:$G,MATCH(B600,Bookings!$B:$B,0)),"")</f>
        <v>1</v>
      </c>
      <c r="J600" s="5">
        <f>VLOOKUP(B600,Bookings!B:H,7,FALSE())</f>
        <v>16.17</v>
      </c>
      <c r="K600" s="5" t="str">
        <f t="shared" si="1"/>
        <v>Long</v>
      </c>
      <c r="L600" s="11">
        <f t="array" ref="L600">IFERROR(INDEX(Bookings!$K:$K,MATCH(A600,Bookings!$A:$A,0)),"")</f>
        <v>5093</v>
      </c>
      <c r="M600" s="5" t="str">
        <f t="shared" si="2"/>
        <v>Medium</v>
      </c>
      <c r="N600" s="5" t="str">
        <f t="array" ref="N600">IFERROR(INDEX(Bookings!$I:$I,MATCH(A600,Bookings!$A:$A,0)),"")</f>
        <v/>
      </c>
      <c r="O600" s="5" t="str">
        <f t="shared" si="3"/>
        <v>Last Minute</v>
      </c>
      <c r="P600" s="5" t="str">
        <f t="shared" si="4"/>
        <v>Kolkata -&gt; Delhi</v>
      </c>
    </row>
    <row r="601" ht="15.75" customHeight="1">
      <c r="A601" s="5" t="s">
        <v>2031</v>
      </c>
      <c r="B601" s="5" t="s">
        <v>1001</v>
      </c>
      <c r="C601" s="5" t="s">
        <v>475</v>
      </c>
      <c r="D601" s="5" t="s">
        <v>43</v>
      </c>
      <c r="E601" s="6" t="str">
        <f t="array" ref="E601">IFERROR(INDEX(Airlines!$B:$B,MATCH(D601,Airlines!$A:$A,0)),"")</f>
        <v>Indigo</v>
      </c>
      <c r="F601" s="6" t="str">
        <f>VLOOKUP(A601,Bookings!$A:$F,6,FALSE())</f>
        <v>Economy</v>
      </c>
      <c r="G601" s="6" t="str">
        <f t="array" ref="G601">IFERROR(INDEX(Flights!$E:$E,MATCH(B601,Flights!$A:$A,0)),"")</f>
        <v>Kolkata</v>
      </c>
      <c r="H601" s="6" t="str">
        <f>VLOOKUP(B601,Flights!A:H,6,FALSE())</f>
        <v>Delhi</v>
      </c>
      <c r="I601" s="6" t="str">
        <f t="array" ref="I601">IFERROR(INDEX(Bookings!$G:$G,MATCH(B601,Bookings!$B:$B,0)),"")</f>
        <v>1</v>
      </c>
      <c r="J601" s="5">
        <f>VLOOKUP(B601,Bookings!B:H,7,FALSE())</f>
        <v>8.25</v>
      </c>
      <c r="K601" s="5" t="str">
        <f t="shared" si="1"/>
        <v>Medium</v>
      </c>
      <c r="L601" s="11">
        <f t="array" ref="L601">IFERROR(INDEX(Bookings!$K:$K,MATCH(A601,Bookings!$A:$A,0)),"")</f>
        <v>12348</v>
      </c>
      <c r="M601" s="5" t="str">
        <f t="shared" si="2"/>
        <v>Medium</v>
      </c>
      <c r="N601" s="5" t="str">
        <f t="array" ref="N601">IFERROR(INDEX(Bookings!$I:$I,MATCH(A601,Bookings!$A:$A,0)),"")</f>
        <v/>
      </c>
      <c r="O601" s="5" t="str">
        <f t="shared" si="3"/>
        <v>Last Minute</v>
      </c>
      <c r="P601" s="5" t="str">
        <f t="shared" si="4"/>
        <v>Kolkata -&gt; Delhi</v>
      </c>
    </row>
    <row r="602" ht="15.75" customHeight="1">
      <c r="A602" s="5" t="s">
        <v>2032</v>
      </c>
      <c r="B602" s="5" t="s">
        <v>1111</v>
      </c>
      <c r="C602" s="5" t="s">
        <v>475</v>
      </c>
      <c r="D602" s="5" t="s">
        <v>72</v>
      </c>
      <c r="E602" s="6" t="str">
        <f t="array" ref="E602">IFERROR(INDEX(Airlines!$B:$B,MATCH(D602,Airlines!$A:$A,0)),"")</f>
        <v>Spicejet</v>
      </c>
      <c r="F602" s="6" t="str">
        <f>VLOOKUP(A602,Bookings!$A:$F,6,FALSE())</f>
        <v>Economy</v>
      </c>
      <c r="G602" s="6" t="str">
        <f t="array" ref="G602">IFERROR(INDEX(Flights!$E:$E,MATCH(B602,Flights!$A:$A,0)),"")</f>
        <v>Kolkata</v>
      </c>
      <c r="H602" s="6" t="str">
        <f>VLOOKUP(B602,Flights!A:H,6,FALSE())</f>
        <v>Delhi</v>
      </c>
      <c r="I602" s="6" t="str">
        <f t="array" ref="I602">IFERROR(INDEX(Bookings!$G:$G,MATCH(B602,Bookings!$B:$B,0)),"")</f>
        <v>1</v>
      </c>
      <c r="J602" s="5">
        <f>VLOOKUP(B602,Bookings!B:H,7,FALSE())</f>
        <v>10.5</v>
      </c>
      <c r="K602" s="5" t="str">
        <f t="shared" si="1"/>
        <v>Long</v>
      </c>
      <c r="L602" s="11">
        <f t="array" ref="L602">IFERROR(INDEX(Bookings!$K:$K,MATCH(A602,Bookings!$A:$A,0)),"")</f>
        <v>6488</v>
      </c>
      <c r="M602" s="5" t="str">
        <f t="shared" si="2"/>
        <v>Medium</v>
      </c>
      <c r="N602" s="5">
        <f t="array" ref="N602">IFERROR(INDEX(Bookings!$I:$I,MATCH(A602,Bookings!$A:$A,0)),"")</f>
        <v>5</v>
      </c>
      <c r="O602" s="5" t="str">
        <f t="shared" si="3"/>
        <v>Last Minute</v>
      </c>
      <c r="P602" s="5" t="str">
        <f t="shared" si="4"/>
        <v>Kolkata -&gt; Delhi</v>
      </c>
    </row>
    <row r="603" ht="15.75" customHeight="1">
      <c r="A603" s="5" t="s">
        <v>2035</v>
      </c>
      <c r="B603" s="5" t="s">
        <v>1125</v>
      </c>
      <c r="C603" s="5" t="s">
        <v>475</v>
      </c>
      <c r="D603" s="5" t="s">
        <v>45</v>
      </c>
      <c r="E603" s="6" t="str">
        <f t="array" ref="E603">IFERROR(INDEX(Airlines!$B:$B,MATCH(D603,Airlines!$A:$A,0)),"")</f>
        <v>Air_India</v>
      </c>
      <c r="F603" s="6" t="str">
        <f>VLOOKUP(A603,Bookings!$A:$F,6,FALSE())</f>
        <v>Business</v>
      </c>
      <c r="G603" s="6" t="str">
        <f t="array" ref="G603">IFERROR(INDEX(Flights!$E:$E,MATCH(B603,Flights!$A:$A,0)),"")</f>
        <v>Kolkata</v>
      </c>
      <c r="H603" s="6" t="str">
        <f>VLOOKUP(B603,Flights!A:H,6,FALSE())</f>
        <v>Delhi</v>
      </c>
      <c r="I603" s="6" t="str">
        <f t="array" ref="I603">IFERROR(INDEX(Bookings!$G:$G,MATCH(B603,Bookings!$B:$B,0)),"")</f>
        <v>1</v>
      </c>
      <c r="J603" s="5">
        <f>VLOOKUP(B603,Bookings!B:H,7,FALSE())</f>
        <v>7.92</v>
      </c>
      <c r="K603" s="5" t="str">
        <f t="shared" si="1"/>
        <v>Medium</v>
      </c>
      <c r="L603" s="11">
        <f t="array" ref="L603">IFERROR(INDEX(Bookings!$K:$K,MATCH(A603,Bookings!$A:$A,0)),"")</f>
        <v>7336</v>
      </c>
      <c r="M603" s="5" t="str">
        <f t="shared" si="2"/>
        <v>Medium</v>
      </c>
      <c r="N603" s="5">
        <f t="array" ref="N603">IFERROR(INDEX(Bookings!$I:$I,MATCH(A603,Bookings!$A:$A,0)),"")</f>
        <v>35</v>
      </c>
      <c r="O603" s="5" t="str">
        <f t="shared" si="3"/>
        <v>Advance</v>
      </c>
      <c r="P603" s="5" t="str">
        <f t="shared" si="4"/>
        <v>Kolkata -&gt; Delhi</v>
      </c>
    </row>
    <row r="604" ht="15.75" customHeight="1">
      <c r="A604" s="5" t="s">
        <v>2037</v>
      </c>
      <c r="B604" s="5" t="s">
        <v>982</v>
      </c>
      <c r="C604" s="5" t="s">
        <v>475</v>
      </c>
      <c r="D604" s="5" t="s">
        <v>43</v>
      </c>
      <c r="E604" s="6" t="str">
        <f t="array" ref="E604">IFERROR(INDEX(Airlines!$B:$B,MATCH(D604,Airlines!$A:$A,0)),"")</f>
        <v>Indigo</v>
      </c>
      <c r="F604" s="6" t="str">
        <f>VLOOKUP(A604,Bookings!$A:$F,6,FALSE())</f>
        <v>Economy</v>
      </c>
      <c r="G604" s="6" t="str">
        <f t="array" ref="G604">IFERROR(INDEX(Flights!$E:$E,MATCH(B604,Flights!$A:$A,0)),"")</f>
        <v>Kolkata</v>
      </c>
      <c r="H604" s="6" t="str">
        <f>VLOOKUP(B604,Flights!A:H,6,FALSE())</f>
        <v>Delhi</v>
      </c>
      <c r="I604" s="6" t="str">
        <f t="array" ref="I604">IFERROR(INDEX(Bookings!$G:$G,MATCH(B604,Bookings!$B:$B,0)),"")</f>
        <v>1</v>
      </c>
      <c r="J604" s="5">
        <f>VLOOKUP(B604,Bookings!B:H,7,FALSE())</f>
        <v>10.25</v>
      </c>
      <c r="K604" s="5" t="str">
        <f t="shared" si="1"/>
        <v>Long</v>
      </c>
      <c r="L604" s="11">
        <f t="array" ref="L604">IFERROR(INDEX(Bookings!$K:$K,MATCH(A604,Bookings!$A:$A,0)),"")</f>
        <v>12348</v>
      </c>
      <c r="M604" s="5" t="str">
        <f t="shared" si="2"/>
        <v>Medium</v>
      </c>
      <c r="N604" s="5">
        <f t="array" ref="N604">IFERROR(INDEX(Bookings!$I:$I,MATCH(A604,Bookings!$A:$A,0)),"")</f>
        <v>5</v>
      </c>
      <c r="O604" s="5" t="str">
        <f t="shared" si="3"/>
        <v>Last Minute</v>
      </c>
      <c r="P604" s="5" t="str">
        <f t="shared" si="4"/>
        <v>Kolkata -&gt; Delhi</v>
      </c>
    </row>
    <row r="605" ht="15.75" customHeight="1">
      <c r="A605" s="5" t="s">
        <v>2039</v>
      </c>
      <c r="B605" s="5" t="s">
        <v>992</v>
      </c>
      <c r="C605" s="5" t="s">
        <v>475</v>
      </c>
      <c r="D605" s="5" t="s">
        <v>45</v>
      </c>
      <c r="E605" s="6" t="str">
        <f t="array" ref="E605">IFERROR(INDEX(Airlines!$B:$B,MATCH(D605,Airlines!$A:$A,0)),"")</f>
        <v>Air_India</v>
      </c>
      <c r="F605" s="6" t="str">
        <f>VLOOKUP(A605,Bookings!$A:$F,6,FALSE())</f>
        <v>Economy</v>
      </c>
      <c r="G605" s="6" t="str">
        <f t="array" ref="G605">IFERROR(INDEX(Flights!$E:$E,MATCH(B605,Flights!$A:$A,0)),"")</f>
        <v>Kolkata</v>
      </c>
      <c r="H605" s="6" t="str">
        <f>VLOOKUP(B605,Flights!A:H,6,FALSE())</f>
        <v>Delhi</v>
      </c>
      <c r="I605" s="6" t="str">
        <f t="array" ref="I605">IFERROR(INDEX(Bookings!$G:$G,MATCH(B605,Bookings!$B:$B,0)),"")</f>
        <v>1</v>
      </c>
      <c r="J605" s="5">
        <f>VLOOKUP(B605,Bookings!B:H,7,FALSE())</f>
        <v>16.17</v>
      </c>
      <c r="K605" s="5" t="str">
        <f t="shared" si="1"/>
        <v>Long</v>
      </c>
      <c r="L605" s="11">
        <f t="array" ref="L605">IFERROR(INDEX(Bookings!$K:$K,MATCH(A605,Bookings!$A:$A,0)),"")</f>
        <v>10112</v>
      </c>
      <c r="M605" s="5" t="str">
        <f t="shared" si="2"/>
        <v>Medium</v>
      </c>
      <c r="N605" s="5">
        <f t="array" ref="N605">IFERROR(INDEX(Bookings!$I:$I,MATCH(A605,Bookings!$A:$A,0)),"")</f>
        <v>6</v>
      </c>
      <c r="O605" s="5" t="str">
        <f t="shared" si="3"/>
        <v>Last Minute</v>
      </c>
      <c r="P605" s="5" t="str">
        <f t="shared" si="4"/>
        <v>Kolkata -&gt; Delhi</v>
      </c>
    </row>
    <row r="606" ht="15.75" customHeight="1">
      <c r="A606" s="5" t="s">
        <v>2041</v>
      </c>
      <c r="B606" s="5" t="s">
        <v>1070</v>
      </c>
      <c r="C606" s="5" t="s">
        <v>475</v>
      </c>
      <c r="D606" s="5" t="s">
        <v>43</v>
      </c>
      <c r="E606" s="6" t="str">
        <f t="array" ref="E606">IFERROR(INDEX(Airlines!$B:$B,MATCH(D606,Airlines!$A:$A,0)),"")</f>
        <v>Indigo</v>
      </c>
      <c r="F606" s="6" t="str">
        <f>VLOOKUP(A606,Bookings!$A:$F,6,FALSE())</f>
        <v>Economy</v>
      </c>
      <c r="G606" s="6" t="str">
        <f t="array" ref="G606">IFERROR(INDEX(Flights!$E:$E,MATCH(B606,Flights!$A:$A,0)),"")</f>
        <v>Kolkata</v>
      </c>
      <c r="H606" s="6" t="str">
        <f>VLOOKUP(B606,Flights!A:H,6,FALSE())</f>
        <v>Delhi</v>
      </c>
      <c r="I606" s="6" t="str">
        <f t="array" ref="I606">IFERROR(INDEX(Bookings!$G:$G,MATCH(B606,Bookings!$B:$B,0)),"")</f>
        <v>1</v>
      </c>
      <c r="J606" s="5">
        <f>VLOOKUP(B606,Bookings!B:H,7,FALSE())</f>
        <v>6.33</v>
      </c>
      <c r="K606" s="5" t="str">
        <f t="shared" si="1"/>
        <v>Medium</v>
      </c>
      <c r="L606" s="11">
        <f t="array" ref="L606">IFERROR(INDEX(Bookings!$K:$K,MATCH(A606,Bookings!$A:$A,0)),"")</f>
        <v>4439</v>
      </c>
      <c r="M606" s="5" t="str">
        <f t="shared" si="2"/>
        <v>Low</v>
      </c>
      <c r="N606" s="5">
        <f t="array" ref="N606">IFERROR(INDEX(Bookings!$I:$I,MATCH(A606,Bookings!$A:$A,0)),"")</f>
        <v>42</v>
      </c>
      <c r="O606" s="5" t="str">
        <f t="shared" si="3"/>
        <v>Advance</v>
      </c>
      <c r="P606" s="5" t="str">
        <f t="shared" si="4"/>
        <v>Kolkata -&gt; Delhi</v>
      </c>
    </row>
    <row r="607" ht="15.75" customHeight="1">
      <c r="A607" s="5" t="s">
        <v>2043</v>
      </c>
      <c r="B607" s="5" t="s">
        <v>1027</v>
      </c>
      <c r="C607" s="5" t="s">
        <v>475</v>
      </c>
      <c r="D607" s="5" t="s">
        <v>45</v>
      </c>
      <c r="E607" s="6" t="str">
        <f t="array" ref="E607">IFERROR(INDEX(Airlines!$B:$B,MATCH(D607,Airlines!$A:$A,0)),"")</f>
        <v>Air_India</v>
      </c>
      <c r="F607" s="6" t="str">
        <f>VLOOKUP(A607,Bookings!$A:$F,6,FALSE())</f>
        <v>Economy</v>
      </c>
      <c r="G607" s="6" t="str">
        <f t="array" ref="G607">IFERROR(INDEX(Flights!$E:$E,MATCH(B607,Flights!$A:$A,0)),"")</f>
        <v>Kolkata</v>
      </c>
      <c r="H607" s="6" t="str">
        <f>VLOOKUP(B607,Flights!A:H,6,FALSE())</f>
        <v>Delhi</v>
      </c>
      <c r="I607" s="6" t="str">
        <f t="array" ref="I607">IFERROR(INDEX(Bookings!$G:$G,MATCH(B607,Bookings!$B:$B,0)),"")</f>
        <v>1</v>
      </c>
      <c r="J607" s="5">
        <f>VLOOKUP(B607,Bookings!B:H,7,FALSE())</f>
        <v>21.75</v>
      </c>
      <c r="K607" s="5" t="str">
        <f t="shared" si="1"/>
        <v>Long</v>
      </c>
      <c r="L607" s="11">
        <f t="array" ref="L607">IFERROR(INDEX(Bookings!$K:$K,MATCH(A607,Bookings!$A:$A,0)),"")</f>
        <v>13524</v>
      </c>
      <c r="M607" s="5" t="str">
        <f t="shared" si="2"/>
        <v>Medium</v>
      </c>
      <c r="N607" s="5">
        <f t="array" ref="N607">IFERROR(INDEX(Bookings!$I:$I,MATCH(A607,Bookings!$A:$A,0)),"")</f>
        <v>7</v>
      </c>
      <c r="O607" s="5" t="str">
        <f t="shared" si="3"/>
        <v>Last Minute</v>
      </c>
      <c r="P607" s="5" t="str">
        <f t="shared" si="4"/>
        <v>Kolkata -&gt; Delhi</v>
      </c>
    </row>
    <row r="608" ht="15.75" customHeight="1">
      <c r="A608" s="5" t="s">
        <v>2044</v>
      </c>
      <c r="B608" s="5" t="s">
        <v>964</v>
      </c>
      <c r="C608" s="5" t="s">
        <v>475</v>
      </c>
      <c r="D608" s="5" t="s">
        <v>58</v>
      </c>
      <c r="E608" s="6" t="str">
        <f t="array" ref="E608">IFERROR(INDEX(Airlines!$B:$B,MATCH(D608,Airlines!$A:$A,0)),"")</f>
        <v>Go_First</v>
      </c>
      <c r="F608" s="6" t="str">
        <f>VLOOKUP(A608,Bookings!$A:$F,6,FALSE())</f>
        <v>Economy</v>
      </c>
      <c r="G608" s="6" t="str">
        <f t="array" ref="G608">IFERROR(INDEX(Flights!$E:$E,MATCH(B608,Flights!$A:$A,0)),"")</f>
        <v>Kolkata</v>
      </c>
      <c r="H608" s="6" t="str">
        <f>VLOOKUP(B608,Flights!A:H,6,FALSE())</f>
        <v>Delhi</v>
      </c>
      <c r="I608" s="6" t="str">
        <f t="array" ref="I608">IFERROR(INDEX(Bookings!$G:$G,MATCH(B608,Bookings!$B:$B,0)),"")</f>
        <v>1</v>
      </c>
      <c r="J608" s="5">
        <f>VLOOKUP(B608,Bookings!B:H,7,FALSE())</f>
        <v>10.33</v>
      </c>
      <c r="K608" s="5" t="str">
        <f t="shared" si="1"/>
        <v>Long</v>
      </c>
      <c r="L608" s="11">
        <f t="array" ref="L608">IFERROR(INDEX(Bookings!$K:$K,MATCH(A608,Bookings!$A:$A,0)),"")</f>
        <v>8089</v>
      </c>
      <c r="M608" s="5" t="str">
        <f t="shared" si="2"/>
        <v>Medium</v>
      </c>
      <c r="N608" s="5">
        <f t="array" ref="N608">IFERROR(INDEX(Bookings!$I:$I,MATCH(A608,Bookings!$A:$A,0)),"")</f>
        <v>26</v>
      </c>
      <c r="O608" s="5" t="str">
        <f t="shared" si="3"/>
        <v>Moderate</v>
      </c>
      <c r="P608" s="5" t="str">
        <f t="shared" si="4"/>
        <v>Kolkata -&gt; Delhi</v>
      </c>
    </row>
    <row r="609" ht="15.75" customHeight="1">
      <c r="A609" s="5" t="s">
        <v>2046</v>
      </c>
      <c r="B609" s="5" t="s">
        <v>1010</v>
      </c>
      <c r="C609" s="5" t="s">
        <v>475</v>
      </c>
      <c r="D609" s="5" t="s">
        <v>45</v>
      </c>
      <c r="E609" s="6" t="str">
        <f t="array" ref="E609">IFERROR(INDEX(Airlines!$B:$B,MATCH(D609,Airlines!$A:$A,0)),"")</f>
        <v>Air_India</v>
      </c>
      <c r="F609" s="6" t="str">
        <f>VLOOKUP(A609,Bookings!$A:$F,6,FALSE())</f>
        <v>Business</v>
      </c>
      <c r="G609" s="6" t="str">
        <f t="array" ref="G609">IFERROR(INDEX(Flights!$E:$E,MATCH(B609,Flights!$A:$A,0)),"")</f>
        <v>Kolkata</v>
      </c>
      <c r="H609" s="6" t="str">
        <f>VLOOKUP(B609,Flights!A:H,6,FALSE())</f>
        <v>Delhi</v>
      </c>
      <c r="I609" s="6" t="str">
        <f t="array" ref="I609">IFERROR(INDEX(Bookings!$G:$G,MATCH(B609,Bookings!$B:$B,0)),"")</f>
        <v>1</v>
      </c>
      <c r="J609" s="5">
        <f>VLOOKUP(B609,Bookings!B:H,7,FALSE())</f>
        <v>28</v>
      </c>
      <c r="K609" s="5" t="str">
        <f t="shared" si="1"/>
        <v>Long</v>
      </c>
      <c r="L609" s="11">
        <f t="array" ref="L609">IFERROR(INDEX(Bookings!$K:$K,MATCH(A609,Bookings!$A:$A,0)),"")</f>
        <v>7336</v>
      </c>
      <c r="M609" s="5" t="str">
        <f t="shared" si="2"/>
        <v>Medium</v>
      </c>
      <c r="N609" s="5">
        <f t="array" ref="N609">IFERROR(INDEX(Bookings!$I:$I,MATCH(A609,Bookings!$A:$A,0)),"")</f>
        <v>19</v>
      </c>
      <c r="O609" s="5" t="str">
        <f t="shared" si="3"/>
        <v>Moderate</v>
      </c>
      <c r="P609" s="5" t="str">
        <f t="shared" si="4"/>
        <v>Kolkata -&gt; Delhi</v>
      </c>
    </row>
    <row r="610" ht="15.75" customHeight="1">
      <c r="A610" s="5" t="s">
        <v>2048</v>
      </c>
      <c r="B610" s="5" t="s">
        <v>1116</v>
      </c>
      <c r="C610" s="5" t="s">
        <v>475</v>
      </c>
      <c r="D610" s="5" t="s">
        <v>45</v>
      </c>
      <c r="E610" s="6" t="str">
        <f t="array" ref="E610">IFERROR(INDEX(Airlines!$B:$B,MATCH(D610,Airlines!$A:$A,0)),"")</f>
        <v>Air_India</v>
      </c>
      <c r="F610" s="6" t="str">
        <f>VLOOKUP(A610,Bookings!$A:$F,6,FALSE())</f>
        <v>Economy</v>
      </c>
      <c r="G610" s="6" t="str">
        <f t="array" ref="G610">IFERROR(INDEX(Flights!$E:$E,MATCH(B610,Flights!$A:$A,0)),"")</f>
        <v>Kolkata</v>
      </c>
      <c r="H610" s="6" t="str">
        <f>VLOOKUP(B610,Flights!A:H,6,FALSE())</f>
        <v>Delhi</v>
      </c>
      <c r="I610" s="6" t="str">
        <f t="array" ref="I610">IFERROR(INDEX(Bookings!$G:$G,MATCH(B610,Bookings!$B:$B,0)),"")</f>
        <v>1</v>
      </c>
      <c r="J610" s="5">
        <f>VLOOKUP(B610,Bookings!B:H,7,FALSE())</f>
        <v>24.92</v>
      </c>
      <c r="K610" s="5" t="str">
        <f t="shared" si="1"/>
        <v>Long</v>
      </c>
      <c r="L610" s="11">
        <f t="array" ref="L610">IFERROR(INDEX(Bookings!$K:$K,MATCH(A610,Bookings!$A:$A,0)),"")</f>
        <v>14889</v>
      </c>
      <c r="M610" s="5" t="str">
        <f t="shared" si="2"/>
        <v>Medium</v>
      </c>
      <c r="N610" s="5">
        <f t="array" ref="N610">IFERROR(INDEX(Bookings!$I:$I,MATCH(A610,Bookings!$A:$A,0)),"")</f>
        <v>12</v>
      </c>
      <c r="O610" s="5" t="str">
        <f t="shared" si="3"/>
        <v>Short Notice</v>
      </c>
      <c r="P610" s="5" t="str">
        <f t="shared" si="4"/>
        <v>Kolkata -&gt; Delhi</v>
      </c>
    </row>
    <row r="611" ht="15.75" customHeight="1">
      <c r="A611" s="5" t="s">
        <v>2050</v>
      </c>
      <c r="B611" s="5" t="s">
        <v>1040</v>
      </c>
      <c r="C611" s="5" t="s">
        <v>475</v>
      </c>
      <c r="D611" s="5" t="s">
        <v>45</v>
      </c>
      <c r="E611" s="6" t="str">
        <f t="array" ref="E611">IFERROR(INDEX(Airlines!$B:$B,MATCH(D611,Airlines!$A:$A,0)),"")</f>
        <v>Air_India</v>
      </c>
      <c r="F611" s="6" t="str">
        <f>VLOOKUP(A611,Bookings!$A:$F,6,FALSE())</f>
        <v>Business</v>
      </c>
      <c r="G611" s="6" t="str">
        <f t="array" ref="G611">IFERROR(INDEX(Flights!$E:$E,MATCH(B611,Flights!$A:$A,0)),"")</f>
        <v>Kolkata</v>
      </c>
      <c r="H611" s="6" t="str">
        <f>VLOOKUP(B611,Flights!A:H,6,FALSE())</f>
        <v>Delhi</v>
      </c>
      <c r="I611" s="6" t="str">
        <f t="array" ref="I611">IFERROR(INDEX(Bookings!$G:$G,MATCH(B611,Bookings!$B:$B,0)),"")</f>
        <v>1</v>
      </c>
      <c r="J611" s="5">
        <f>VLOOKUP(B611,Bookings!B:H,7,FALSE())</f>
        <v>29.67</v>
      </c>
      <c r="K611" s="5" t="str">
        <f t="shared" si="1"/>
        <v>Long</v>
      </c>
      <c r="L611" s="11">
        <f t="array" ref="L611">IFERROR(INDEX(Bookings!$K:$K,MATCH(A611,Bookings!$A:$A,0)),"")</f>
        <v>45012</v>
      </c>
      <c r="M611" s="5" t="str">
        <f t="shared" si="2"/>
        <v>High</v>
      </c>
      <c r="N611" s="5">
        <f t="array" ref="N611">IFERROR(INDEX(Bookings!$I:$I,MATCH(A611,Bookings!$A:$A,0)),"")</f>
        <v>37</v>
      </c>
      <c r="O611" s="5" t="str">
        <f t="shared" si="3"/>
        <v>Advance</v>
      </c>
      <c r="P611" s="5" t="str">
        <f t="shared" si="4"/>
        <v>Kolkata -&gt; Delhi</v>
      </c>
    </row>
    <row r="612" ht="15.75" customHeight="1">
      <c r="A612" s="5" t="s">
        <v>2052</v>
      </c>
      <c r="B612" s="5" t="s">
        <v>974</v>
      </c>
      <c r="C612" s="5" t="s">
        <v>475</v>
      </c>
      <c r="D612" s="5" t="s">
        <v>43</v>
      </c>
      <c r="E612" s="6" t="str">
        <f t="array" ref="E612">IFERROR(INDEX(Airlines!$B:$B,MATCH(D612,Airlines!$A:$A,0)),"")</f>
        <v>Indigo</v>
      </c>
      <c r="F612" s="6" t="str">
        <f>VLOOKUP(A612,Bookings!$A:$F,6,FALSE())</f>
        <v>Economy</v>
      </c>
      <c r="G612" s="6" t="str">
        <f t="array" ref="G612">IFERROR(INDEX(Flights!$E:$E,MATCH(B612,Flights!$A:$A,0)),"")</f>
        <v>Kolkata</v>
      </c>
      <c r="H612" s="6" t="str">
        <f>VLOOKUP(B612,Flights!A:H,6,FALSE())</f>
        <v>Delhi</v>
      </c>
      <c r="I612" s="6" t="str">
        <f t="array" ref="I612">IFERROR(INDEX(Bookings!$G:$G,MATCH(B612,Bookings!$B:$B,0)),"")</f>
        <v>1</v>
      </c>
      <c r="J612" s="5">
        <f>VLOOKUP(B612,Bookings!B:H,7,FALSE())</f>
        <v>7.33</v>
      </c>
      <c r="K612" s="5" t="str">
        <f t="shared" si="1"/>
        <v>Medium</v>
      </c>
      <c r="L612" s="11">
        <f t="array" ref="L612">IFERROR(INDEX(Bookings!$K:$K,MATCH(A612,Bookings!$A:$A,0)),"")</f>
        <v>6542</v>
      </c>
      <c r="M612" s="5" t="str">
        <f t="shared" si="2"/>
        <v>Medium</v>
      </c>
      <c r="N612" s="5">
        <f t="array" ref="N612">IFERROR(INDEX(Bookings!$I:$I,MATCH(A612,Bookings!$A:$A,0)),"")</f>
        <v>17</v>
      </c>
      <c r="O612" s="5" t="str">
        <f t="shared" si="3"/>
        <v>Moderate</v>
      </c>
      <c r="P612" s="5" t="str">
        <f t="shared" si="4"/>
        <v>Kolkata -&gt; Delhi</v>
      </c>
    </row>
    <row r="613" ht="15.75" customHeight="1">
      <c r="A613" s="5" t="s">
        <v>2054</v>
      </c>
      <c r="B613" s="5" t="s">
        <v>1104</v>
      </c>
      <c r="C613" s="5" t="s">
        <v>475</v>
      </c>
      <c r="D613" s="5" t="s">
        <v>45</v>
      </c>
      <c r="E613" s="6" t="str">
        <f t="array" ref="E613">IFERROR(INDEX(Airlines!$B:$B,MATCH(D613,Airlines!$A:$A,0)),"")</f>
        <v>Air_India</v>
      </c>
      <c r="F613" s="6" t="str">
        <f>VLOOKUP(A613,Bookings!$A:$F,6,FALSE())</f>
        <v>Economy</v>
      </c>
      <c r="G613" s="6" t="str">
        <f t="array" ref="G613">IFERROR(INDEX(Flights!$E:$E,MATCH(B613,Flights!$A:$A,0)),"")</f>
        <v>Kolkata</v>
      </c>
      <c r="H613" s="6" t="str">
        <f>VLOOKUP(B613,Flights!A:H,6,FALSE())</f>
        <v>Delhi</v>
      </c>
      <c r="I613" s="6" t="str">
        <f t="array" ref="I613">IFERROR(INDEX(Bookings!$G:$G,MATCH(B613,Bookings!$B:$B,0)),"")</f>
        <v>1</v>
      </c>
      <c r="J613" s="5">
        <f>VLOOKUP(B613,Bookings!B:H,7,FALSE())</f>
        <v>29.17</v>
      </c>
      <c r="K613" s="5" t="str">
        <f t="shared" si="1"/>
        <v>Long</v>
      </c>
      <c r="L613" s="11">
        <f t="array" ref="L613">IFERROR(INDEX(Bookings!$K:$K,MATCH(A613,Bookings!$A:$A,0)),"")</f>
        <v>4919</v>
      </c>
      <c r="M613" s="5" t="str">
        <f t="shared" si="2"/>
        <v>Medium</v>
      </c>
      <c r="N613" s="5">
        <f t="array" ref="N613">IFERROR(INDEX(Bookings!$I:$I,MATCH(A613,Bookings!$A:$A,0)),"")</f>
        <v>35</v>
      </c>
      <c r="O613" s="5" t="str">
        <f t="shared" si="3"/>
        <v>Advance</v>
      </c>
      <c r="P613" s="5" t="str">
        <f t="shared" si="4"/>
        <v>Kolkata -&gt; Delhi</v>
      </c>
    </row>
    <row r="614" ht="15.75" customHeight="1">
      <c r="A614" s="5" t="s">
        <v>2055</v>
      </c>
      <c r="B614" s="5" t="s">
        <v>956</v>
      </c>
      <c r="C614" s="5" t="s">
        <v>475</v>
      </c>
      <c r="D614" s="5" t="s">
        <v>45</v>
      </c>
      <c r="E614" s="6" t="str">
        <f t="array" ref="E614">IFERROR(INDEX(Airlines!$B:$B,MATCH(D614,Airlines!$A:$A,0)),"")</f>
        <v>Air_India</v>
      </c>
      <c r="F614" s="6" t="str">
        <f>VLOOKUP(A614,Bookings!$A:$F,6,FALSE())</f>
        <v>Business</v>
      </c>
      <c r="G614" s="6" t="str">
        <f t="array" ref="G614">IFERROR(INDEX(Flights!$E:$E,MATCH(B614,Flights!$A:$A,0)),"")</f>
        <v>Kolkata</v>
      </c>
      <c r="H614" s="6" t="str">
        <f>VLOOKUP(B614,Flights!A:H,6,FALSE())</f>
        <v>Delhi</v>
      </c>
      <c r="I614" s="6" t="str">
        <f t="array" ref="I614">IFERROR(INDEX(Bookings!$G:$G,MATCH(B614,Bookings!$B:$B,0)),"")</f>
        <v>1</v>
      </c>
      <c r="J614" s="5">
        <f>VLOOKUP(B614,Bookings!B:H,7,FALSE())</f>
        <v>26</v>
      </c>
      <c r="K614" s="5" t="str">
        <f t="shared" si="1"/>
        <v>Long</v>
      </c>
      <c r="L614" s="11">
        <f t="array" ref="L614">IFERROR(INDEX(Bookings!$K:$K,MATCH(A614,Bookings!$A:$A,0)),"")</f>
        <v>43910</v>
      </c>
      <c r="M614" s="5" t="str">
        <f t="shared" si="2"/>
        <v>High</v>
      </c>
      <c r="N614" s="5">
        <f t="array" ref="N614">IFERROR(INDEX(Bookings!$I:$I,MATCH(A614,Bookings!$A:$A,0)),"")</f>
        <v>44</v>
      </c>
      <c r="O614" s="5" t="str">
        <f t="shared" si="3"/>
        <v>Advance</v>
      </c>
      <c r="P614" s="5" t="str">
        <f t="shared" si="4"/>
        <v>Kolkata -&gt; Delhi</v>
      </c>
    </row>
    <row r="615" ht="15.75" customHeight="1">
      <c r="A615" s="5" t="s">
        <v>2058</v>
      </c>
      <c r="B615" s="5" t="s">
        <v>1118</v>
      </c>
      <c r="C615" s="5" t="s">
        <v>475</v>
      </c>
      <c r="D615" s="5" t="s">
        <v>72</v>
      </c>
      <c r="E615" s="6" t="str">
        <f t="array" ref="E615">IFERROR(INDEX(Airlines!$B:$B,MATCH(D615,Airlines!$A:$A,0)),"")</f>
        <v>Spicejet</v>
      </c>
      <c r="F615" s="6" t="str">
        <f>VLOOKUP(A615,Bookings!$A:$F,6,FALSE())</f>
        <v>Economy</v>
      </c>
      <c r="G615" s="6" t="str">
        <f t="array" ref="G615">IFERROR(INDEX(Flights!$E:$E,MATCH(B615,Flights!$A:$A,0)),"")</f>
        <v>Kolkata</v>
      </c>
      <c r="H615" s="6" t="str">
        <f>VLOOKUP(B615,Flights!A:H,6,FALSE())</f>
        <v>Delhi</v>
      </c>
      <c r="I615" s="6" t="str">
        <f t="array" ref="I615">IFERROR(INDEX(Bookings!$G:$G,MATCH(B615,Bookings!$B:$B,0)),"")</f>
        <v>1</v>
      </c>
      <c r="J615" s="5">
        <f>VLOOKUP(B615,Bookings!B:H,7,FALSE())</f>
        <v>25.25</v>
      </c>
      <c r="K615" s="5" t="str">
        <f t="shared" si="1"/>
        <v>Long</v>
      </c>
      <c r="L615" s="11">
        <f t="array" ref="L615">IFERROR(INDEX(Bookings!$K:$K,MATCH(A615,Bookings!$A:$A,0)),"")</f>
        <v>4613</v>
      </c>
      <c r="M615" s="5" t="str">
        <f t="shared" si="2"/>
        <v>Low</v>
      </c>
      <c r="N615" s="5" t="str">
        <f t="array" ref="N615">IFERROR(INDEX(Bookings!$I:$I,MATCH(A615,Bookings!$A:$A,0)),"")</f>
        <v/>
      </c>
      <c r="O615" s="5" t="str">
        <f t="shared" si="3"/>
        <v>Last Minute</v>
      </c>
      <c r="P615" s="5" t="str">
        <f t="shared" si="4"/>
        <v>Kolkata -&gt; Delhi</v>
      </c>
    </row>
    <row r="616" ht="15.75" customHeight="1">
      <c r="A616" s="5" t="s">
        <v>2060</v>
      </c>
      <c r="B616" s="5" t="s">
        <v>1097</v>
      </c>
      <c r="C616" s="5" t="s">
        <v>475</v>
      </c>
      <c r="D616" s="5" t="s">
        <v>45</v>
      </c>
      <c r="E616" s="6" t="str">
        <f t="array" ref="E616">IFERROR(INDEX(Airlines!$B:$B,MATCH(D616,Airlines!$A:$A,0)),"")</f>
        <v>Air_India</v>
      </c>
      <c r="F616" s="6" t="str">
        <f>VLOOKUP(A616,Bookings!$A:$F,6,FALSE())</f>
        <v>Business</v>
      </c>
      <c r="G616" s="6" t="str">
        <f t="array" ref="G616">IFERROR(INDEX(Flights!$E:$E,MATCH(B616,Flights!$A:$A,0)),"")</f>
        <v>Kolkata</v>
      </c>
      <c r="H616" s="6" t="str">
        <f>VLOOKUP(B616,Flights!A:H,6,FALSE())</f>
        <v>Delhi</v>
      </c>
      <c r="I616" s="6" t="str">
        <f t="array" ref="I616">IFERROR(INDEX(Bookings!$G:$G,MATCH(B616,Bookings!$B:$B,0)),"")</f>
        <v>1</v>
      </c>
      <c r="J616" s="5">
        <f>VLOOKUP(B616,Bookings!B:H,7,FALSE())</f>
        <v>21.83</v>
      </c>
      <c r="K616" s="5" t="str">
        <f t="shared" si="1"/>
        <v>Long</v>
      </c>
      <c r="L616" s="11">
        <f t="array" ref="L616">IFERROR(INDEX(Bookings!$K:$K,MATCH(A616,Bookings!$A:$A,0)),"")</f>
        <v>57939</v>
      </c>
      <c r="M616" s="5" t="str">
        <f t="shared" si="2"/>
        <v>High</v>
      </c>
      <c r="N616" s="5">
        <f t="array" ref="N616">IFERROR(INDEX(Bookings!$I:$I,MATCH(A616,Bookings!$A:$A,0)),"")</f>
        <v>44</v>
      </c>
      <c r="O616" s="5" t="str">
        <f t="shared" si="3"/>
        <v>Advance</v>
      </c>
      <c r="P616" s="5" t="str">
        <f t="shared" si="4"/>
        <v>Kolkata -&gt; Delhi</v>
      </c>
    </row>
    <row r="617" ht="15.75" customHeight="1">
      <c r="A617" s="5" t="s">
        <v>2062</v>
      </c>
      <c r="B617" s="5" t="s">
        <v>1074</v>
      </c>
      <c r="C617" s="5" t="s">
        <v>475</v>
      </c>
      <c r="D617" s="5" t="s">
        <v>43</v>
      </c>
      <c r="E617" s="6" t="str">
        <f t="array" ref="E617">IFERROR(INDEX(Airlines!$B:$B,MATCH(D617,Airlines!$A:$A,0)),"")</f>
        <v>Indigo</v>
      </c>
      <c r="F617" s="6" t="str">
        <f>VLOOKUP(A617,Bookings!$A:$F,6,FALSE())</f>
        <v>Economy</v>
      </c>
      <c r="G617" s="6" t="str">
        <f t="array" ref="G617">IFERROR(INDEX(Flights!$E:$E,MATCH(B617,Flights!$A:$A,0)),"")</f>
        <v>Kolkata</v>
      </c>
      <c r="H617" s="6" t="str">
        <f>VLOOKUP(B617,Flights!A:H,6,FALSE())</f>
        <v>Delhi</v>
      </c>
      <c r="I617" s="6" t="str">
        <f t="array" ref="I617">IFERROR(INDEX(Bookings!$G:$G,MATCH(B617,Bookings!$B:$B,0)),"")</f>
        <v>0</v>
      </c>
      <c r="J617" s="5">
        <f>VLOOKUP(B617,Bookings!B:H,7,FALSE())</f>
        <v>2.42</v>
      </c>
      <c r="K617" s="5" t="str">
        <f t="shared" si="1"/>
        <v>Short</v>
      </c>
      <c r="L617" s="11">
        <f t="array" ref="L617">IFERROR(INDEX(Bookings!$K:$K,MATCH(A617,Bookings!$A:$A,0)),"")</f>
        <v>3999</v>
      </c>
      <c r="M617" s="5" t="str">
        <f t="shared" si="2"/>
        <v>Low</v>
      </c>
      <c r="N617" s="5">
        <f t="array" ref="N617">IFERROR(INDEX(Bookings!$I:$I,MATCH(A617,Bookings!$A:$A,0)),"")</f>
        <v>46</v>
      </c>
      <c r="O617" s="5" t="str">
        <f t="shared" si="3"/>
        <v>Advance</v>
      </c>
      <c r="P617" s="5" t="str">
        <f t="shared" si="4"/>
        <v>Kolkata -&gt; Delhi</v>
      </c>
    </row>
    <row r="618" ht="15.75" customHeight="1">
      <c r="A618" s="5" t="s">
        <v>2065</v>
      </c>
      <c r="B618" s="5" t="s">
        <v>978</v>
      </c>
      <c r="C618" s="5" t="s">
        <v>475</v>
      </c>
      <c r="D618" s="5" t="s">
        <v>45</v>
      </c>
      <c r="E618" s="6" t="str">
        <f t="array" ref="E618">IFERROR(INDEX(Airlines!$B:$B,MATCH(D618,Airlines!$A:$A,0)),"")</f>
        <v>Air_India</v>
      </c>
      <c r="F618" s="6" t="str">
        <f>VLOOKUP(A618,Bookings!$A:$F,6,FALSE())</f>
        <v>Economy</v>
      </c>
      <c r="G618" s="6" t="str">
        <f t="array" ref="G618">IFERROR(INDEX(Flights!$E:$E,MATCH(B618,Flights!$A:$A,0)),"")</f>
        <v>Kolkata</v>
      </c>
      <c r="H618" s="6" t="str">
        <f>VLOOKUP(B618,Flights!A:H,6,FALSE())</f>
        <v>Delhi</v>
      </c>
      <c r="I618" s="6" t="str">
        <f t="array" ref="I618">IFERROR(INDEX(Bookings!$G:$G,MATCH(B618,Bookings!$B:$B,0)),"")</f>
        <v>1</v>
      </c>
      <c r="J618" s="5">
        <f>VLOOKUP(B618,Bookings!B:H,7,FALSE())</f>
        <v>12.17</v>
      </c>
      <c r="K618" s="5" t="str">
        <f t="shared" si="1"/>
        <v>Long</v>
      </c>
      <c r="L618" s="11">
        <f t="array" ref="L618">IFERROR(INDEX(Bookings!$K:$K,MATCH(A618,Bookings!$A:$A,0)),"")</f>
        <v>4347</v>
      </c>
      <c r="M618" s="5" t="str">
        <f t="shared" si="2"/>
        <v>Low</v>
      </c>
      <c r="N618" s="5">
        <f t="array" ref="N618">IFERROR(INDEX(Bookings!$I:$I,MATCH(A618,Bookings!$A:$A,0)),"")</f>
        <v>46</v>
      </c>
      <c r="O618" s="5" t="str">
        <f t="shared" si="3"/>
        <v>Advance</v>
      </c>
      <c r="P618" s="5" t="str">
        <f t="shared" si="4"/>
        <v>Kolkata -&gt; Delhi</v>
      </c>
    </row>
    <row r="619" ht="15.75" customHeight="1">
      <c r="A619" s="5" t="s">
        <v>2067</v>
      </c>
      <c r="B619" s="5" t="s">
        <v>1078</v>
      </c>
      <c r="C619" s="5" t="s">
        <v>475</v>
      </c>
      <c r="D619" s="5" t="s">
        <v>43</v>
      </c>
      <c r="E619" s="6" t="str">
        <f t="array" ref="E619">IFERROR(INDEX(Airlines!$B:$B,MATCH(D619,Airlines!$A:$A,0)),"")</f>
        <v>Indigo</v>
      </c>
      <c r="F619" s="6" t="str">
        <f>VLOOKUP(A619,Bookings!$A:$F,6,FALSE())</f>
        <v>Economy</v>
      </c>
      <c r="G619" s="6" t="str">
        <f t="array" ref="G619">IFERROR(INDEX(Flights!$E:$E,MATCH(B619,Flights!$A:$A,0)),"")</f>
        <v>Kolkata</v>
      </c>
      <c r="H619" s="6" t="str">
        <f>VLOOKUP(B619,Flights!A:H,6,FALSE())</f>
        <v>Delhi</v>
      </c>
      <c r="I619" s="6" t="str">
        <f t="array" ref="I619">IFERROR(INDEX(Bookings!$G:$G,MATCH(B619,Bookings!$B:$B,0)),"")</f>
        <v>1</v>
      </c>
      <c r="J619" s="5">
        <f>VLOOKUP(B619,Bookings!B:H,7,FALSE())</f>
        <v>6.08</v>
      </c>
      <c r="K619" s="5" t="str">
        <f t="shared" si="1"/>
        <v>Medium</v>
      </c>
      <c r="L619" s="11">
        <f t="array" ref="L619">IFERROR(INDEX(Bookings!$K:$K,MATCH(A619,Bookings!$A:$A,0)),"")</f>
        <v>4439</v>
      </c>
      <c r="M619" s="5" t="str">
        <f t="shared" si="2"/>
        <v>Low</v>
      </c>
      <c r="N619" s="5">
        <f t="array" ref="N619">IFERROR(INDEX(Bookings!$I:$I,MATCH(A619,Bookings!$A:$A,0)),"")</f>
        <v>46</v>
      </c>
      <c r="O619" s="5" t="str">
        <f t="shared" si="3"/>
        <v>Advance</v>
      </c>
      <c r="P619" s="5" t="str">
        <f t="shared" si="4"/>
        <v>Kolkata -&gt; Delhi</v>
      </c>
    </row>
    <row r="620" ht="15.75" customHeight="1">
      <c r="A620" s="5" t="s">
        <v>2068</v>
      </c>
      <c r="B620" s="5" t="s">
        <v>951</v>
      </c>
      <c r="C620" s="5" t="s">
        <v>475</v>
      </c>
      <c r="D620" s="5" t="s">
        <v>43</v>
      </c>
      <c r="E620" s="6" t="str">
        <f t="array" ref="E620">IFERROR(INDEX(Airlines!$B:$B,MATCH(D620,Airlines!$A:$A,0)),"")</f>
        <v>Indigo</v>
      </c>
      <c r="F620" s="6" t="str">
        <f>VLOOKUP(A620,Bookings!$A:$F,6,FALSE())</f>
        <v>Economy</v>
      </c>
      <c r="G620" s="6" t="str">
        <f t="array" ref="G620">IFERROR(INDEX(Flights!$E:$E,MATCH(B620,Flights!$A:$A,0)),"")</f>
        <v>Kolkata</v>
      </c>
      <c r="H620" s="6" t="str">
        <f>VLOOKUP(B620,Flights!A:H,6,FALSE())</f>
        <v>Delhi</v>
      </c>
      <c r="I620" s="6" t="str">
        <f t="array" ref="I620">IFERROR(INDEX(Bookings!$G:$G,MATCH(B620,Bookings!$B:$B,0)),"")</f>
        <v>0</v>
      </c>
      <c r="J620" s="5">
        <f>VLOOKUP(B620,Bookings!B:H,7,FALSE())</f>
        <v>2.42</v>
      </c>
      <c r="K620" s="5" t="str">
        <f t="shared" si="1"/>
        <v>Short</v>
      </c>
      <c r="L620" s="11">
        <f t="array" ref="L620">IFERROR(INDEX(Bookings!$K:$K,MATCH(A620,Bookings!$A:$A,0)),"")</f>
        <v>3999</v>
      </c>
      <c r="M620" s="5" t="str">
        <f t="shared" si="2"/>
        <v>Low</v>
      </c>
      <c r="N620" s="5">
        <f t="array" ref="N620">IFERROR(INDEX(Bookings!$I:$I,MATCH(A620,Bookings!$A:$A,0)),"")</f>
        <v>46</v>
      </c>
      <c r="O620" s="5" t="str">
        <f t="shared" si="3"/>
        <v>Advance</v>
      </c>
      <c r="P620" s="5" t="str">
        <f t="shared" si="4"/>
        <v>Kolkata -&gt; Delhi</v>
      </c>
    </row>
    <row r="621" ht="15.75" customHeight="1">
      <c r="A621" s="5" t="s">
        <v>2070</v>
      </c>
      <c r="B621" s="5" t="s">
        <v>1091</v>
      </c>
      <c r="C621" s="5" t="s">
        <v>475</v>
      </c>
      <c r="D621" s="5" t="s">
        <v>45</v>
      </c>
      <c r="E621" s="6" t="str">
        <f t="array" ref="E621">IFERROR(INDEX(Airlines!$B:$B,MATCH(D621,Airlines!$A:$A,0)),"")</f>
        <v>Air_India</v>
      </c>
      <c r="F621" s="6" t="str">
        <f>VLOOKUP(A621,Bookings!$A:$F,6,FALSE())</f>
        <v>Business</v>
      </c>
      <c r="G621" s="6" t="str">
        <f t="array" ref="G621">IFERROR(INDEX(Flights!$E:$E,MATCH(B621,Flights!$A:$A,0)),"")</f>
        <v>Kolkata</v>
      </c>
      <c r="H621" s="6" t="str">
        <f>VLOOKUP(B621,Flights!A:H,6,FALSE())</f>
        <v>Delhi</v>
      </c>
      <c r="I621" s="6" t="str">
        <f t="array" ref="I621">IFERROR(INDEX(Bookings!$G:$G,MATCH(B621,Bookings!$B:$B,0)),"")</f>
        <v>1</v>
      </c>
      <c r="J621" s="5">
        <f>VLOOKUP(B621,Bookings!B:H,7,FALSE())</f>
        <v>10.5</v>
      </c>
      <c r="K621" s="5" t="str">
        <f t="shared" si="1"/>
        <v>Long</v>
      </c>
      <c r="L621" s="11">
        <f t="array" ref="L621">IFERROR(INDEX(Bookings!$K:$K,MATCH(A621,Bookings!$A:$A,0)),"")</f>
        <v>53743</v>
      </c>
      <c r="M621" s="5" t="str">
        <f t="shared" si="2"/>
        <v>High</v>
      </c>
      <c r="N621" s="5">
        <f t="array" ref="N621">IFERROR(INDEX(Bookings!$I:$I,MATCH(A621,Bookings!$A:$A,0)),"")</f>
        <v>45</v>
      </c>
      <c r="O621" s="5" t="str">
        <f t="shared" si="3"/>
        <v>Advance</v>
      </c>
      <c r="P621" s="5" t="str">
        <f t="shared" si="4"/>
        <v>Kolkata -&gt; Delhi</v>
      </c>
    </row>
    <row r="622" ht="15.75" customHeight="1">
      <c r="A622" s="5" t="s">
        <v>2071</v>
      </c>
      <c r="B622" s="5" t="s">
        <v>942</v>
      </c>
      <c r="C622" s="5" t="s">
        <v>475</v>
      </c>
      <c r="D622" s="5" t="s">
        <v>45</v>
      </c>
      <c r="E622" s="6" t="str">
        <f t="array" ref="E622">IFERROR(INDEX(Airlines!$B:$B,MATCH(D622,Airlines!$A:$A,0)),"")</f>
        <v>Air_India</v>
      </c>
      <c r="F622" s="6" t="str">
        <f>VLOOKUP(A622,Bookings!$A:$F,6,FALSE())</f>
        <v>Economy</v>
      </c>
      <c r="G622" s="6" t="str">
        <f t="array" ref="G622">IFERROR(INDEX(Flights!$E:$E,MATCH(B622,Flights!$A:$A,0)),"")</f>
        <v>Kolkata</v>
      </c>
      <c r="H622" s="6" t="str">
        <f>VLOOKUP(B622,Flights!A:H,6,FALSE())</f>
        <v>Delhi</v>
      </c>
      <c r="I622" s="6" t="str">
        <f t="array" ref="I622">IFERROR(INDEX(Bookings!$G:$G,MATCH(B622,Bookings!$B:$B,0)),"")</f>
        <v>1</v>
      </c>
      <c r="J622" s="5">
        <f>VLOOKUP(B622,Bookings!B:H,7,FALSE())</f>
        <v>11.08</v>
      </c>
      <c r="K622" s="5" t="str">
        <f t="shared" si="1"/>
        <v>Long</v>
      </c>
      <c r="L622" s="11">
        <f t="array" ref="L622">IFERROR(INDEX(Bookings!$K:$K,MATCH(A622,Bookings!$A:$A,0)),"")</f>
        <v>5467</v>
      </c>
      <c r="M622" s="5" t="str">
        <f t="shared" si="2"/>
        <v>Medium</v>
      </c>
      <c r="N622" s="5">
        <f t="array" ref="N622">IFERROR(INDEX(Bookings!$I:$I,MATCH(A622,Bookings!$A:$A,0)),"")</f>
        <v>46</v>
      </c>
      <c r="O622" s="5" t="str">
        <f t="shared" si="3"/>
        <v>Advance</v>
      </c>
      <c r="P622" s="5" t="str">
        <f t="shared" si="4"/>
        <v>Kolkata -&gt; Delhi</v>
      </c>
    </row>
    <row r="623" ht="15.75" customHeight="1">
      <c r="A623" s="5" t="s">
        <v>2073</v>
      </c>
      <c r="B623" s="5" t="s">
        <v>1082</v>
      </c>
      <c r="C623" s="5" t="s">
        <v>475</v>
      </c>
      <c r="D623" s="5" t="s">
        <v>45</v>
      </c>
      <c r="E623" s="6" t="str">
        <f t="array" ref="E623">IFERROR(INDEX(Airlines!$B:$B,MATCH(D623,Airlines!$A:$A,0)),"")</f>
        <v>Air_India</v>
      </c>
      <c r="F623" s="6" t="str">
        <f>VLOOKUP(A623,Bookings!$A:$F,6,FALSE())</f>
        <v>Economy</v>
      </c>
      <c r="G623" s="6" t="str">
        <f t="array" ref="G623">IFERROR(INDEX(Flights!$E:$E,MATCH(B623,Flights!$A:$A,0)),"")</f>
        <v>Kolkata</v>
      </c>
      <c r="H623" s="6" t="str">
        <f>VLOOKUP(B623,Flights!A:H,6,FALSE())</f>
        <v>Delhi</v>
      </c>
      <c r="I623" s="6" t="str">
        <f t="array" ref="I623">IFERROR(INDEX(Bookings!$G:$G,MATCH(B623,Bookings!$B:$B,0)),"")</f>
        <v>1</v>
      </c>
      <c r="J623" s="5">
        <f>VLOOKUP(B623,Bookings!B:H,7,FALSE())</f>
        <v>22.17</v>
      </c>
      <c r="K623" s="5" t="str">
        <f t="shared" si="1"/>
        <v>Long</v>
      </c>
      <c r="L623" s="11">
        <f t="array" ref="L623">IFERROR(INDEX(Bookings!$K:$K,MATCH(A623,Bookings!$A:$A,0)),"")</f>
        <v>5467</v>
      </c>
      <c r="M623" s="5" t="str">
        <f t="shared" si="2"/>
        <v>Medium</v>
      </c>
      <c r="N623" s="5">
        <f t="array" ref="N623">IFERROR(INDEX(Bookings!$I:$I,MATCH(A623,Bookings!$A:$A,0)),"")</f>
        <v>45</v>
      </c>
      <c r="O623" s="5" t="str">
        <f t="shared" si="3"/>
        <v>Advance</v>
      </c>
      <c r="P623" s="5" t="str">
        <f t="shared" si="4"/>
        <v>Kolkata -&gt; Delhi</v>
      </c>
    </row>
    <row r="624" ht="15.75" customHeight="1">
      <c r="A624" s="5" t="s">
        <v>2075</v>
      </c>
      <c r="B624" s="5" t="s">
        <v>946</v>
      </c>
      <c r="C624" s="5" t="s">
        <v>475</v>
      </c>
      <c r="D624" s="5" t="s">
        <v>58</v>
      </c>
      <c r="E624" s="6" t="str">
        <f t="array" ref="E624">IFERROR(INDEX(Airlines!$B:$B,MATCH(D624,Airlines!$A:$A,0)),"")</f>
        <v>Go_First</v>
      </c>
      <c r="F624" s="6" t="str">
        <f>VLOOKUP(A624,Bookings!$A:$F,6,FALSE())</f>
        <v>Economy</v>
      </c>
      <c r="G624" s="6" t="str">
        <f t="array" ref="G624">IFERROR(INDEX(Flights!$E:$E,MATCH(B624,Flights!$A:$A,0)),"")</f>
        <v>Kolkata</v>
      </c>
      <c r="H624" s="6" t="str">
        <f>VLOOKUP(B624,Flights!A:H,6,FALSE())</f>
        <v>Delhi</v>
      </c>
      <c r="I624" s="6" t="str">
        <f t="array" ref="I624">IFERROR(INDEX(Bookings!$G:$G,MATCH(B624,Bookings!$B:$B,0)),"")</f>
        <v>1</v>
      </c>
      <c r="J624" s="5">
        <f>VLOOKUP(B624,Bookings!B:H,7,FALSE())</f>
        <v>10.08</v>
      </c>
      <c r="K624" s="5" t="str">
        <f t="shared" si="1"/>
        <v>Long</v>
      </c>
      <c r="L624" s="11">
        <f t="array" ref="L624">IFERROR(INDEX(Bookings!$K:$K,MATCH(A624,Bookings!$A:$A,0)),"")</f>
        <v>7250</v>
      </c>
      <c r="M624" s="5" t="str">
        <f t="shared" si="2"/>
        <v>Medium</v>
      </c>
      <c r="N624" s="5">
        <f t="array" ref="N624">IFERROR(INDEX(Bookings!$I:$I,MATCH(A624,Bookings!$A:$A,0)),"")</f>
        <v>46</v>
      </c>
      <c r="O624" s="5" t="str">
        <f t="shared" si="3"/>
        <v>Advance</v>
      </c>
      <c r="P624" s="5" t="str">
        <f t="shared" si="4"/>
        <v>Kolkata -&gt; Delhi</v>
      </c>
    </row>
    <row r="625" ht="15.75" customHeight="1">
      <c r="A625" s="5" t="s">
        <v>2077</v>
      </c>
      <c r="B625" s="5" t="s">
        <v>938</v>
      </c>
      <c r="C625" s="5" t="s">
        <v>475</v>
      </c>
      <c r="D625" s="5" t="s">
        <v>58</v>
      </c>
      <c r="E625" s="6" t="str">
        <f t="array" ref="E625">IFERROR(INDEX(Airlines!$B:$B,MATCH(D625,Airlines!$A:$A,0)),"")</f>
        <v>Go_First</v>
      </c>
      <c r="F625" s="6" t="str">
        <f>VLOOKUP(A625,Bookings!$A:$F,6,FALSE())</f>
        <v>Economy</v>
      </c>
      <c r="G625" s="6" t="str">
        <f t="array" ref="G625">IFERROR(INDEX(Flights!$E:$E,MATCH(B625,Flights!$A:$A,0)),"")</f>
        <v>Kolkata</v>
      </c>
      <c r="H625" s="6" t="str">
        <f>VLOOKUP(B625,Flights!A:H,6,FALSE())</f>
        <v>Delhi</v>
      </c>
      <c r="I625" s="6" t="str">
        <f t="array" ref="I625">IFERROR(INDEX(Bookings!$G:$G,MATCH(B625,Bookings!$B:$B,0)),"")</f>
        <v>1</v>
      </c>
      <c r="J625" s="5">
        <f>VLOOKUP(B625,Bookings!B:H,7,FALSE())</f>
        <v>7</v>
      </c>
      <c r="K625" s="5" t="str">
        <f t="shared" si="1"/>
        <v>Medium</v>
      </c>
      <c r="L625" s="11">
        <f t="array" ref="L625">IFERROR(INDEX(Bookings!$K:$K,MATCH(A625,Bookings!$A:$A,0)),"")</f>
        <v>7804</v>
      </c>
      <c r="M625" s="5" t="str">
        <f t="shared" si="2"/>
        <v>Medium</v>
      </c>
      <c r="N625" s="5">
        <f t="array" ref="N625">IFERROR(INDEX(Bookings!$I:$I,MATCH(A625,Bookings!$A:$A,0)),"")</f>
        <v>46</v>
      </c>
      <c r="O625" s="5" t="str">
        <f t="shared" si="3"/>
        <v>Advance</v>
      </c>
      <c r="P625" s="5" t="str">
        <f t="shared" si="4"/>
        <v>Kolkata -&gt; Delhi</v>
      </c>
    </row>
    <row r="626" ht="15.75" customHeight="1">
      <c r="A626" s="5" t="s">
        <v>2079</v>
      </c>
      <c r="B626" s="5" t="s">
        <v>971</v>
      </c>
      <c r="C626" s="5" t="s">
        <v>475</v>
      </c>
      <c r="D626" s="5" t="s">
        <v>45</v>
      </c>
      <c r="E626" s="6" t="str">
        <f t="array" ref="E626">IFERROR(INDEX(Airlines!$B:$B,MATCH(D626,Airlines!$A:$A,0)),"")</f>
        <v>Air_India</v>
      </c>
      <c r="F626" s="6" t="str">
        <f>VLOOKUP(A626,Bookings!$A:$F,6,FALSE())</f>
        <v>Business</v>
      </c>
      <c r="G626" s="6" t="str">
        <f t="array" ref="G626">IFERROR(INDEX(Flights!$E:$E,MATCH(B626,Flights!$A:$A,0)),"")</f>
        <v>Kolkata</v>
      </c>
      <c r="H626" s="6" t="str">
        <f>VLOOKUP(B626,Flights!A:H,6,FALSE())</f>
        <v>Delhi</v>
      </c>
      <c r="I626" s="6" t="str">
        <f t="array" ref="I626">IFERROR(INDEX(Bookings!$G:$G,MATCH(B626,Bookings!$B:$B,0)),"")</f>
        <v>1</v>
      </c>
      <c r="J626" s="5">
        <f>VLOOKUP(B626,Bookings!B:H,7,FALSE())</f>
        <v>18.75</v>
      </c>
      <c r="K626" s="5" t="str">
        <f t="shared" si="1"/>
        <v>Long</v>
      </c>
      <c r="L626" s="11">
        <f t="array" ref="L626">IFERROR(INDEX(Bookings!$K:$K,MATCH(A626,Bookings!$A:$A,0)),"")</f>
        <v>57939</v>
      </c>
      <c r="M626" s="5" t="str">
        <f t="shared" si="2"/>
        <v>High</v>
      </c>
      <c r="N626" s="5">
        <f t="array" ref="N626">IFERROR(INDEX(Bookings!$I:$I,MATCH(A626,Bookings!$A:$A,0)),"")</f>
        <v>49</v>
      </c>
      <c r="O626" s="5" t="str">
        <f t="shared" si="3"/>
        <v>Advance</v>
      </c>
      <c r="P626" s="5" t="str">
        <f t="shared" si="4"/>
        <v>Kolkata -&gt; Delhi</v>
      </c>
    </row>
    <row r="627" ht="15.75" customHeight="1">
      <c r="A627" s="5" t="s">
        <v>2080</v>
      </c>
      <c r="B627" s="5" t="s">
        <v>1063</v>
      </c>
      <c r="C627" s="5" t="s">
        <v>475</v>
      </c>
      <c r="D627" s="5" t="s">
        <v>45</v>
      </c>
      <c r="E627" s="6" t="str">
        <f t="array" ref="E627">IFERROR(INDEX(Airlines!$B:$B,MATCH(D627,Airlines!$A:$A,0)),"")</f>
        <v>Air_India</v>
      </c>
      <c r="F627" s="6" t="str">
        <f>VLOOKUP(A627,Bookings!$A:$F,6,FALSE())</f>
        <v>Business</v>
      </c>
      <c r="G627" s="6" t="str">
        <f t="array" ref="G627">IFERROR(INDEX(Flights!$E:$E,MATCH(B627,Flights!$A:$A,0)),"")</f>
        <v>Kolkata</v>
      </c>
      <c r="H627" s="6" t="str">
        <f>VLOOKUP(B627,Flights!A:H,6,FALSE())</f>
        <v>Delhi</v>
      </c>
      <c r="I627" s="6" t="str">
        <f t="array" ref="I627">IFERROR(INDEX(Bookings!$G:$G,MATCH(B627,Bookings!$B:$B,0)),"")</f>
        <v>1</v>
      </c>
      <c r="J627" s="5">
        <f>VLOOKUP(B627,Bookings!B:H,7,FALSE())</f>
        <v>25.92</v>
      </c>
      <c r="K627" s="5" t="str">
        <f t="shared" si="1"/>
        <v>Long</v>
      </c>
      <c r="L627" s="11">
        <f t="array" ref="L627">IFERROR(INDEX(Bookings!$K:$K,MATCH(A627,Bookings!$A:$A,0)),"")</f>
        <v>57939</v>
      </c>
      <c r="M627" s="5" t="str">
        <f t="shared" si="2"/>
        <v>High</v>
      </c>
      <c r="N627" s="5">
        <f t="array" ref="N627">IFERROR(INDEX(Bookings!$I:$I,MATCH(A627,Bookings!$A:$A,0)),"")</f>
        <v>49</v>
      </c>
      <c r="O627" s="5" t="str">
        <f t="shared" si="3"/>
        <v>Advance</v>
      </c>
      <c r="P627" s="5" t="str">
        <f t="shared" si="4"/>
        <v>Kolkata -&gt; Delhi</v>
      </c>
    </row>
    <row r="628" ht="15.75" customHeight="1">
      <c r="A628" s="5" t="s">
        <v>2082</v>
      </c>
      <c r="B628" s="5" t="s">
        <v>1259</v>
      </c>
      <c r="C628" s="5" t="s">
        <v>504</v>
      </c>
      <c r="D628" s="5" t="s">
        <v>72</v>
      </c>
      <c r="E628" s="6" t="str">
        <f t="array" ref="E628">IFERROR(INDEX(Airlines!$B:$B,MATCH(D628,Airlines!$A:$A,0)),"")</f>
        <v>Spicejet</v>
      </c>
      <c r="F628" s="6" t="str">
        <f>VLOOKUP(A628,Bookings!$A:$F,6,FALSE())</f>
        <v>Economy</v>
      </c>
      <c r="G628" s="6" t="str">
        <f t="array" ref="G628">IFERROR(INDEX(Flights!$E:$E,MATCH(B628,Flights!$A:$A,0)),"")</f>
        <v>Kolkata</v>
      </c>
      <c r="H628" s="6" t="str">
        <f>VLOOKUP(B628,Flights!A:H,6,FALSE())</f>
        <v>Mumbai</v>
      </c>
      <c r="I628" s="6" t="str">
        <f t="array" ref="I628">IFERROR(INDEX(Bookings!$G:$G,MATCH(B628,Bookings!$B:$B,0)),"")</f>
        <v>0</v>
      </c>
      <c r="J628" s="5">
        <f>VLOOKUP(B628,Bookings!B:H,7,FALSE())</f>
        <v>2.83</v>
      </c>
      <c r="K628" s="5" t="str">
        <f t="shared" si="1"/>
        <v>Short</v>
      </c>
      <c r="L628" s="11">
        <f t="array" ref="L628">IFERROR(INDEX(Bookings!$K:$K,MATCH(A628,Bookings!$A:$A,0)),"")</f>
        <v>4499</v>
      </c>
      <c r="M628" s="5" t="str">
        <f t="shared" si="2"/>
        <v>Low</v>
      </c>
      <c r="N628" s="5">
        <f t="array" ref="N628">IFERROR(INDEX(Bookings!$I:$I,MATCH(A628,Bookings!$A:$A,0)),"")</f>
        <v>38</v>
      </c>
      <c r="O628" s="5" t="str">
        <f t="shared" si="3"/>
        <v>Advance</v>
      </c>
      <c r="P628" s="5" t="str">
        <f t="shared" si="4"/>
        <v>Kolkata -&gt; Mumbai</v>
      </c>
    </row>
    <row r="629" ht="15.75" customHeight="1">
      <c r="A629" s="5" t="s">
        <v>2084</v>
      </c>
      <c r="B629" s="5" t="s">
        <v>1196</v>
      </c>
      <c r="C629" s="5" t="s">
        <v>504</v>
      </c>
      <c r="D629" s="5" t="s">
        <v>43</v>
      </c>
      <c r="E629" s="6" t="str">
        <f t="array" ref="E629">IFERROR(INDEX(Airlines!$B:$B,MATCH(D629,Airlines!$A:$A,0)),"")</f>
        <v>Indigo</v>
      </c>
      <c r="F629" s="6" t="str">
        <f>VLOOKUP(A629,Bookings!$A:$F,6,FALSE())</f>
        <v>Economy</v>
      </c>
      <c r="G629" s="6" t="str">
        <f t="array" ref="G629">IFERROR(INDEX(Flights!$E:$E,MATCH(B629,Flights!$A:$A,0)),"")</f>
        <v>Kolkata</v>
      </c>
      <c r="H629" s="6" t="str">
        <f>VLOOKUP(B629,Flights!A:H,6,FALSE())</f>
        <v>Mumbai</v>
      </c>
      <c r="I629" s="6" t="str">
        <f t="array" ref="I629">IFERROR(INDEX(Bookings!$G:$G,MATCH(B629,Bookings!$B:$B,0)),"")</f>
        <v>0</v>
      </c>
      <c r="J629" s="5">
        <f>VLOOKUP(B629,Bookings!B:H,7,FALSE())</f>
        <v>3.17</v>
      </c>
      <c r="K629" s="5" t="str">
        <f t="shared" si="1"/>
        <v>Short</v>
      </c>
      <c r="L629" s="11">
        <f t="array" ref="L629">IFERROR(INDEX(Bookings!$K:$K,MATCH(A629,Bookings!$A:$A,0)),"")</f>
        <v>4499</v>
      </c>
      <c r="M629" s="5" t="str">
        <f t="shared" si="2"/>
        <v>Low</v>
      </c>
      <c r="N629" s="5">
        <f t="array" ref="N629">IFERROR(INDEX(Bookings!$I:$I,MATCH(A629,Bookings!$A:$A,0)),"")</f>
        <v>42</v>
      </c>
      <c r="O629" s="5" t="str">
        <f t="shared" si="3"/>
        <v>Advance</v>
      </c>
      <c r="P629" s="5" t="str">
        <f t="shared" si="4"/>
        <v>Kolkata -&gt; Mumbai</v>
      </c>
    </row>
    <row r="630" ht="15.75" customHeight="1">
      <c r="A630" s="5" t="s">
        <v>2085</v>
      </c>
      <c r="B630" s="5" t="s">
        <v>1179</v>
      </c>
      <c r="C630" s="5" t="s">
        <v>504</v>
      </c>
      <c r="D630" s="5" t="s">
        <v>45</v>
      </c>
      <c r="E630" s="6" t="str">
        <f t="array" ref="E630">IFERROR(INDEX(Airlines!$B:$B,MATCH(D630,Airlines!$A:$A,0)),"")</f>
        <v>Air_India</v>
      </c>
      <c r="F630" s="6" t="str">
        <f>VLOOKUP(A630,Bookings!$A:$F,6,FALSE())</f>
        <v>Economy</v>
      </c>
      <c r="G630" s="6" t="str">
        <f t="array" ref="G630">IFERROR(INDEX(Flights!$E:$E,MATCH(B630,Flights!$A:$A,0)),"")</f>
        <v>Kolkata</v>
      </c>
      <c r="H630" s="6" t="str">
        <f>VLOOKUP(B630,Flights!A:H,6,FALSE())</f>
        <v>Mumbai</v>
      </c>
      <c r="I630" s="6" t="str">
        <f t="array" ref="I630">IFERROR(INDEX(Bookings!$G:$G,MATCH(B630,Bookings!$B:$B,0)),"")</f>
        <v>0</v>
      </c>
      <c r="J630" s="5">
        <f>VLOOKUP(B630,Bookings!B:H,7,FALSE())</f>
        <v>2.75</v>
      </c>
      <c r="K630" s="5" t="str">
        <f t="shared" si="1"/>
        <v>Short</v>
      </c>
      <c r="L630" s="11">
        <f t="array" ref="L630">IFERROR(INDEX(Bookings!$K:$K,MATCH(A630,Bookings!$A:$A,0)),"")</f>
        <v>4253</v>
      </c>
      <c r="M630" s="5" t="str">
        <f t="shared" si="2"/>
        <v>Low</v>
      </c>
      <c r="N630" s="5">
        <f t="array" ref="N630">IFERROR(INDEX(Bookings!$I:$I,MATCH(A630,Bookings!$A:$A,0)),"")</f>
        <v>38</v>
      </c>
      <c r="O630" s="5" t="str">
        <f t="shared" si="3"/>
        <v>Advance</v>
      </c>
      <c r="P630" s="5" t="str">
        <f t="shared" si="4"/>
        <v>Kolkata -&gt; Mumbai</v>
      </c>
    </row>
    <row r="631" ht="15.75" customHeight="1">
      <c r="A631" s="5" t="s">
        <v>2087</v>
      </c>
      <c r="B631" s="5" t="s">
        <v>1240</v>
      </c>
      <c r="C631" s="5" t="s">
        <v>504</v>
      </c>
      <c r="D631" s="5" t="s">
        <v>45</v>
      </c>
      <c r="E631" s="6" t="str">
        <f t="array" ref="E631">IFERROR(INDEX(Airlines!$B:$B,MATCH(D631,Airlines!$A:$A,0)),"")</f>
        <v>Air_India</v>
      </c>
      <c r="F631" s="6" t="str">
        <f>VLOOKUP(A631,Bookings!$A:$F,6,FALSE())</f>
        <v>Economy</v>
      </c>
      <c r="G631" s="6" t="str">
        <f t="array" ref="G631">IFERROR(INDEX(Flights!$E:$E,MATCH(B631,Flights!$A:$A,0)),"")</f>
        <v>Kolkata</v>
      </c>
      <c r="H631" s="6" t="str">
        <f>VLOOKUP(B631,Flights!A:H,6,FALSE())</f>
        <v>Mumbai</v>
      </c>
      <c r="I631" s="6" t="str">
        <f t="array" ref="I631">IFERROR(INDEX(Bookings!$G:$G,MATCH(B631,Bookings!$B:$B,0)),"")</f>
        <v>1</v>
      </c>
      <c r="J631" s="5">
        <f>VLOOKUP(B631,Bookings!B:H,7,FALSE())</f>
        <v>26.5</v>
      </c>
      <c r="K631" s="5" t="str">
        <f t="shared" si="1"/>
        <v>Long</v>
      </c>
      <c r="L631" s="11">
        <f t="array" ref="L631">IFERROR(INDEX(Bookings!$K:$K,MATCH(A631,Bookings!$A:$A,0)),"")</f>
        <v>14154</v>
      </c>
      <c r="M631" s="5" t="str">
        <f t="shared" si="2"/>
        <v>Medium</v>
      </c>
      <c r="N631" s="5">
        <f t="array" ref="N631">IFERROR(INDEX(Bookings!$I:$I,MATCH(A631,Bookings!$A:$A,0)),"")</f>
        <v>1</v>
      </c>
      <c r="O631" s="5" t="str">
        <f t="shared" si="3"/>
        <v>Last Minute</v>
      </c>
      <c r="P631" s="5" t="str">
        <f t="shared" si="4"/>
        <v>Kolkata -&gt; Mumbai</v>
      </c>
    </row>
    <row r="632" ht="15.75" customHeight="1">
      <c r="A632" s="5" t="s">
        <v>2088</v>
      </c>
      <c r="B632" s="5" t="s">
        <v>1221</v>
      </c>
      <c r="C632" s="5" t="s">
        <v>504</v>
      </c>
      <c r="D632" s="5" t="s">
        <v>29</v>
      </c>
      <c r="E632" s="6" t="str">
        <f t="array" ref="E632">IFERROR(INDEX(Airlines!$B:$B,MATCH(D632,Airlines!$A:$A,0)),"")</f>
        <v>AirAsia</v>
      </c>
      <c r="F632" s="6" t="str">
        <f>VLOOKUP(A632,Bookings!$A:$F,6,FALSE())</f>
        <v>Economy</v>
      </c>
      <c r="G632" s="6" t="str">
        <f t="array" ref="G632">IFERROR(INDEX(Flights!$E:$E,MATCH(B632,Flights!$A:$A,0)),"")</f>
        <v>Kolkata</v>
      </c>
      <c r="H632" s="6" t="str">
        <f>VLOOKUP(B632,Flights!A:H,6,FALSE())</f>
        <v>Mumbai</v>
      </c>
      <c r="I632" s="6" t="str">
        <f t="array" ref="I632">IFERROR(INDEX(Bookings!$G:$G,MATCH(B632,Bookings!$B:$B,0)),"")</f>
        <v>1</v>
      </c>
      <c r="J632" s="5">
        <f>VLOOKUP(B632,Bookings!B:H,7,FALSE())</f>
        <v>10.58</v>
      </c>
      <c r="K632" s="5" t="str">
        <f t="shared" si="1"/>
        <v>Long</v>
      </c>
      <c r="L632" s="11">
        <f t="array" ref="L632">IFERROR(INDEX(Bookings!$K:$K,MATCH(A632,Bookings!$A:$A,0)),"")</f>
        <v>3379</v>
      </c>
      <c r="M632" s="5" t="str">
        <f t="shared" si="2"/>
        <v>Low</v>
      </c>
      <c r="N632" s="5">
        <f t="array" ref="N632">IFERROR(INDEX(Bookings!$I:$I,MATCH(A632,Bookings!$A:$A,0)),"")</f>
        <v>39</v>
      </c>
      <c r="O632" s="5" t="str">
        <f t="shared" si="3"/>
        <v>Advance</v>
      </c>
      <c r="P632" s="5" t="str">
        <f t="shared" si="4"/>
        <v>Kolkata -&gt; Mumbai</v>
      </c>
    </row>
    <row r="633" ht="15.75" customHeight="1">
      <c r="A633" s="5" t="s">
        <v>2090</v>
      </c>
      <c r="B633" s="5" t="s">
        <v>1219</v>
      </c>
      <c r="C633" s="5" t="s">
        <v>504</v>
      </c>
      <c r="D633" s="5" t="s">
        <v>20</v>
      </c>
      <c r="E633" s="6" t="str">
        <f t="array" ref="E633">IFERROR(INDEX(Airlines!$B:$B,MATCH(D633,Airlines!$A:$A,0)),"")</f>
        <v>Vistara</v>
      </c>
      <c r="F633" s="6" t="str">
        <f>VLOOKUP(A633,Bookings!$A:$F,6,FALSE())</f>
        <v>Economy</v>
      </c>
      <c r="G633" s="6" t="str">
        <f t="array" ref="G633">IFERROR(INDEX(Flights!$E:$E,MATCH(B633,Flights!$A:$A,0)),"")</f>
        <v>Kolkata</v>
      </c>
      <c r="H633" s="6" t="str">
        <f>VLOOKUP(B633,Flights!A:H,6,FALSE())</f>
        <v>Mumbai</v>
      </c>
      <c r="I633" s="6" t="str">
        <f t="array" ref="I633">IFERROR(INDEX(Bookings!$G:$G,MATCH(B633,Bookings!$B:$B,0)),"")</f>
        <v>1</v>
      </c>
      <c r="J633" s="5">
        <f>VLOOKUP(B633,Bookings!B:H,7,FALSE())</f>
        <v>17.83</v>
      </c>
      <c r="K633" s="5" t="str">
        <f t="shared" si="1"/>
        <v>Long</v>
      </c>
      <c r="L633" s="11">
        <f t="array" ref="L633">IFERROR(INDEX(Bookings!$K:$K,MATCH(A633,Bookings!$A:$A,0)),"")</f>
        <v>12210</v>
      </c>
      <c r="M633" s="5" t="str">
        <f t="shared" si="2"/>
        <v>Medium</v>
      </c>
      <c r="N633" s="5">
        <f t="array" ref="N633">IFERROR(INDEX(Bookings!$I:$I,MATCH(A633,Bookings!$A:$A,0)),"")</f>
        <v>2</v>
      </c>
      <c r="O633" s="5" t="str">
        <f t="shared" si="3"/>
        <v>Last Minute</v>
      </c>
      <c r="P633" s="5" t="str">
        <f t="shared" si="4"/>
        <v>Kolkata -&gt; Mumbai</v>
      </c>
    </row>
    <row r="634" ht="15.75" customHeight="1">
      <c r="A634" s="5" t="s">
        <v>2092</v>
      </c>
      <c r="B634" s="5" t="s">
        <v>1249</v>
      </c>
      <c r="C634" s="5" t="s">
        <v>504</v>
      </c>
      <c r="D634" s="5" t="s">
        <v>45</v>
      </c>
      <c r="E634" s="6" t="str">
        <f t="array" ref="E634">IFERROR(INDEX(Airlines!$B:$B,MATCH(D634,Airlines!$A:$A,0)),"")</f>
        <v>Air_India</v>
      </c>
      <c r="F634" s="6" t="str">
        <f>VLOOKUP(A634,Bookings!$A:$F,6,FALSE())</f>
        <v>Economy</v>
      </c>
      <c r="G634" s="6" t="str">
        <f t="array" ref="G634">IFERROR(INDEX(Flights!$E:$E,MATCH(B634,Flights!$A:$A,0)),"")</f>
        <v>Kolkata</v>
      </c>
      <c r="H634" s="6" t="str">
        <f>VLOOKUP(B634,Flights!A:H,6,FALSE())</f>
        <v>Mumbai</v>
      </c>
      <c r="I634" s="6" t="str">
        <f t="array" ref="I634">IFERROR(INDEX(Bookings!$G:$G,MATCH(B634,Bookings!$B:$B,0)),"")</f>
        <v>1</v>
      </c>
      <c r="J634" s="5">
        <f>VLOOKUP(B634,Bookings!B:H,7,FALSE())</f>
        <v>12.58</v>
      </c>
      <c r="K634" s="5" t="str">
        <f t="shared" si="1"/>
        <v>Long</v>
      </c>
      <c r="L634" s="11">
        <f t="array" ref="L634">IFERROR(INDEX(Bookings!$K:$K,MATCH(A634,Bookings!$A:$A,0)),"")</f>
        <v>8575</v>
      </c>
      <c r="M634" s="5" t="str">
        <f t="shared" si="2"/>
        <v>Medium</v>
      </c>
      <c r="N634" s="5">
        <f t="array" ref="N634">IFERROR(INDEX(Bookings!$I:$I,MATCH(A634,Bookings!$A:$A,0)),"")</f>
        <v>15</v>
      </c>
      <c r="O634" s="5" t="str">
        <f t="shared" si="3"/>
        <v>Short Notice</v>
      </c>
      <c r="P634" s="5" t="str">
        <f t="shared" si="4"/>
        <v>Kolkata -&gt; Mumbai</v>
      </c>
    </row>
    <row r="635" ht="15.75" customHeight="1">
      <c r="A635" s="5" t="s">
        <v>2093</v>
      </c>
      <c r="B635" s="5" t="s">
        <v>1263</v>
      </c>
      <c r="C635" s="5" t="s">
        <v>504</v>
      </c>
      <c r="D635" s="5" t="s">
        <v>45</v>
      </c>
      <c r="E635" s="6" t="str">
        <f t="array" ref="E635">IFERROR(INDEX(Airlines!$B:$B,MATCH(D635,Airlines!$A:$A,0)),"")</f>
        <v>Air_India</v>
      </c>
      <c r="F635" s="6" t="str">
        <f>VLOOKUP(A635,Bookings!$A:$F,6,FALSE())</f>
        <v>Business</v>
      </c>
      <c r="G635" s="6" t="str">
        <f t="array" ref="G635">IFERROR(INDEX(Flights!$E:$E,MATCH(B635,Flights!$A:$A,0)),"")</f>
        <v>Kolkata</v>
      </c>
      <c r="H635" s="6" t="str">
        <f>VLOOKUP(B635,Flights!A:H,6,FALSE())</f>
        <v>Mumbai</v>
      </c>
      <c r="I635" s="6" t="str">
        <f t="array" ref="I635">IFERROR(INDEX(Bookings!$G:$G,MATCH(B635,Bookings!$B:$B,0)),"")</f>
        <v>1</v>
      </c>
      <c r="J635" s="5">
        <f>VLOOKUP(B635,Bookings!B:H,7,FALSE())</f>
        <v>13.67</v>
      </c>
      <c r="K635" s="5" t="str">
        <f t="shared" si="1"/>
        <v>Long</v>
      </c>
      <c r="L635" s="11">
        <f t="array" ref="L635">IFERROR(INDEX(Bookings!$K:$K,MATCH(A635,Bookings!$A:$A,0)),"")</f>
        <v>50271</v>
      </c>
      <c r="M635" s="5" t="str">
        <f t="shared" si="2"/>
        <v>High</v>
      </c>
      <c r="N635" s="5">
        <f t="array" ref="N635">IFERROR(INDEX(Bookings!$I:$I,MATCH(A635,Bookings!$A:$A,0)),"")</f>
        <v>42</v>
      </c>
      <c r="O635" s="5" t="str">
        <f t="shared" si="3"/>
        <v>Advance</v>
      </c>
      <c r="P635" s="5" t="str">
        <f t="shared" si="4"/>
        <v>Kolkata -&gt; Mumbai</v>
      </c>
    </row>
    <row r="636" ht="15.75" customHeight="1">
      <c r="A636" s="5" t="s">
        <v>2095</v>
      </c>
      <c r="B636" s="5" t="s">
        <v>1141</v>
      </c>
      <c r="C636" s="5" t="s">
        <v>504</v>
      </c>
      <c r="D636" s="5" t="s">
        <v>45</v>
      </c>
      <c r="E636" s="6" t="str">
        <f t="array" ref="E636">IFERROR(INDEX(Airlines!$B:$B,MATCH(D636,Airlines!$A:$A,0)),"")</f>
        <v>Air_India</v>
      </c>
      <c r="F636" s="6" t="str">
        <f>VLOOKUP(A636,Bookings!$A:$F,6,FALSE())</f>
        <v>Economy</v>
      </c>
      <c r="G636" s="6" t="str">
        <f t="array" ref="G636">IFERROR(INDEX(Flights!$E:$E,MATCH(B636,Flights!$A:$A,0)),"")</f>
        <v>Kolkata</v>
      </c>
      <c r="H636" s="6" t="str">
        <f>VLOOKUP(B636,Flights!A:H,6,FALSE())</f>
        <v>Mumbai</v>
      </c>
      <c r="I636" s="6" t="str">
        <f t="array" ref="I636">IFERROR(INDEX(Bookings!$G:$G,MATCH(B636,Bookings!$B:$B,0)),"")</f>
        <v>1</v>
      </c>
      <c r="J636" s="5">
        <f>VLOOKUP(B636,Bookings!B:H,7,FALSE())</f>
        <v>15.17</v>
      </c>
      <c r="K636" s="5" t="str">
        <f t="shared" si="1"/>
        <v>Long</v>
      </c>
      <c r="L636" s="11">
        <f t="array" ref="L636">IFERROR(INDEX(Bookings!$K:$K,MATCH(A636,Bookings!$A:$A,0)),"")</f>
        <v>7032</v>
      </c>
      <c r="M636" s="5" t="str">
        <f t="shared" si="2"/>
        <v>Medium</v>
      </c>
      <c r="N636" s="5">
        <f t="array" ref="N636">IFERROR(INDEX(Bookings!$I:$I,MATCH(A636,Bookings!$A:$A,0)),"")</f>
        <v>16</v>
      </c>
      <c r="O636" s="5" t="str">
        <f t="shared" si="3"/>
        <v>Moderate</v>
      </c>
      <c r="P636" s="5" t="str">
        <f t="shared" si="4"/>
        <v>Kolkata -&gt; Mumbai</v>
      </c>
    </row>
    <row r="637" ht="15.75" customHeight="1">
      <c r="A637" s="5" t="s">
        <v>2097</v>
      </c>
      <c r="B637" s="5" t="s">
        <v>1169</v>
      </c>
      <c r="C637" s="5" t="s">
        <v>504</v>
      </c>
      <c r="D637" s="5" t="s">
        <v>45</v>
      </c>
      <c r="E637" s="6" t="str">
        <f t="array" ref="E637">IFERROR(INDEX(Airlines!$B:$B,MATCH(D637,Airlines!$A:$A,0)),"")</f>
        <v>Air_India</v>
      </c>
      <c r="F637" s="6" t="str">
        <f>VLOOKUP(A637,Bookings!$A:$F,6,FALSE())</f>
        <v>Economy</v>
      </c>
      <c r="G637" s="6" t="str">
        <f t="array" ref="G637">IFERROR(INDEX(Flights!$E:$E,MATCH(B637,Flights!$A:$A,0)),"")</f>
        <v>Kolkata</v>
      </c>
      <c r="H637" s="6" t="str">
        <f>VLOOKUP(B637,Flights!A:H,6,FALSE())</f>
        <v>Mumbai</v>
      </c>
      <c r="I637" s="6" t="str">
        <f t="array" ref="I637">IFERROR(INDEX(Bookings!$G:$G,MATCH(B637,Bookings!$B:$B,0)),"")</f>
        <v>1</v>
      </c>
      <c r="J637" s="5">
        <f>VLOOKUP(B637,Bookings!B:H,7,FALSE())</f>
        <v>24.75</v>
      </c>
      <c r="K637" s="5" t="str">
        <f t="shared" si="1"/>
        <v>Long</v>
      </c>
      <c r="L637" s="11">
        <f t="array" ref="L637">IFERROR(INDEX(Bookings!$K:$K,MATCH(A637,Bookings!$A:$A,0)),"")</f>
        <v>12054</v>
      </c>
      <c r="M637" s="5" t="str">
        <f t="shared" si="2"/>
        <v>Medium</v>
      </c>
      <c r="N637" s="5">
        <f t="array" ref="N637">IFERROR(INDEX(Bookings!$I:$I,MATCH(A637,Bookings!$A:$A,0)),"")</f>
        <v>2</v>
      </c>
      <c r="O637" s="5" t="str">
        <f t="shared" si="3"/>
        <v>Last Minute</v>
      </c>
      <c r="P637" s="5" t="str">
        <f t="shared" si="4"/>
        <v>Kolkata -&gt; Mumbai</v>
      </c>
    </row>
    <row r="638" ht="15.75" customHeight="1">
      <c r="A638" s="5" t="s">
        <v>2098</v>
      </c>
      <c r="B638" s="5" t="s">
        <v>1182</v>
      </c>
      <c r="C638" s="5" t="s">
        <v>504</v>
      </c>
      <c r="D638" s="5" t="s">
        <v>45</v>
      </c>
      <c r="E638" s="6" t="str">
        <f t="array" ref="E638">IFERROR(INDEX(Airlines!$B:$B,MATCH(D638,Airlines!$A:$A,0)),"")</f>
        <v>Air_India</v>
      </c>
      <c r="F638" s="6" t="str">
        <f>VLOOKUP(A638,Bookings!$A:$F,6,FALSE())</f>
        <v>Business</v>
      </c>
      <c r="G638" s="6" t="str">
        <f t="array" ref="G638">IFERROR(INDEX(Flights!$E:$E,MATCH(B638,Flights!$A:$A,0)),"")</f>
        <v>Kolkata</v>
      </c>
      <c r="H638" s="6" t="str">
        <f>VLOOKUP(B638,Flights!A:H,6,FALSE())</f>
        <v>Mumbai</v>
      </c>
      <c r="I638" s="6" t="str">
        <f t="array" ref="I638">IFERROR(INDEX(Bookings!$G:$G,MATCH(B638,Bookings!$B:$B,0)),"")</f>
        <v>1</v>
      </c>
      <c r="J638" s="5">
        <f>VLOOKUP(B638,Bookings!B:H,7,FALSE())</f>
        <v>25.08</v>
      </c>
      <c r="K638" s="5" t="str">
        <f t="shared" si="1"/>
        <v>Long</v>
      </c>
      <c r="L638" s="11">
        <f t="array" ref="L638">IFERROR(INDEX(Bookings!$K:$K,MATCH(A638,Bookings!$A:$A,0)),"")</f>
        <v>54852</v>
      </c>
      <c r="M638" s="5" t="str">
        <f t="shared" si="2"/>
        <v>High</v>
      </c>
      <c r="N638" s="5">
        <f t="array" ref="N638">IFERROR(INDEX(Bookings!$I:$I,MATCH(A638,Bookings!$A:$A,0)),"")</f>
        <v>2</v>
      </c>
      <c r="O638" s="5" t="str">
        <f t="shared" si="3"/>
        <v>Last Minute</v>
      </c>
      <c r="P638" s="5" t="str">
        <f t="shared" si="4"/>
        <v>Kolkata -&gt; Mumbai</v>
      </c>
    </row>
    <row r="639" ht="15.75" customHeight="1">
      <c r="A639" s="5" t="s">
        <v>2100</v>
      </c>
      <c r="B639" s="5" t="s">
        <v>1258</v>
      </c>
      <c r="C639" s="5" t="s">
        <v>504</v>
      </c>
      <c r="D639" s="5" t="s">
        <v>20</v>
      </c>
      <c r="E639" s="6" t="str">
        <f t="array" ref="E639">IFERROR(INDEX(Airlines!$B:$B,MATCH(D639,Airlines!$A:$A,0)),"")</f>
        <v>Vistara</v>
      </c>
      <c r="F639" s="6" t="str">
        <f>VLOOKUP(A639,Bookings!$A:$F,6,FALSE())</f>
        <v>Economy</v>
      </c>
      <c r="G639" s="6" t="str">
        <f t="array" ref="G639">IFERROR(INDEX(Flights!$E:$E,MATCH(B639,Flights!$A:$A,0)),"")</f>
        <v>Kolkata</v>
      </c>
      <c r="H639" s="6" t="str">
        <f>VLOOKUP(B639,Flights!A:H,6,FALSE())</f>
        <v>Mumbai</v>
      </c>
      <c r="I639" s="6" t="str">
        <f t="array" ref="I639">IFERROR(INDEX(Bookings!$G:$G,MATCH(B639,Bookings!$B:$B,0)),"")</f>
        <v>1</v>
      </c>
      <c r="J639" s="5">
        <f>VLOOKUP(B639,Bookings!B:H,7,FALSE())</f>
        <v>21.75</v>
      </c>
      <c r="K639" s="5" t="str">
        <f t="shared" si="1"/>
        <v>Long</v>
      </c>
      <c r="L639" s="11">
        <f t="array" ref="L639">IFERROR(INDEX(Bookings!$K:$K,MATCH(A639,Bookings!$A:$A,0)),"")</f>
        <v>7571</v>
      </c>
      <c r="M639" s="5" t="str">
        <f t="shared" si="2"/>
        <v>Medium</v>
      </c>
      <c r="N639" s="5">
        <f t="array" ref="N639">IFERROR(INDEX(Bookings!$I:$I,MATCH(A639,Bookings!$A:$A,0)),"")</f>
        <v>23</v>
      </c>
      <c r="O639" s="5" t="str">
        <f t="shared" si="3"/>
        <v>Moderate</v>
      </c>
      <c r="P639" s="5" t="str">
        <f t="shared" si="4"/>
        <v>Kolkata -&gt; Mumbai</v>
      </c>
    </row>
    <row r="640" ht="15.75" customHeight="1">
      <c r="A640" s="5" t="s">
        <v>2101</v>
      </c>
      <c r="B640" s="5" t="s">
        <v>1156</v>
      </c>
      <c r="C640" s="5" t="s">
        <v>504</v>
      </c>
      <c r="D640" s="5" t="s">
        <v>72</v>
      </c>
      <c r="E640" s="6" t="str">
        <f t="array" ref="E640">IFERROR(INDEX(Airlines!$B:$B,MATCH(D640,Airlines!$A:$A,0)),"")</f>
        <v>Spicejet</v>
      </c>
      <c r="F640" s="6" t="str">
        <f>VLOOKUP(A640,Bookings!$A:$F,6,FALSE())</f>
        <v>Economy</v>
      </c>
      <c r="G640" s="6" t="str">
        <f t="array" ref="G640">IFERROR(INDEX(Flights!$E:$E,MATCH(B640,Flights!$A:$A,0)),"")</f>
        <v>Kolkata</v>
      </c>
      <c r="H640" s="6" t="str">
        <f>VLOOKUP(B640,Flights!A:H,6,FALSE())</f>
        <v>Mumbai</v>
      </c>
      <c r="I640" s="6" t="str">
        <f t="array" ref="I640">IFERROR(INDEX(Bookings!$G:$G,MATCH(B640,Bookings!$B:$B,0)),"")</f>
        <v>1</v>
      </c>
      <c r="J640" s="5">
        <f>VLOOKUP(B640,Bookings!B:H,7,FALSE())</f>
        <v>23.5</v>
      </c>
      <c r="K640" s="5" t="str">
        <f t="shared" si="1"/>
        <v>Long</v>
      </c>
      <c r="L640" s="11">
        <f t="array" ref="L640">IFERROR(INDEX(Bookings!$K:$K,MATCH(A640,Bookings!$A:$A,0)),"")</f>
        <v>8975</v>
      </c>
      <c r="M640" s="5" t="str">
        <f t="shared" si="2"/>
        <v>Medium</v>
      </c>
      <c r="N640" s="5">
        <f t="array" ref="N640">IFERROR(INDEX(Bookings!$I:$I,MATCH(A640,Bookings!$A:$A,0)),"")</f>
        <v>30</v>
      </c>
      <c r="O640" s="5" t="str">
        <f t="shared" si="3"/>
        <v>Moderate</v>
      </c>
      <c r="P640" s="5" t="str">
        <f t="shared" si="4"/>
        <v>Kolkata -&gt; Mumbai</v>
      </c>
    </row>
    <row r="641" ht="15.75" customHeight="1">
      <c r="A641" s="5" t="s">
        <v>2104</v>
      </c>
      <c r="B641" s="5" t="s">
        <v>1252</v>
      </c>
      <c r="C641" s="5" t="s">
        <v>504</v>
      </c>
      <c r="D641" s="5" t="s">
        <v>45</v>
      </c>
      <c r="E641" s="6" t="str">
        <f t="array" ref="E641">IFERROR(INDEX(Airlines!$B:$B,MATCH(D641,Airlines!$A:$A,0)),"")</f>
        <v>Air_India</v>
      </c>
      <c r="F641" s="6" t="str">
        <f>VLOOKUP(A641,Bookings!$A:$F,6,FALSE())</f>
        <v>Economy</v>
      </c>
      <c r="G641" s="6" t="str">
        <f t="array" ref="G641">IFERROR(INDEX(Flights!$E:$E,MATCH(B641,Flights!$A:$A,0)),"")</f>
        <v>Kolkata</v>
      </c>
      <c r="H641" s="6" t="str">
        <f>VLOOKUP(B641,Flights!A:H,6,FALSE())</f>
        <v>Mumbai</v>
      </c>
      <c r="I641" s="6" t="str">
        <f t="array" ref="I641">IFERROR(INDEX(Bookings!$G:$G,MATCH(B641,Bookings!$B:$B,0)),"")</f>
        <v>2+</v>
      </c>
      <c r="J641" s="5">
        <f>VLOOKUP(B641,Bookings!B:H,7,FALSE())</f>
        <v>31.92</v>
      </c>
      <c r="K641" s="5" t="str">
        <f t="shared" si="1"/>
        <v>Long</v>
      </c>
      <c r="L641" s="11">
        <f t="array" ref="L641">IFERROR(INDEX(Bookings!$K:$K,MATCH(A641,Bookings!$A:$A,0)),"")</f>
        <v>14326</v>
      </c>
      <c r="M641" s="5" t="str">
        <f t="shared" si="2"/>
        <v>Medium</v>
      </c>
      <c r="N641" s="5" t="str">
        <f t="array" ref="N641">IFERROR(INDEX(Bookings!$I:$I,MATCH(A641,Bookings!$A:$A,0)),"")</f>
        <v/>
      </c>
      <c r="O641" s="5" t="str">
        <f t="shared" si="3"/>
        <v>Last Minute</v>
      </c>
      <c r="P641" s="5" t="str">
        <f t="shared" si="4"/>
        <v>Kolkata -&gt; Mumbai</v>
      </c>
    </row>
    <row r="642" ht="15.75" customHeight="1">
      <c r="A642" s="5" t="s">
        <v>2106</v>
      </c>
      <c r="B642" s="5" t="s">
        <v>1225</v>
      </c>
      <c r="C642" s="5" t="s">
        <v>504</v>
      </c>
      <c r="D642" s="5" t="s">
        <v>45</v>
      </c>
      <c r="E642" s="6" t="str">
        <f t="array" ref="E642">IFERROR(INDEX(Airlines!$B:$B,MATCH(D642,Airlines!$A:$A,0)),"")</f>
        <v>Air_India</v>
      </c>
      <c r="F642" s="6" t="str">
        <f>VLOOKUP(A642,Bookings!$A:$F,6,FALSE())</f>
        <v>Economy</v>
      </c>
      <c r="G642" s="6" t="str">
        <f t="array" ref="G642">IFERROR(INDEX(Flights!$E:$E,MATCH(B642,Flights!$A:$A,0)),"")</f>
        <v>Kolkata</v>
      </c>
      <c r="H642" s="6" t="str">
        <f>VLOOKUP(B642,Flights!A:H,6,FALSE())</f>
        <v>Mumbai</v>
      </c>
      <c r="I642" s="6" t="str">
        <f t="array" ref="I642">IFERROR(INDEX(Bookings!$G:$G,MATCH(B642,Bookings!$B:$B,0)),"")</f>
        <v>2+</v>
      </c>
      <c r="J642" s="5">
        <f>VLOOKUP(B642,Bookings!B:H,7,FALSE())</f>
        <v>30</v>
      </c>
      <c r="K642" s="5" t="str">
        <f t="shared" si="1"/>
        <v>Long</v>
      </c>
      <c r="L642" s="11">
        <f t="array" ref="L642">IFERROR(INDEX(Bookings!$K:$K,MATCH(A642,Bookings!$A:$A,0)),"")</f>
        <v>13235</v>
      </c>
      <c r="M642" s="5" t="str">
        <f t="shared" si="2"/>
        <v>Medium</v>
      </c>
      <c r="N642" s="5">
        <f t="array" ref="N642">IFERROR(INDEX(Bookings!$I:$I,MATCH(A642,Bookings!$A:$A,0)),"")</f>
        <v>11</v>
      </c>
      <c r="O642" s="5" t="str">
        <f t="shared" si="3"/>
        <v>Short Notice</v>
      </c>
      <c r="P642" s="5" t="str">
        <f t="shared" si="4"/>
        <v>Kolkata -&gt; Mumbai</v>
      </c>
    </row>
    <row r="643" ht="15.75" customHeight="1">
      <c r="A643" s="5" t="s">
        <v>2108</v>
      </c>
      <c r="B643" s="5" t="s">
        <v>1177</v>
      </c>
      <c r="C643" s="5" t="s">
        <v>504</v>
      </c>
      <c r="D643" s="5" t="s">
        <v>20</v>
      </c>
      <c r="E643" s="6" t="str">
        <f t="array" ref="E643">IFERROR(INDEX(Airlines!$B:$B,MATCH(D643,Airlines!$A:$A,0)),"")</f>
        <v>Vistara</v>
      </c>
      <c r="F643" s="6" t="str">
        <f>VLOOKUP(A643,Bookings!$A:$F,6,FALSE())</f>
        <v>Economy</v>
      </c>
      <c r="G643" s="6" t="str">
        <f t="array" ref="G643">IFERROR(INDEX(Flights!$E:$E,MATCH(B643,Flights!$A:$A,0)),"")</f>
        <v>Kolkata</v>
      </c>
      <c r="H643" s="6" t="str">
        <f>VLOOKUP(B643,Flights!A:H,6,FALSE())</f>
        <v>Mumbai</v>
      </c>
      <c r="I643" s="6" t="str">
        <f t="array" ref="I643">IFERROR(INDEX(Bookings!$G:$G,MATCH(B643,Bookings!$B:$B,0)),"")</f>
        <v>1</v>
      </c>
      <c r="J643" s="5">
        <f>VLOOKUP(B643,Bookings!B:H,7,FALSE())</f>
        <v>11.75</v>
      </c>
      <c r="K643" s="5" t="str">
        <f t="shared" si="1"/>
        <v>Long</v>
      </c>
      <c r="L643" s="11">
        <f t="array" ref="L643">IFERROR(INDEX(Bookings!$K:$K,MATCH(A643,Bookings!$A:$A,0)),"")</f>
        <v>6067</v>
      </c>
      <c r="M643" s="5" t="str">
        <f t="shared" si="2"/>
        <v>Medium</v>
      </c>
      <c r="N643" s="5">
        <f t="array" ref="N643">IFERROR(INDEX(Bookings!$I:$I,MATCH(A643,Bookings!$A:$A,0)),"")</f>
        <v>44</v>
      </c>
      <c r="O643" s="5" t="str">
        <f t="shared" si="3"/>
        <v>Advance</v>
      </c>
      <c r="P643" s="5" t="str">
        <f t="shared" si="4"/>
        <v>Kolkata -&gt; Mumbai</v>
      </c>
    </row>
    <row r="644" ht="15.75" customHeight="1">
      <c r="A644" s="5" t="s">
        <v>2110</v>
      </c>
      <c r="B644" s="5" t="s">
        <v>1173</v>
      </c>
      <c r="C644" s="5" t="s">
        <v>504</v>
      </c>
      <c r="D644" s="5" t="s">
        <v>45</v>
      </c>
      <c r="E644" s="6" t="str">
        <f t="array" ref="E644">IFERROR(INDEX(Airlines!$B:$B,MATCH(D644,Airlines!$A:$A,0)),"")</f>
        <v>Air_India</v>
      </c>
      <c r="F644" s="6" t="str">
        <f>VLOOKUP(A644,Bookings!$A:$F,6,FALSE())</f>
        <v>Economy</v>
      </c>
      <c r="G644" s="6" t="str">
        <f t="array" ref="G644">IFERROR(INDEX(Flights!$E:$E,MATCH(B644,Flights!$A:$A,0)),"")</f>
        <v>Kolkata</v>
      </c>
      <c r="H644" s="6" t="str">
        <f>VLOOKUP(B644,Flights!A:H,6,FALSE())</f>
        <v>Mumbai</v>
      </c>
      <c r="I644" s="6" t="str">
        <f t="array" ref="I644">IFERROR(INDEX(Bookings!$G:$G,MATCH(B644,Bookings!$B:$B,0)),"")</f>
        <v>1</v>
      </c>
      <c r="J644" s="5">
        <f>VLOOKUP(B644,Bookings!B:H,7,FALSE())</f>
        <v>19.58</v>
      </c>
      <c r="K644" s="5" t="str">
        <f t="shared" si="1"/>
        <v>Long</v>
      </c>
      <c r="L644" s="11">
        <f t="array" ref="L644">IFERROR(INDEX(Bookings!$K:$K,MATCH(A644,Bookings!$A:$A,0)),"")</f>
        <v>15624</v>
      </c>
      <c r="M644" s="5" t="str">
        <f t="shared" si="2"/>
        <v>Medium</v>
      </c>
      <c r="N644" s="5">
        <f t="array" ref="N644">IFERROR(INDEX(Bookings!$I:$I,MATCH(A644,Bookings!$A:$A,0)),"")</f>
        <v>4</v>
      </c>
      <c r="O644" s="5" t="str">
        <f t="shared" si="3"/>
        <v>Last Minute</v>
      </c>
      <c r="P644" s="5" t="str">
        <f t="shared" si="4"/>
        <v>Kolkata -&gt; Mumbai</v>
      </c>
    </row>
    <row r="645" ht="15.75" customHeight="1">
      <c r="A645" s="5" t="s">
        <v>2112</v>
      </c>
      <c r="B645" s="5" t="s">
        <v>1210</v>
      </c>
      <c r="C645" s="5" t="s">
        <v>504</v>
      </c>
      <c r="D645" s="5" t="s">
        <v>45</v>
      </c>
      <c r="E645" s="6" t="str">
        <f t="array" ref="E645">IFERROR(INDEX(Airlines!$B:$B,MATCH(D645,Airlines!$A:$A,0)),"")</f>
        <v>Air_India</v>
      </c>
      <c r="F645" s="6" t="str">
        <f>VLOOKUP(A645,Bookings!$A:$F,6,FALSE())</f>
        <v>Business</v>
      </c>
      <c r="G645" s="6" t="str">
        <f t="array" ref="G645">IFERROR(INDEX(Flights!$E:$E,MATCH(B645,Flights!$A:$A,0)),"")</f>
        <v>Kolkata</v>
      </c>
      <c r="H645" s="6" t="str">
        <f>VLOOKUP(B645,Flights!A:H,6,FALSE())</f>
        <v>Mumbai</v>
      </c>
      <c r="I645" s="6" t="str">
        <f t="array" ref="I645">IFERROR(INDEX(Bookings!$G:$G,MATCH(B645,Bookings!$B:$B,0)),"")</f>
        <v>1</v>
      </c>
      <c r="J645" s="5">
        <f>VLOOKUP(B645,Bookings!B:H,7,FALSE())</f>
        <v>4.83</v>
      </c>
      <c r="K645" s="5" t="str">
        <f t="shared" si="1"/>
        <v>Medium</v>
      </c>
      <c r="L645" s="11">
        <f t="array" ref="L645">IFERROR(INDEX(Bookings!$K:$K,MATCH(A645,Bookings!$A:$A,0)),"")</f>
        <v>31982</v>
      </c>
      <c r="M645" s="5" t="str">
        <f t="shared" si="2"/>
        <v>High</v>
      </c>
      <c r="N645" s="5">
        <f t="array" ref="N645">IFERROR(INDEX(Bookings!$I:$I,MATCH(A645,Bookings!$A:$A,0)),"")</f>
        <v>10</v>
      </c>
      <c r="O645" s="5" t="str">
        <f t="shared" si="3"/>
        <v>Short Notice</v>
      </c>
      <c r="P645" s="5" t="str">
        <f t="shared" si="4"/>
        <v>Kolkata -&gt; Mumbai</v>
      </c>
    </row>
    <row r="646" ht="15.75" customHeight="1">
      <c r="A646" s="5" t="s">
        <v>2113</v>
      </c>
      <c r="B646" s="5" t="s">
        <v>1215</v>
      </c>
      <c r="C646" s="5" t="s">
        <v>504</v>
      </c>
      <c r="D646" s="5" t="s">
        <v>45</v>
      </c>
      <c r="E646" s="6" t="str">
        <f t="array" ref="E646">IFERROR(INDEX(Airlines!$B:$B,MATCH(D646,Airlines!$A:$A,0)),"")</f>
        <v>Air_India</v>
      </c>
      <c r="F646" s="6" t="str">
        <f>VLOOKUP(A646,Bookings!$A:$F,6,FALSE())</f>
        <v>Economy</v>
      </c>
      <c r="G646" s="6" t="str">
        <f t="array" ref="G646">IFERROR(INDEX(Flights!$E:$E,MATCH(B646,Flights!$A:$A,0)),"")</f>
        <v>Kolkata</v>
      </c>
      <c r="H646" s="6" t="str">
        <f>VLOOKUP(B646,Flights!A:H,6,FALSE())</f>
        <v>Mumbai</v>
      </c>
      <c r="I646" s="6" t="str">
        <f t="array" ref="I646">IFERROR(INDEX(Bookings!$G:$G,MATCH(B646,Bookings!$B:$B,0)),"")</f>
        <v>1</v>
      </c>
      <c r="J646" s="5">
        <f>VLOOKUP(B646,Bookings!B:H,7,FALSE())</f>
        <v>21.83</v>
      </c>
      <c r="K646" s="5" t="str">
        <f t="shared" si="1"/>
        <v>Long</v>
      </c>
      <c r="L646" s="11">
        <f t="array" ref="L646">IFERROR(INDEX(Bookings!$K:$K,MATCH(A646,Bookings!$A:$A,0)),"")</f>
        <v>11214</v>
      </c>
      <c r="M646" s="5" t="str">
        <f t="shared" si="2"/>
        <v>Medium</v>
      </c>
      <c r="N646" s="5">
        <f t="array" ref="N646">IFERROR(INDEX(Bookings!$I:$I,MATCH(A646,Bookings!$A:$A,0)),"")</f>
        <v>5</v>
      </c>
      <c r="O646" s="5" t="str">
        <f t="shared" si="3"/>
        <v>Last Minute</v>
      </c>
      <c r="P646" s="5" t="str">
        <f t="shared" si="4"/>
        <v>Kolkata -&gt; Mumbai</v>
      </c>
    </row>
    <row r="647" ht="15.75" customHeight="1">
      <c r="A647" s="5" t="s">
        <v>2115</v>
      </c>
      <c r="B647" s="5" t="s">
        <v>1234</v>
      </c>
      <c r="C647" s="5" t="s">
        <v>504</v>
      </c>
      <c r="D647" s="5" t="s">
        <v>43</v>
      </c>
      <c r="E647" s="6" t="str">
        <f t="array" ref="E647">IFERROR(INDEX(Airlines!$B:$B,MATCH(D647,Airlines!$A:$A,0)),"")</f>
        <v>Indigo</v>
      </c>
      <c r="F647" s="6" t="str">
        <f>VLOOKUP(A647,Bookings!$A:$F,6,FALSE())</f>
        <v>Economy</v>
      </c>
      <c r="G647" s="6" t="str">
        <f t="array" ref="G647">IFERROR(INDEX(Flights!$E:$E,MATCH(B647,Flights!$A:$A,0)),"")</f>
        <v>Kolkata</v>
      </c>
      <c r="H647" s="6" t="str">
        <f>VLOOKUP(B647,Flights!A:H,6,FALSE())</f>
        <v>Mumbai</v>
      </c>
      <c r="I647" s="6" t="str">
        <f t="array" ref="I647">IFERROR(INDEX(Bookings!$G:$G,MATCH(B647,Bookings!$B:$B,0)),"")</f>
        <v>1</v>
      </c>
      <c r="J647" s="5">
        <f>VLOOKUP(B647,Bookings!B:H,7,FALSE())</f>
        <v>11.33</v>
      </c>
      <c r="K647" s="5" t="str">
        <f t="shared" si="1"/>
        <v>Long</v>
      </c>
      <c r="L647" s="11">
        <f t="array" ref="L647">IFERROR(INDEX(Bookings!$K:$K,MATCH(A647,Bookings!$A:$A,0)),"")</f>
        <v>4515</v>
      </c>
      <c r="M647" s="5" t="str">
        <f t="shared" si="2"/>
        <v>Low</v>
      </c>
      <c r="N647" s="5">
        <f t="array" ref="N647">IFERROR(INDEX(Bookings!$I:$I,MATCH(A647,Bookings!$A:$A,0)),"")</f>
        <v>39</v>
      </c>
      <c r="O647" s="5" t="str">
        <f t="shared" si="3"/>
        <v>Advance</v>
      </c>
      <c r="P647" s="5" t="str">
        <f t="shared" si="4"/>
        <v>Kolkata -&gt; Mumbai</v>
      </c>
    </row>
    <row r="648" ht="15.75" customHeight="1">
      <c r="A648" s="5" t="s">
        <v>2117</v>
      </c>
      <c r="B648" s="5" t="s">
        <v>1187</v>
      </c>
      <c r="C648" s="5" t="s">
        <v>504</v>
      </c>
      <c r="D648" s="5" t="s">
        <v>45</v>
      </c>
      <c r="E648" s="6" t="str">
        <f t="array" ref="E648">IFERROR(INDEX(Airlines!$B:$B,MATCH(D648,Airlines!$A:$A,0)),"")</f>
        <v>Air_India</v>
      </c>
      <c r="F648" s="6" t="str">
        <f>VLOOKUP(A648,Bookings!$A:$F,6,FALSE())</f>
        <v>Economy</v>
      </c>
      <c r="G648" s="6" t="str">
        <f t="array" ref="G648">IFERROR(INDEX(Flights!$E:$E,MATCH(B648,Flights!$A:$A,0)),"")</f>
        <v>Kolkata</v>
      </c>
      <c r="H648" s="6" t="str">
        <f>VLOOKUP(B648,Flights!A:H,6,FALSE())</f>
        <v>Mumbai</v>
      </c>
      <c r="I648" s="6" t="str">
        <f t="array" ref="I648">IFERROR(INDEX(Bookings!$G:$G,MATCH(B648,Bookings!$B:$B,0)),"")</f>
        <v>2+</v>
      </c>
      <c r="J648" s="5">
        <f>VLOOKUP(B648,Bookings!B:H,7,FALSE())</f>
        <v>21.5</v>
      </c>
      <c r="K648" s="5" t="str">
        <f t="shared" si="1"/>
        <v>Long</v>
      </c>
      <c r="L648" s="11">
        <f t="array" ref="L648">IFERROR(INDEX(Bookings!$K:$K,MATCH(A648,Bookings!$A:$A,0)),"")</f>
        <v>12054</v>
      </c>
      <c r="M648" s="5" t="str">
        <f t="shared" si="2"/>
        <v>Medium</v>
      </c>
      <c r="N648" s="5">
        <f t="array" ref="N648">IFERROR(INDEX(Bookings!$I:$I,MATCH(A648,Bookings!$A:$A,0)),"")</f>
        <v>11</v>
      </c>
      <c r="O648" s="5" t="str">
        <f t="shared" si="3"/>
        <v>Short Notice</v>
      </c>
      <c r="P648" s="5" t="str">
        <f t="shared" si="4"/>
        <v>Kolkata -&gt; Mumbai</v>
      </c>
    </row>
    <row r="649" ht="15.75" customHeight="1">
      <c r="A649" s="5" t="s">
        <v>2118</v>
      </c>
      <c r="B649" s="5" t="s">
        <v>1185</v>
      </c>
      <c r="C649" s="5" t="s">
        <v>504</v>
      </c>
      <c r="D649" s="5" t="s">
        <v>45</v>
      </c>
      <c r="E649" s="6" t="str">
        <f t="array" ref="E649">IFERROR(INDEX(Airlines!$B:$B,MATCH(D649,Airlines!$A:$A,0)),"")</f>
        <v>Air_India</v>
      </c>
      <c r="F649" s="6" t="str">
        <f>VLOOKUP(A649,Bookings!$A:$F,6,FALSE())</f>
        <v>Economy</v>
      </c>
      <c r="G649" s="6" t="str">
        <f t="array" ref="G649">IFERROR(INDEX(Flights!$E:$E,MATCH(B649,Flights!$A:$A,0)),"")</f>
        <v>Kolkata</v>
      </c>
      <c r="H649" s="6" t="str">
        <f>VLOOKUP(B649,Flights!A:H,6,FALSE())</f>
        <v>Mumbai</v>
      </c>
      <c r="I649" s="6" t="str">
        <f t="array" ref="I649">IFERROR(INDEX(Bookings!$G:$G,MATCH(B649,Bookings!$B:$B,0)),"")</f>
        <v>1</v>
      </c>
      <c r="J649" s="5">
        <f>VLOOKUP(B649,Bookings!B:H,7,FALSE())</f>
        <v>19.92</v>
      </c>
      <c r="K649" s="5" t="str">
        <f t="shared" si="1"/>
        <v>Long</v>
      </c>
      <c r="L649" s="11">
        <f t="array" ref="L649">IFERROR(INDEX(Bookings!$K:$K,MATCH(A649,Bookings!$A:$A,0)),"")</f>
        <v>8938</v>
      </c>
      <c r="M649" s="5" t="str">
        <f t="shared" si="2"/>
        <v>Medium</v>
      </c>
      <c r="N649" s="5">
        <f t="array" ref="N649">IFERROR(INDEX(Bookings!$I:$I,MATCH(A649,Bookings!$A:$A,0)),"")</f>
        <v>43</v>
      </c>
      <c r="O649" s="5" t="str">
        <f t="shared" si="3"/>
        <v>Advance</v>
      </c>
      <c r="P649" s="5" t="str">
        <f t="shared" si="4"/>
        <v>Kolkata -&gt; Mumbai</v>
      </c>
    </row>
    <row r="650" ht="15.75" customHeight="1">
      <c r="A650" s="5" t="s">
        <v>2120</v>
      </c>
      <c r="B650" s="5" t="s">
        <v>1154</v>
      </c>
      <c r="C650" s="5" t="s">
        <v>504</v>
      </c>
      <c r="D650" s="5" t="s">
        <v>58</v>
      </c>
      <c r="E650" s="6" t="str">
        <f t="array" ref="E650">IFERROR(INDEX(Airlines!$B:$B,MATCH(D650,Airlines!$A:$A,0)),"")</f>
        <v>Go_First</v>
      </c>
      <c r="F650" s="6" t="str">
        <f>VLOOKUP(A650,Bookings!$A:$F,6,FALSE())</f>
        <v>Economy</v>
      </c>
      <c r="G650" s="6" t="str">
        <f t="array" ref="G650">IFERROR(INDEX(Flights!$E:$E,MATCH(B650,Flights!$A:$A,0)),"")</f>
        <v>Kolkata</v>
      </c>
      <c r="H650" s="6" t="str">
        <f>VLOOKUP(B650,Flights!A:H,6,FALSE())</f>
        <v>Mumbai</v>
      </c>
      <c r="I650" s="6" t="str">
        <f t="array" ref="I650">IFERROR(INDEX(Bookings!$G:$G,MATCH(B650,Bookings!$B:$B,0)),"")</f>
        <v>1</v>
      </c>
      <c r="J650" s="5">
        <f>VLOOKUP(B650,Bookings!B:H,7,FALSE())</f>
        <v>13.92</v>
      </c>
      <c r="K650" s="5" t="str">
        <f t="shared" si="1"/>
        <v>Long</v>
      </c>
      <c r="L650" s="11">
        <f t="array" ref="L650">IFERROR(INDEX(Bookings!$K:$K,MATCH(A650,Bookings!$A:$A,0)),"")</f>
        <v>6308</v>
      </c>
      <c r="M650" s="5" t="str">
        <f t="shared" si="2"/>
        <v>Medium</v>
      </c>
      <c r="N650" s="5">
        <f t="array" ref="N650">IFERROR(INDEX(Bookings!$I:$I,MATCH(A650,Bookings!$A:$A,0)),"")</f>
        <v>16</v>
      </c>
      <c r="O650" s="5" t="str">
        <f t="shared" si="3"/>
        <v>Moderate</v>
      </c>
      <c r="P650" s="5" t="str">
        <f t="shared" si="4"/>
        <v>Kolkata -&gt; Mumbai</v>
      </c>
    </row>
    <row r="651" ht="15.75" customHeight="1">
      <c r="A651" s="5" t="s">
        <v>2123</v>
      </c>
      <c r="B651" s="5" t="s">
        <v>1160</v>
      </c>
      <c r="C651" s="5" t="s">
        <v>504</v>
      </c>
      <c r="D651" s="5" t="s">
        <v>43</v>
      </c>
      <c r="E651" s="6" t="str">
        <f t="array" ref="E651">IFERROR(INDEX(Airlines!$B:$B,MATCH(D651,Airlines!$A:$A,0)),"")</f>
        <v>Indigo</v>
      </c>
      <c r="F651" s="6" t="str">
        <f>VLOOKUP(A651,Bookings!$A:$F,6,FALSE())</f>
        <v>Economy</v>
      </c>
      <c r="G651" s="6" t="str">
        <f t="array" ref="G651">IFERROR(INDEX(Flights!$E:$E,MATCH(B651,Flights!$A:$A,0)),"")</f>
        <v>Kolkata</v>
      </c>
      <c r="H651" s="6" t="str">
        <f>VLOOKUP(B651,Flights!A:H,6,FALSE())</f>
        <v>Mumbai</v>
      </c>
      <c r="I651" s="6" t="str">
        <f t="array" ref="I651">IFERROR(INDEX(Bookings!$G:$G,MATCH(B651,Bookings!$B:$B,0)),"")</f>
        <v>1</v>
      </c>
      <c r="J651" s="5">
        <f>VLOOKUP(B651,Bookings!B:H,7,FALSE())</f>
        <v>6.58</v>
      </c>
      <c r="K651" s="5" t="str">
        <f t="shared" si="1"/>
        <v>Medium</v>
      </c>
      <c r="L651" s="11">
        <f t="array" ref="L651">IFERROR(INDEX(Bookings!$K:$K,MATCH(A651,Bookings!$A:$A,0)),"")</f>
        <v>6676</v>
      </c>
      <c r="M651" s="5" t="str">
        <f t="shared" si="2"/>
        <v>Medium</v>
      </c>
      <c r="N651" s="5">
        <f t="array" ref="N651">IFERROR(INDEX(Bookings!$I:$I,MATCH(A651,Bookings!$A:$A,0)),"")</f>
        <v>27</v>
      </c>
      <c r="O651" s="5" t="str">
        <f t="shared" si="3"/>
        <v>Moderate</v>
      </c>
      <c r="P651" s="5" t="str">
        <f t="shared" si="4"/>
        <v>Kolkata -&gt; Mumbai</v>
      </c>
    </row>
    <row r="652" ht="15.75" customHeight="1">
      <c r="A652" s="5" t="s">
        <v>2126</v>
      </c>
      <c r="B652" s="5" t="s">
        <v>1232</v>
      </c>
      <c r="C652" s="5" t="s">
        <v>504</v>
      </c>
      <c r="D652" s="5" t="s">
        <v>45</v>
      </c>
      <c r="E652" s="6" t="str">
        <f t="array" ref="E652">IFERROR(INDEX(Airlines!$B:$B,MATCH(D652,Airlines!$A:$A,0)),"")</f>
        <v>Air_India</v>
      </c>
      <c r="F652" s="6" t="str">
        <f>VLOOKUP(A652,Bookings!$A:$F,6,FALSE())</f>
        <v>Economy</v>
      </c>
      <c r="G652" s="6" t="str">
        <f t="array" ref="G652">IFERROR(INDEX(Flights!$E:$E,MATCH(B652,Flights!$A:$A,0)),"")</f>
        <v>Kolkata</v>
      </c>
      <c r="H652" s="6" t="str">
        <f>VLOOKUP(B652,Flights!A:H,6,FALSE())</f>
        <v>Mumbai</v>
      </c>
      <c r="I652" s="6" t="str">
        <f t="array" ref="I652">IFERROR(INDEX(Bookings!$G:$G,MATCH(B652,Bookings!$B:$B,0)),"")</f>
        <v>1</v>
      </c>
      <c r="J652" s="5">
        <f>VLOOKUP(B652,Bookings!B:H,7,FALSE())</f>
        <v>24.33</v>
      </c>
      <c r="K652" s="5" t="str">
        <f t="shared" si="1"/>
        <v>Long</v>
      </c>
      <c r="L652" s="11">
        <f t="array" ref="L652">IFERROR(INDEX(Bookings!$K:$K,MATCH(A652,Bookings!$A:$A,0)),"")</f>
        <v>6179</v>
      </c>
      <c r="M652" s="5" t="str">
        <f t="shared" si="2"/>
        <v>Medium</v>
      </c>
      <c r="N652" s="5">
        <f t="array" ref="N652">IFERROR(INDEX(Bookings!$I:$I,MATCH(A652,Bookings!$A:$A,0)),"")</f>
        <v>47</v>
      </c>
      <c r="O652" s="5" t="str">
        <f t="shared" si="3"/>
        <v>Advance</v>
      </c>
      <c r="P652" s="5" t="str">
        <f t="shared" si="4"/>
        <v>Kolkata -&gt; Mumbai</v>
      </c>
    </row>
    <row r="653" ht="15.75" customHeight="1">
      <c r="A653" s="5" t="s">
        <v>2129</v>
      </c>
      <c r="B653" s="5" t="s">
        <v>1165</v>
      </c>
      <c r="C653" s="5" t="s">
        <v>504</v>
      </c>
      <c r="D653" s="5" t="s">
        <v>45</v>
      </c>
      <c r="E653" s="6" t="str">
        <f t="array" ref="E653">IFERROR(INDEX(Airlines!$B:$B,MATCH(D653,Airlines!$A:$A,0)),"")</f>
        <v>Air_India</v>
      </c>
      <c r="F653" s="6" t="str">
        <f>VLOOKUP(A653,Bookings!$A:$F,6,FALSE())</f>
        <v>Economy</v>
      </c>
      <c r="G653" s="6" t="str">
        <f t="array" ref="G653">IFERROR(INDEX(Flights!$E:$E,MATCH(B653,Flights!$A:$A,0)),"")</f>
        <v>Kolkata</v>
      </c>
      <c r="H653" s="6" t="str">
        <f>VLOOKUP(B653,Flights!A:H,6,FALSE())</f>
        <v>Mumbai</v>
      </c>
      <c r="I653" s="6" t="str">
        <f t="array" ref="I653">IFERROR(INDEX(Bookings!$G:$G,MATCH(B653,Bookings!$B:$B,0)),"")</f>
        <v>1</v>
      </c>
      <c r="J653" s="5">
        <f>VLOOKUP(B653,Bookings!B:H,7,FALSE())</f>
        <v>19.75</v>
      </c>
      <c r="K653" s="5" t="str">
        <f t="shared" si="1"/>
        <v>Long</v>
      </c>
      <c r="L653" s="11">
        <f t="array" ref="L653">IFERROR(INDEX(Bookings!$K:$K,MATCH(A653,Bookings!$A:$A,0)),"")</f>
        <v>5102</v>
      </c>
      <c r="M653" s="5" t="str">
        <f t="shared" si="2"/>
        <v>Medium</v>
      </c>
      <c r="N653" s="5">
        <f t="array" ref="N653">IFERROR(INDEX(Bookings!$I:$I,MATCH(A653,Bookings!$A:$A,0)),"")</f>
        <v>36</v>
      </c>
      <c r="O653" s="5" t="str">
        <f t="shared" si="3"/>
        <v>Advance</v>
      </c>
      <c r="P653" s="5" t="str">
        <f t="shared" si="4"/>
        <v>Kolkata -&gt; Mumbai</v>
      </c>
    </row>
    <row r="654" ht="15.75" customHeight="1">
      <c r="A654" s="5" t="s">
        <v>2132</v>
      </c>
      <c r="B654" s="5" t="s">
        <v>1243</v>
      </c>
      <c r="C654" s="5" t="s">
        <v>504</v>
      </c>
      <c r="D654" s="5" t="s">
        <v>72</v>
      </c>
      <c r="E654" s="6" t="str">
        <f t="array" ref="E654">IFERROR(INDEX(Airlines!$B:$B,MATCH(D654,Airlines!$A:$A,0)),"")</f>
        <v>Spicejet</v>
      </c>
      <c r="F654" s="6" t="str">
        <f>VLOOKUP(A654,Bookings!$A:$F,6,FALSE())</f>
        <v>Economy</v>
      </c>
      <c r="G654" s="6" t="str">
        <f t="array" ref="G654">IFERROR(INDEX(Flights!$E:$E,MATCH(B654,Flights!$A:$A,0)),"")</f>
        <v>Kolkata</v>
      </c>
      <c r="H654" s="6" t="str">
        <f>VLOOKUP(B654,Flights!A:H,6,FALSE())</f>
        <v>Mumbai</v>
      </c>
      <c r="I654" s="6" t="str">
        <f t="array" ref="I654">IFERROR(INDEX(Bookings!$G:$G,MATCH(B654,Bookings!$B:$B,0)),"")</f>
        <v>1</v>
      </c>
      <c r="J654" s="5">
        <f>VLOOKUP(B654,Bookings!B:H,7,FALSE())</f>
        <v>24.42</v>
      </c>
      <c r="K654" s="5" t="str">
        <f t="shared" si="1"/>
        <v>Long</v>
      </c>
      <c r="L654" s="11">
        <f t="array" ref="L654">IFERROR(INDEX(Bookings!$K:$K,MATCH(A654,Bookings!$A:$A,0)),"")</f>
        <v>5509</v>
      </c>
      <c r="M654" s="5" t="str">
        <f t="shared" si="2"/>
        <v>Medium</v>
      </c>
      <c r="N654" s="5">
        <f t="array" ref="N654">IFERROR(INDEX(Bookings!$I:$I,MATCH(A654,Bookings!$A:$A,0)),"")</f>
        <v>44</v>
      </c>
      <c r="O654" s="5" t="str">
        <f t="shared" si="3"/>
        <v>Advance</v>
      </c>
      <c r="P654" s="5" t="str">
        <f t="shared" si="4"/>
        <v>Kolkata -&gt; Mumbai</v>
      </c>
    </row>
    <row r="655" ht="15.75" customHeight="1">
      <c r="A655" s="5" t="s">
        <v>2134</v>
      </c>
      <c r="B655" s="5" t="s">
        <v>1247</v>
      </c>
      <c r="C655" s="5" t="s">
        <v>504</v>
      </c>
      <c r="D655" s="5" t="s">
        <v>58</v>
      </c>
      <c r="E655" s="6" t="str">
        <f t="array" ref="E655">IFERROR(INDEX(Airlines!$B:$B,MATCH(D655,Airlines!$A:$A,0)),"")</f>
        <v>Go_First</v>
      </c>
      <c r="F655" s="6" t="str">
        <f>VLOOKUP(A655,Bookings!$A:$F,6,FALSE())</f>
        <v>Economy</v>
      </c>
      <c r="G655" s="6" t="str">
        <f t="array" ref="G655">IFERROR(INDEX(Flights!$E:$E,MATCH(B655,Flights!$A:$A,0)),"")</f>
        <v>Kolkata</v>
      </c>
      <c r="H655" s="6" t="str">
        <f>VLOOKUP(B655,Flights!A:H,6,FALSE())</f>
        <v>Mumbai</v>
      </c>
      <c r="I655" s="6" t="str">
        <f t="array" ref="I655">IFERROR(INDEX(Bookings!$G:$G,MATCH(B655,Bookings!$B:$B,0)),"")</f>
        <v>1</v>
      </c>
      <c r="J655" s="5">
        <f>VLOOKUP(B655,Bookings!B:H,7,FALSE())</f>
        <v>14.58</v>
      </c>
      <c r="K655" s="5" t="str">
        <f t="shared" si="1"/>
        <v>Long</v>
      </c>
      <c r="L655" s="11">
        <f t="array" ref="L655">IFERROR(INDEX(Bookings!$K:$K,MATCH(A655,Bookings!$A:$A,0)),"")</f>
        <v>5888</v>
      </c>
      <c r="M655" s="5" t="str">
        <f t="shared" si="2"/>
        <v>Medium</v>
      </c>
      <c r="N655" s="5">
        <f t="array" ref="N655">IFERROR(INDEX(Bookings!$I:$I,MATCH(A655,Bookings!$A:$A,0)),"")</f>
        <v>44</v>
      </c>
      <c r="O655" s="5" t="str">
        <f t="shared" si="3"/>
        <v>Advance</v>
      </c>
      <c r="P655" s="5" t="str">
        <f t="shared" si="4"/>
        <v>Kolkata -&gt; Mumbai</v>
      </c>
    </row>
    <row r="656" ht="15.75" customHeight="1">
      <c r="A656" s="5" t="s">
        <v>2135</v>
      </c>
      <c r="B656" s="5" t="s">
        <v>1203</v>
      </c>
      <c r="C656" s="5" t="s">
        <v>504</v>
      </c>
      <c r="D656" s="5" t="s">
        <v>72</v>
      </c>
      <c r="E656" s="6" t="str">
        <f t="array" ref="E656">IFERROR(INDEX(Airlines!$B:$B,MATCH(D656,Airlines!$A:$A,0)),"")</f>
        <v>Spicejet</v>
      </c>
      <c r="F656" s="6" t="str">
        <f>VLOOKUP(A656,Bookings!$A:$F,6,FALSE())</f>
        <v>Economy</v>
      </c>
      <c r="G656" s="6" t="str">
        <f t="array" ref="G656">IFERROR(INDEX(Flights!$E:$E,MATCH(B656,Flights!$A:$A,0)),"")</f>
        <v>Kolkata</v>
      </c>
      <c r="H656" s="6" t="str">
        <f>VLOOKUP(B656,Flights!A:H,6,FALSE())</f>
        <v>Mumbai</v>
      </c>
      <c r="I656" s="6" t="str">
        <f t="array" ref="I656">IFERROR(INDEX(Bookings!$G:$G,MATCH(B656,Bookings!$B:$B,0)),"")</f>
        <v>1</v>
      </c>
      <c r="J656" s="5">
        <f>VLOOKUP(B656,Bookings!B:H,7,FALSE())</f>
        <v>21.92</v>
      </c>
      <c r="K656" s="5" t="str">
        <f t="shared" si="1"/>
        <v>Long</v>
      </c>
      <c r="L656" s="11">
        <f t="array" ref="L656">IFERROR(INDEX(Bookings!$K:$K,MATCH(A656,Bookings!$A:$A,0)),"")</f>
        <v>6625</v>
      </c>
      <c r="M656" s="5" t="str">
        <f t="shared" si="2"/>
        <v>Medium</v>
      </c>
      <c r="N656" s="5">
        <f t="array" ref="N656">IFERROR(INDEX(Bookings!$I:$I,MATCH(A656,Bookings!$A:$A,0)),"")</f>
        <v>44</v>
      </c>
      <c r="O656" s="5" t="str">
        <f t="shared" si="3"/>
        <v>Advance</v>
      </c>
      <c r="P656" s="5" t="str">
        <f t="shared" si="4"/>
        <v>Kolkata -&gt; Mumbai</v>
      </c>
    </row>
    <row r="657" ht="15.75" customHeight="1">
      <c r="A657" s="5" t="s">
        <v>2136</v>
      </c>
      <c r="B657" s="5" t="s">
        <v>1255</v>
      </c>
      <c r="C657" s="5" t="s">
        <v>504</v>
      </c>
      <c r="D657" s="5" t="s">
        <v>45</v>
      </c>
      <c r="E657" s="6" t="str">
        <f t="array" ref="E657">IFERROR(INDEX(Airlines!$B:$B,MATCH(D657,Airlines!$A:$A,0)),"")</f>
        <v>Air_India</v>
      </c>
      <c r="F657" s="6" t="str">
        <f>VLOOKUP(A657,Bookings!$A:$F,6,FALSE())</f>
        <v>Economy</v>
      </c>
      <c r="G657" s="6" t="str">
        <f t="array" ref="G657">IFERROR(INDEX(Flights!$E:$E,MATCH(B657,Flights!$A:$A,0)),"")</f>
        <v>Kolkata</v>
      </c>
      <c r="H657" s="6" t="str">
        <f>VLOOKUP(B657,Flights!A:H,6,FALSE())</f>
        <v>Mumbai</v>
      </c>
      <c r="I657" s="6" t="str">
        <f t="array" ref="I657">IFERROR(INDEX(Bookings!$G:$G,MATCH(B657,Bookings!$B:$B,0)),"")</f>
        <v>0</v>
      </c>
      <c r="J657" s="5">
        <f>VLOOKUP(B657,Bookings!B:H,7,FALSE())</f>
        <v>3</v>
      </c>
      <c r="K657" s="5" t="str">
        <f t="shared" si="1"/>
        <v>Short</v>
      </c>
      <c r="L657" s="11">
        <f t="array" ref="L657">IFERROR(INDEX(Bookings!$K:$K,MATCH(A657,Bookings!$A:$A,0)),"")</f>
        <v>3381</v>
      </c>
      <c r="M657" s="5" t="str">
        <f t="shared" si="2"/>
        <v>Low</v>
      </c>
      <c r="N657" s="5">
        <f t="array" ref="N657">IFERROR(INDEX(Bookings!$I:$I,MATCH(A657,Bookings!$A:$A,0)),"")</f>
        <v>46</v>
      </c>
      <c r="O657" s="5" t="str">
        <f t="shared" si="3"/>
        <v>Advance</v>
      </c>
      <c r="P657" s="5" t="str">
        <f t="shared" si="4"/>
        <v>Kolkata -&gt; Mumbai</v>
      </c>
    </row>
    <row r="658" ht="15.75" customHeight="1">
      <c r="A658" s="5" t="s">
        <v>2137</v>
      </c>
      <c r="B658" s="5" t="s">
        <v>1189</v>
      </c>
      <c r="C658" s="5" t="s">
        <v>504</v>
      </c>
      <c r="D658" s="5" t="s">
        <v>43</v>
      </c>
      <c r="E658" s="6" t="str">
        <f t="array" ref="E658">IFERROR(INDEX(Airlines!$B:$B,MATCH(D658,Airlines!$A:$A,0)),"")</f>
        <v>Indigo</v>
      </c>
      <c r="F658" s="6" t="str">
        <f>VLOOKUP(A658,Bookings!$A:$F,6,FALSE())</f>
        <v>Economy</v>
      </c>
      <c r="G658" s="6" t="str">
        <f t="array" ref="G658">IFERROR(INDEX(Flights!$E:$E,MATCH(B658,Flights!$A:$A,0)),"")</f>
        <v>Kolkata</v>
      </c>
      <c r="H658" s="6" t="str">
        <f>VLOOKUP(B658,Flights!A:H,6,FALSE())</f>
        <v>Mumbai</v>
      </c>
      <c r="I658" s="6" t="str">
        <f t="array" ref="I658">IFERROR(INDEX(Bookings!$G:$G,MATCH(B658,Bookings!$B:$B,0)),"")</f>
        <v>0</v>
      </c>
      <c r="J658" s="5">
        <f>VLOOKUP(B658,Bookings!B:H,7,FALSE())</f>
        <v>2.75</v>
      </c>
      <c r="K658" s="5" t="str">
        <f t="shared" si="1"/>
        <v>Short</v>
      </c>
      <c r="L658" s="11">
        <f t="array" ref="L658">IFERROR(INDEX(Bookings!$K:$K,MATCH(A658,Bookings!$A:$A,0)),"")</f>
        <v>4499</v>
      </c>
      <c r="M658" s="5" t="str">
        <f t="shared" si="2"/>
        <v>Low</v>
      </c>
      <c r="N658" s="5">
        <f t="array" ref="N658">IFERROR(INDEX(Bookings!$I:$I,MATCH(A658,Bookings!$A:$A,0)),"")</f>
        <v>46</v>
      </c>
      <c r="O658" s="5" t="str">
        <f t="shared" si="3"/>
        <v>Advance</v>
      </c>
      <c r="P658" s="5" t="str">
        <f t="shared" si="4"/>
        <v>Kolkata -&gt; Mumbai</v>
      </c>
    </row>
    <row r="659" ht="15.75" customHeight="1">
      <c r="A659" s="5" t="s">
        <v>2138</v>
      </c>
      <c r="B659" s="5" t="s">
        <v>1164</v>
      </c>
      <c r="C659" s="5" t="s">
        <v>504</v>
      </c>
      <c r="D659" s="5" t="s">
        <v>45</v>
      </c>
      <c r="E659" s="6" t="str">
        <f t="array" ref="E659">IFERROR(INDEX(Airlines!$B:$B,MATCH(D659,Airlines!$A:$A,0)),"")</f>
        <v>Air_India</v>
      </c>
      <c r="F659" s="6" t="str">
        <f>VLOOKUP(A659,Bookings!$A:$F,6,FALSE())</f>
        <v>Economy</v>
      </c>
      <c r="G659" s="6" t="str">
        <f t="array" ref="G659">IFERROR(INDEX(Flights!$E:$E,MATCH(B659,Flights!$A:$A,0)),"")</f>
        <v>Kolkata</v>
      </c>
      <c r="H659" s="6" t="str">
        <f>VLOOKUP(B659,Flights!A:H,6,FALSE())</f>
        <v>Mumbai</v>
      </c>
      <c r="I659" s="6" t="str">
        <f t="array" ref="I659">IFERROR(INDEX(Bookings!$G:$G,MATCH(B659,Bookings!$B:$B,0)),"")</f>
        <v>1</v>
      </c>
      <c r="J659" s="5">
        <f>VLOOKUP(B659,Bookings!B:H,7,FALSE())</f>
        <v>14.33</v>
      </c>
      <c r="K659" s="5" t="str">
        <f t="shared" si="1"/>
        <v>Long</v>
      </c>
      <c r="L659" s="11">
        <f t="array" ref="L659">IFERROR(INDEX(Bookings!$K:$K,MATCH(A659,Bookings!$A:$A,0)),"")</f>
        <v>5102</v>
      </c>
      <c r="M659" s="5" t="str">
        <f t="shared" si="2"/>
        <v>Medium</v>
      </c>
      <c r="N659" s="5">
        <f t="array" ref="N659">IFERROR(INDEX(Bookings!$I:$I,MATCH(A659,Bookings!$A:$A,0)),"")</f>
        <v>45</v>
      </c>
      <c r="O659" s="5" t="str">
        <f t="shared" si="3"/>
        <v>Advance</v>
      </c>
      <c r="P659" s="5" t="str">
        <f t="shared" si="4"/>
        <v>Kolkata -&gt; Mumbai</v>
      </c>
    </row>
    <row r="660" ht="15.75" customHeight="1">
      <c r="A660" s="5" t="s">
        <v>2139</v>
      </c>
      <c r="B660" s="5" t="s">
        <v>1205</v>
      </c>
      <c r="C660" s="5" t="s">
        <v>504</v>
      </c>
      <c r="D660" s="5" t="s">
        <v>58</v>
      </c>
      <c r="E660" s="6" t="str">
        <f t="array" ref="E660">IFERROR(INDEX(Airlines!$B:$B,MATCH(D660,Airlines!$A:$A,0)),"")</f>
        <v>Go_First</v>
      </c>
      <c r="F660" s="6" t="str">
        <f>VLOOKUP(A660,Bookings!$A:$F,6,FALSE())</f>
        <v>Economy</v>
      </c>
      <c r="G660" s="6" t="str">
        <f t="array" ref="G660">IFERROR(INDEX(Flights!$E:$E,MATCH(B660,Flights!$A:$A,0)),"")</f>
        <v>Kolkata</v>
      </c>
      <c r="H660" s="6" t="str">
        <f>VLOOKUP(B660,Flights!A:H,6,FALSE())</f>
        <v>Mumbai</v>
      </c>
      <c r="I660" s="6" t="str">
        <f t="array" ref="I660">IFERROR(INDEX(Bookings!$G:$G,MATCH(B660,Bookings!$B:$B,0)),"")</f>
        <v>1</v>
      </c>
      <c r="J660" s="5">
        <f>VLOOKUP(B660,Bookings!B:H,7,FALSE())</f>
        <v>7.42</v>
      </c>
      <c r="K660" s="5" t="str">
        <f t="shared" si="1"/>
        <v>Medium</v>
      </c>
      <c r="L660" s="11">
        <f t="array" ref="L660">IFERROR(INDEX(Bookings!$K:$K,MATCH(A660,Bookings!$A:$A,0)),"")</f>
        <v>5888</v>
      </c>
      <c r="M660" s="5" t="str">
        <f t="shared" si="2"/>
        <v>Medium</v>
      </c>
      <c r="N660" s="5">
        <f t="array" ref="N660">IFERROR(INDEX(Bookings!$I:$I,MATCH(A660,Bookings!$A:$A,0)),"")</f>
        <v>46</v>
      </c>
      <c r="O660" s="5" t="str">
        <f t="shared" si="3"/>
        <v>Advance</v>
      </c>
      <c r="P660" s="5" t="str">
        <f t="shared" si="4"/>
        <v>Kolkata -&gt; Mumbai</v>
      </c>
    </row>
    <row r="661" ht="15.75" customHeight="1">
      <c r="A661" s="5" t="s">
        <v>2140</v>
      </c>
      <c r="B661" s="5" t="s">
        <v>1327</v>
      </c>
      <c r="C661" s="5" t="s">
        <v>516</v>
      </c>
      <c r="D661" s="5" t="s">
        <v>29</v>
      </c>
      <c r="E661" s="6" t="str">
        <f t="array" ref="E661">IFERROR(INDEX(Airlines!$B:$B,MATCH(D661,Airlines!$A:$A,0)),"")</f>
        <v>AirAsia</v>
      </c>
      <c r="F661" s="6" t="str">
        <f>VLOOKUP(A661,Bookings!$A:$F,6,FALSE())</f>
        <v>Economy</v>
      </c>
      <c r="G661" s="6" t="str">
        <f t="array" ref="G661">IFERROR(INDEX(Flights!$E:$E,MATCH(B661,Flights!$A:$A,0)),"")</f>
        <v>Kolkata</v>
      </c>
      <c r="H661" s="6" t="str">
        <f>VLOOKUP(B661,Flights!A:H,6,FALSE())</f>
        <v>Bengaluru</v>
      </c>
      <c r="I661" s="6" t="str">
        <f t="array" ref="I661">IFERROR(INDEX(Bookings!$G:$G,MATCH(B661,Bookings!$B:$B,0)),"")</f>
        <v>1</v>
      </c>
      <c r="J661" s="5">
        <f>VLOOKUP(B661,Bookings!B:H,7,FALSE())</f>
        <v>4.17</v>
      </c>
      <c r="K661" s="5" t="str">
        <f t="shared" si="1"/>
        <v>Medium</v>
      </c>
      <c r="L661" s="11">
        <f t="array" ref="L661">IFERROR(INDEX(Bookings!$K:$K,MATCH(A661,Bookings!$A:$A,0)),"")</f>
        <v>4648</v>
      </c>
      <c r="M661" s="5" t="str">
        <f t="shared" si="2"/>
        <v>Medium</v>
      </c>
      <c r="N661" s="5">
        <f t="array" ref="N661">IFERROR(INDEX(Bookings!$I:$I,MATCH(A661,Bookings!$A:$A,0)),"")</f>
        <v>24</v>
      </c>
      <c r="O661" s="5" t="str">
        <f t="shared" si="3"/>
        <v>Moderate</v>
      </c>
      <c r="P661" s="5" t="str">
        <f t="shared" si="4"/>
        <v>Kolkata -&gt; Bengaluru</v>
      </c>
    </row>
    <row r="662" ht="15.75" customHeight="1">
      <c r="A662" s="5" t="s">
        <v>2141</v>
      </c>
      <c r="B662" s="5" t="s">
        <v>1282</v>
      </c>
      <c r="C662" s="5" t="s">
        <v>516</v>
      </c>
      <c r="D662" s="5" t="s">
        <v>20</v>
      </c>
      <c r="E662" s="6" t="str">
        <f t="array" ref="E662">IFERROR(INDEX(Airlines!$B:$B,MATCH(D662,Airlines!$A:$A,0)),"")</f>
        <v>Vistara</v>
      </c>
      <c r="F662" s="6" t="str">
        <f>VLOOKUP(A662,Bookings!$A:$F,6,FALSE())</f>
        <v>Economy</v>
      </c>
      <c r="G662" s="6" t="str">
        <f t="array" ref="G662">IFERROR(INDEX(Flights!$E:$E,MATCH(B662,Flights!$A:$A,0)),"")</f>
        <v>Kolkata</v>
      </c>
      <c r="H662" s="6" t="str">
        <f>VLOOKUP(B662,Flights!A:H,6,FALSE())</f>
        <v>Bengaluru</v>
      </c>
      <c r="I662" s="6" t="str">
        <f t="array" ref="I662">IFERROR(INDEX(Bookings!$G:$G,MATCH(B662,Bookings!$B:$B,0)),"")</f>
        <v>1</v>
      </c>
      <c r="J662" s="5">
        <f>VLOOKUP(B662,Bookings!B:H,7,FALSE())</f>
        <v>29.08</v>
      </c>
      <c r="K662" s="5" t="str">
        <f t="shared" si="1"/>
        <v>Long</v>
      </c>
      <c r="L662" s="11">
        <f t="array" ref="L662">IFERROR(INDEX(Bookings!$K:$K,MATCH(A662,Bookings!$A:$A,0)),"")</f>
        <v>17094</v>
      </c>
      <c r="M662" s="5" t="str">
        <f t="shared" si="2"/>
        <v>High</v>
      </c>
      <c r="N662" s="5">
        <f t="array" ref="N662">IFERROR(INDEX(Bookings!$I:$I,MATCH(A662,Bookings!$A:$A,0)),"")</f>
        <v>1</v>
      </c>
      <c r="O662" s="5" t="str">
        <f t="shared" si="3"/>
        <v>Last Minute</v>
      </c>
      <c r="P662" s="5" t="str">
        <f t="shared" si="4"/>
        <v>Kolkata -&gt; Bengaluru</v>
      </c>
    </row>
    <row r="663" ht="15.75" customHeight="1">
      <c r="A663" s="5" t="s">
        <v>2144</v>
      </c>
      <c r="B663" s="5" t="s">
        <v>1353</v>
      </c>
      <c r="C663" s="5" t="s">
        <v>516</v>
      </c>
      <c r="D663" s="5" t="s">
        <v>45</v>
      </c>
      <c r="E663" s="6" t="str">
        <f t="array" ref="E663">IFERROR(INDEX(Airlines!$B:$B,MATCH(D663,Airlines!$A:$A,0)),"")</f>
        <v>Air_India</v>
      </c>
      <c r="F663" s="6" t="str">
        <f>VLOOKUP(A663,Bookings!$A:$F,6,FALSE())</f>
        <v>Economy</v>
      </c>
      <c r="G663" s="6" t="str">
        <f t="array" ref="G663">IFERROR(INDEX(Flights!$E:$E,MATCH(B663,Flights!$A:$A,0)),"")</f>
        <v>Kolkata</v>
      </c>
      <c r="H663" s="6" t="str">
        <f>VLOOKUP(B663,Flights!A:H,6,FALSE())</f>
        <v>Bengaluru</v>
      </c>
      <c r="I663" s="6" t="str">
        <f t="array" ref="I663">IFERROR(INDEX(Bookings!$G:$G,MATCH(B663,Bookings!$B:$B,0)),"")</f>
        <v>1</v>
      </c>
      <c r="J663" s="5">
        <f>VLOOKUP(B663,Bookings!B:H,7,FALSE())</f>
        <v>28</v>
      </c>
      <c r="K663" s="5" t="str">
        <f t="shared" si="1"/>
        <v>Long</v>
      </c>
      <c r="L663" s="11">
        <f t="array" ref="L663">IFERROR(INDEX(Bookings!$K:$K,MATCH(A663,Bookings!$A:$A,0)),"")</f>
        <v>17829</v>
      </c>
      <c r="M663" s="5" t="str">
        <f t="shared" si="2"/>
        <v>High</v>
      </c>
      <c r="N663" s="5">
        <f t="array" ref="N663">IFERROR(INDEX(Bookings!$I:$I,MATCH(A663,Bookings!$A:$A,0)),"")</f>
        <v>1</v>
      </c>
      <c r="O663" s="5" t="str">
        <f t="shared" si="3"/>
        <v>Last Minute</v>
      </c>
      <c r="P663" s="5" t="str">
        <f t="shared" si="4"/>
        <v>Kolkata -&gt; Bengaluru</v>
      </c>
    </row>
    <row r="664" ht="15.75" customHeight="1">
      <c r="A664" s="5" t="s">
        <v>2147</v>
      </c>
      <c r="B664" s="5" t="s">
        <v>1295</v>
      </c>
      <c r="C664" s="5" t="s">
        <v>516</v>
      </c>
      <c r="D664" s="5" t="s">
        <v>29</v>
      </c>
      <c r="E664" s="6" t="str">
        <f t="array" ref="E664">IFERROR(INDEX(Airlines!$B:$B,MATCH(D664,Airlines!$A:$A,0)),"")</f>
        <v>AirAsia</v>
      </c>
      <c r="F664" s="6" t="str">
        <f>VLOOKUP(A664,Bookings!$A:$F,6,FALSE())</f>
        <v>Economy</v>
      </c>
      <c r="G664" s="6" t="str">
        <f t="array" ref="G664">IFERROR(INDEX(Flights!$E:$E,MATCH(B664,Flights!$A:$A,0)),"")</f>
        <v>Kolkata</v>
      </c>
      <c r="H664" s="6" t="str">
        <f>VLOOKUP(B664,Flights!A:H,6,FALSE())</f>
        <v>Bengaluru</v>
      </c>
      <c r="I664" s="6" t="str">
        <f t="array" ref="I664">IFERROR(INDEX(Bookings!$G:$G,MATCH(B664,Bookings!$B:$B,0)),"")</f>
        <v>2+</v>
      </c>
      <c r="J664" s="5">
        <f>VLOOKUP(B664,Bookings!B:H,7,FALSE())</f>
        <v>10.83</v>
      </c>
      <c r="K664" s="5" t="str">
        <f t="shared" si="1"/>
        <v>Long</v>
      </c>
      <c r="L664" s="11">
        <f t="array" ref="L664">IFERROR(INDEX(Bookings!$K:$K,MATCH(A664,Bookings!$A:$A,0)),"")</f>
        <v>4555</v>
      </c>
      <c r="M664" s="5" t="str">
        <f t="shared" si="2"/>
        <v>Low</v>
      </c>
      <c r="N664" s="5">
        <f t="array" ref="N664">IFERROR(INDEX(Bookings!$I:$I,MATCH(A664,Bookings!$A:$A,0)),"")</f>
        <v>13</v>
      </c>
      <c r="O664" s="5" t="str">
        <f t="shared" si="3"/>
        <v>Short Notice</v>
      </c>
      <c r="P664" s="5" t="str">
        <f t="shared" si="4"/>
        <v>Kolkata -&gt; Bengaluru</v>
      </c>
    </row>
    <row r="665" ht="15.75" customHeight="1">
      <c r="A665" s="5" t="s">
        <v>2149</v>
      </c>
      <c r="B665" s="5" t="s">
        <v>1278</v>
      </c>
      <c r="C665" s="5" t="s">
        <v>516</v>
      </c>
      <c r="D665" s="5" t="s">
        <v>43</v>
      </c>
      <c r="E665" s="6" t="str">
        <f t="array" ref="E665">IFERROR(INDEX(Airlines!$B:$B,MATCH(D665,Airlines!$A:$A,0)),"")</f>
        <v>Indigo</v>
      </c>
      <c r="F665" s="6" t="str">
        <f>VLOOKUP(A665,Bookings!$A:$F,6,FALSE())</f>
        <v>Economy</v>
      </c>
      <c r="G665" s="6" t="str">
        <f t="array" ref="G665">IFERROR(INDEX(Flights!$E:$E,MATCH(B665,Flights!$A:$A,0)),"")</f>
        <v>Kolkata</v>
      </c>
      <c r="H665" s="6" t="str">
        <f>VLOOKUP(B665,Flights!A:H,6,FALSE())</f>
        <v>Bengaluru</v>
      </c>
      <c r="I665" s="6" t="str">
        <f t="array" ref="I665">IFERROR(INDEX(Bookings!$G:$G,MATCH(B665,Bookings!$B:$B,0)),"")</f>
        <v>1</v>
      </c>
      <c r="J665" s="5">
        <f>VLOOKUP(B665,Bookings!B:H,7,FALSE())</f>
        <v>8.42</v>
      </c>
      <c r="K665" s="5" t="str">
        <f t="shared" si="1"/>
        <v>Medium</v>
      </c>
      <c r="L665" s="11">
        <f t="array" ref="L665">IFERROR(INDEX(Bookings!$K:$K,MATCH(A665,Bookings!$A:$A,0)),"")</f>
        <v>6489</v>
      </c>
      <c r="M665" s="5" t="str">
        <f t="shared" si="2"/>
        <v>Medium</v>
      </c>
      <c r="N665" s="5">
        <f t="array" ref="N665">IFERROR(INDEX(Bookings!$I:$I,MATCH(A665,Bookings!$A:$A,0)),"")</f>
        <v>28</v>
      </c>
      <c r="O665" s="5" t="str">
        <f t="shared" si="3"/>
        <v>Moderate</v>
      </c>
      <c r="P665" s="5" t="str">
        <f t="shared" si="4"/>
        <v>Kolkata -&gt; Bengaluru</v>
      </c>
    </row>
    <row r="666" ht="15.75" customHeight="1">
      <c r="A666" s="5" t="s">
        <v>2151</v>
      </c>
      <c r="B666" s="5" t="s">
        <v>1346</v>
      </c>
      <c r="C666" s="5" t="s">
        <v>516</v>
      </c>
      <c r="D666" s="5" t="s">
        <v>45</v>
      </c>
      <c r="E666" s="6" t="str">
        <f t="array" ref="E666">IFERROR(INDEX(Airlines!$B:$B,MATCH(D666,Airlines!$A:$A,0)),"")</f>
        <v>Air_India</v>
      </c>
      <c r="F666" s="6" t="str">
        <f>VLOOKUP(A666,Bookings!$A:$F,6,FALSE())</f>
        <v>Business</v>
      </c>
      <c r="G666" s="6" t="str">
        <f t="array" ref="G666">IFERROR(INDEX(Flights!$E:$E,MATCH(B666,Flights!$A:$A,0)),"")</f>
        <v>Kolkata</v>
      </c>
      <c r="H666" s="6" t="str">
        <f>VLOOKUP(B666,Flights!A:H,6,FALSE())</f>
        <v>Bengaluru</v>
      </c>
      <c r="I666" s="6" t="str">
        <f t="array" ref="I666">IFERROR(INDEX(Bookings!$G:$G,MATCH(B666,Bookings!$B:$B,0)),"")</f>
        <v>1</v>
      </c>
      <c r="J666" s="5">
        <f>VLOOKUP(B666,Bookings!B:H,7,FALSE())</f>
        <v>9</v>
      </c>
      <c r="K666" s="5" t="str">
        <f t="shared" si="1"/>
        <v>Medium</v>
      </c>
      <c r="L666" s="11">
        <f t="array" ref="L666">IFERROR(INDEX(Bookings!$K:$K,MATCH(A666,Bookings!$A:$A,0)),"")</f>
        <v>63218</v>
      </c>
      <c r="M666" s="5" t="str">
        <f t="shared" si="2"/>
        <v>High</v>
      </c>
      <c r="N666" s="5">
        <f t="array" ref="N666">IFERROR(INDEX(Bookings!$I:$I,MATCH(A666,Bookings!$A:$A,0)),"")</f>
        <v>2</v>
      </c>
      <c r="O666" s="5" t="str">
        <f t="shared" si="3"/>
        <v>Last Minute</v>
      </c>
      <c r="P666" s="5" t="str">
        <f t="shared" si="4"/>
        <v>Kolkata -&gt; Bengaluru</v>
      </c>
    </row>
    <row r="667" ht="15.75" customHeight="1">
      <c r="A667" s="5" t="s">
        <v>2153</v>
      </c>
      <c r="B667" s="5" t="s">
        <v>1361</v>
      </c>
      <c r="C667" s="5" t="s">
        <v>516</v>
      </c>
      <c r="D667" s="5" t="s">
        <v>45</v>
      </c>
      <c r="E667" s="6" t="str">
        <f t="array" ref="E667">IFERROR(INDEX(Airlines!$B:$B,MATCH(D667,Airlines!$A:$A,0)),"")</f>
        <v>Air_India</v>
      </c>
      <c r="F667" s="6" t="str">
        <f>VLOOKUP(A667,Bookings!$A:$F,6,FALSE())</f>
        <v>Economy</v>
      </c>
      <c r="G667" s="6" t="str">
        <f t="array" ref="G667">IFERROR(INDEX(Flights!$E:$E,MATCH(B667,Flights!$A:$A,0)),"")</f>
        <v>Kolkata</v>
      </c>
      <c r="H667" s="6" t="str">
        <f>VLOOKUP(B667,Flights!A:H,6,FALSE())</f>
        <v>Bengaluru</v>
      </c>
      <c r="I667" s="6" t="str">
        <f t="array" ref="I667">IFERROR(INDEX(Bookings!$G:$G,MATCH(B667,Bookings!$B:$B,0)),"")</f>
        <v>1</v>
      </c>
      <c r="J667" s="5">
        <f>VLOOKUP(B667,Bookings!B:H,7,FALSE())</f>
        <v>17.42</v>
      </c>
      <c r="K667" s="5" t="str">
        <f t="shared" si="1"/>
        <v>Long</v>
      </c>
      <c r="L667" s="11">
        <f t="array" ref="L667">IFERROR(INDEX(Bookings!$K:$K,MATCH(A667,Bookings!$A:$A,0)),"")</f>
        <v>7579</v>
      </c>
      <c r="M667" s="5" t="str">
        <f t="shared" si="2"/>
        <v>Medium</v>
      </c>
      <c r="N667" s="5">
        <f t="array" ref="N667">IFERROR(INDEX(Bookings!$I:$I,MATCH(A667,Bookings!$A:$A,0)),"")</f>
        <v>37</v>
      </c>
      <c r="O667" s="5" t="str">
        <f t="shared" si="3"/>
        <v>Advance</v>
      </c>
      <c r="P667" s="5" t="str">
        <f t="shared" si="4"/>
        <v>Kolkata -&gt; Bengaluru</v>
      </c>
    </row>
    <row r="668" ht="15.75" customHeight="1">
      <c r="A668" s="5" t="s">
        <v>2155</v>
      </c>
      <c r="B668" s="5" t="s">
        <v>1314</v>
      </c>
      <c r="C668" s="5" t="s">
        <v>516</v>
      </c>
      <c r="D668" s="5" t="s">
        <v>20</v>
      </c>
      <c r="E668" s="6" t="str">
        <f t="array" ref="E668">IFERROR(INDEX(Airlines!$B:$B,MATCH(D668,Airlines!$A:$A,0)),"")</f>
        <v>Vistara</v>
      </c>
      <c r="F668" s="6" t="str">
        <f>VLOOKUP(A668,Bookings!$A:$F,6,FALSE())</f>
        <v>Business</v>
      </c>
      <c r="G668" s="6" t="str">
        <f t="array" ref="G668">IFERROR(INDEX(Flights!$E:$E,MATCH(B668,Flights!$A:$A,0)),"")</f>
        <v>Kolkata</v>
      </c>
      <c r="H668" s="6" t="str">
        <f>VLOOKUP(B668,Flights!A:H,6,FALSE())</f>
        <v>Bengaluru</v>
      </c>
      <c r="I668" s="6" t="str">
        <f t="array" ref="I668">IFERROR(INDEX(Bookings!$G:$G,MATCH(B668,Bookings!$B:$B,0)),"")</f>
        <v>1</v>
      </c>
      <c r="J668" s="5">
        <f>VLOOKUP(B668,Bookings!B:H,7,FALSE())</f>
        <v>27.92</v>
      </c>
      <c r="K668" s="5" t="str">
        <f t="shared" si="1"/>
        <v>Long</v>
      </c>
      <c r="L668" s="11">
        <f t="array" ref="L668">IFERROR(INDEX(Bookings!$K:$K,MATCH(A668,Bookings!$A:$A,0)),"")</f>
        <v>87746</v>
      </c>
      <c r="M668" s="5" t="str">
        <f t="shared" si="2"/>
        <v>High</v>
      </c>
      <c r="N668" s="5">
        <f t="array" ref="N668">IFERROR(INDEX(Bookings!$I:$I,MATCH(A668,Bookings!$A:$A,0)),"")</f>
        <v>5</v>
      </c>
      <c r="O668" s="5" t="str">
        <f t="shared" si="3"/>
        <v>Last Minute</v>
      </c>
      <c r="P668" s="5" t="str">
        <f t="shared" si="4"/>
        <v>Kolkata -&gt; Bengaluru</v>
      </c>
    </row>
    <row r="669" ht="15.75" customHeight="1">
      <c r="A669" s="5" t="s">
        <v>2156</v>
      </c>
      <c r="B669" s="5" t="s">
        <v>1379</v>
      </c>
      <c r="C669" s="5" t="s">
        <v>516</v>
      </c>
      <c r="D669" s="5" t="s">
        <v>43</v>
      </c>
      <c r="E669" s="6" t="str">
        <f t="array" ref="E669">IFERROR(INDEX(Airlines!$B:$B,MATCH(D669,Airlines!$A:$A,0)),"")</f>
        <v>Indigo</v>
      </c>
      <c r="F669" s="6" t="str">
        <f>VLOOKUP(A669,Bookings!$A:$F,6,FALSE())</f>
        <v>Economy</v>
      </c>
      <c r="G669" s="6" t="str">
        <f t="array" ref="G669">IFERROR(INDEX(Flights!$E:$E,MATCH(B669,Flights!$A:$A,0)),"")</f>
        <v>Kolkata</v>
      </c>
      <c r="H669" s="6" t="str">
        <f>VLOOKUP(B669,Flights!A:H,6,FALSE())</f>
        <v>Bengaluru</v>
      </c>
      <c r="I669" s="6" t="str">
        <f t="array" ref="I669">IFERROR(INDEX(Bookings!$G:$G,MATCH(B669,Bookings!$B:$B,0)),"")</f>
        <v>2+</v>
      </c>
      <c r="J669" s="5">
        <f>VLOOKUP(B669,Bookings!B:H,7,FALSE())</f>
        <v>9.33</v>
      </c>
      <c r="K669" s="5" t="str">
        <f t="shared" si="1"/>
        <v>Medium</v>
      </c>
      <c r="L669" s="11">
        <f t="array" ref="L669">IFERROR(INDEX(Bookings!$K:$K,MATCH(A669,Bookings!$A:$A,0)),"")</f>
        <v>8495</v>
      </c>
      <c r="M669" s="5" t="str">
        <f t="shared" si="2"/>
        <v>Medium</v>
      </c>
      <c r="N669" s="5">
        <f t="array" ref="N669">IFERROR(INDEX(Bookings!$I:$I,MATCH(A669,Bookings!$A:$A,0)),"")</f>
        <v>9</v>
      </c>
      <c r="O669" s="5" t="str">
        <f t="shared" si="3"/>
        <v>Short Notice</v>
      </c>
      <c r="P669" s="5" t="str">
        <f t="shared" si="4"/>
        <v>Kolkata -&gt; Bengaluru</v>
      </c>
    </row>
    <row r="670" ht="15.75" customHeight="1">
      <c r="A670" s="5" t="s">
        <v>2158</v>
      </c>
      <c r="B670" s="5" t="s">
        <v>1321</v>
      </c>
      <c r="C670" s="5" t="s">
        <v>516</v>
      </c>
      <c r="D670" s="5" t="s">
        <v>29</v>
      </c>
      <c r="E670" s="6" t="str">
        <f t="array" ref="E670">IFERROR(INDEX(Airlines!$B:$B,MATCH(D670,Airlines!$A:$A,0)),"")</f>
        <v>AirAsia</v>
      </c>
      <c r="F670" s="6" t="str">
        <f>VLOOKUP(A670,Bookings!$A:$F,6,FALSE())</f>
        <v>Economy</v>
      </c>
      <c r="G670" s="6" t="str">
        <f t="array" ref="G670">IFERROR(INDEX(Flights!$E:$E,MATCH(B670,Flights!$A:$A,0)),"")</f>
        <v>Kolkata</v>
      </c>
      <c r="H670" s="6" t="str">
        <f>VLOOKUP(B670,Flights!A:H,6,FALSE())</f>
        <v>Bengaluru</v>
      </c>
      <c r="I670" s="6" t="str">
        <f t="array" ref="I670">IFERROR(INDEX(Bookings!$G:$G,MATCH(B670,Bookings!$B:$B,0)),"")</f>
        <v>1</v>
      </c>
      <c r="J670" s="5">
        <f>VLOOKUP(B670,Bookings!B:H,7,FALSE())</f>
        <v>11.08</v>
      </c>
      <c r="K670" s="5" t="str">
        <f t="shared" si="1"/>
        <v>Long</v>
      </c>
      <c r="L670" s="11">
        <f t="array" ref="L670">IFERROR(INDEX(Bookings!$K:$K,MATCH(A670,Bookings!$A:$A,0)),"")</f>
        <v>6372</v>
      </c>
      <c r="M670" s="5" t="str">
        <f t="shared" si="2"/>
        <v>Medium</v>
      </c>
      <c r="N670" s="5">
        <f t="array" ref="N670">IFERROR(INDEX(Bookings!$I:$I,MATCH(A670,Bookings!$A:$A,0)),"")</f>
        <v>24</v>
      </c>
      <c r="O670" s="5" t="str">
        <f t="shared" si="3"/>
        <v>Moderate</v>
      </c>
      <c r="P670" s="5" t="str">
        <f t="shared" si="4"/>
        <v>Kolkata -&gt; Bengaluru</v>
      </c>
    </row>
    <row r="671" ht="15.75" customHeight="1">
      <c r="A671" s="5" t="s">
        <v>2159</v>
      </c>
      <c r="B671" s="5" t="s">
        <v>1287</v>
      </c>
      <c r="C671" s="5" t="s">
        <v>516</v>
      </c>
      <c r="D671" s="5" t="s">
        <v>43</v>
      </c>
      <c r="E671" s="6" t="str">
        <f t="array" ref="E671">IFERROR(INDEX(Airlines!$B:$B,MATCH(D671,Airlines!$A:$A,0)),"")</f>
        <v>Indigo</v>
      </c>
      <c r="F671" s="6" t="str">
        <f>VLOOKUP(A671,Bookings!$A:$F,6,FALSE())</f>
        <v>Economy</v>
      </c>
      <c r="G671" s="6" t="str">
        <f t="array" ref="G671">IFERROR(INDEX(Flights!$E:$E,MATCH(B671,Flights!$A:$A,0)),"")</f>
        <v>Kolkata</v>
      </c>
      <c r="H671" s="6" t="str">
        <f>VLOOKUP(B671,Flights!A:H,6,FALSE())</f>
        <v>Bengaluru</v>
      </c>
      <c r="I671" s="6" t="str">
        <f t="array" ref="I671">IFERROR(INDEX(Bookings!$G:$G,MATCH(B671,Bookings!$B:$B,0)),"")</f>
        <v>2+</v>
      </c>
      <c r="J671" s="5">
        <f>VLOOKUP(B671,Bookings!B:H,7,FALSE())</f>
        <v>7.33</v>
      </c>
      <c r="K671" s="5" t="str">
        <f t="shared" si="1"/>
        <v>Medium</v>
      </c>
      <c r="L671" s="11">
        <f t="array" ref="L671">IFERROR(INDEX(Bookings!$K:$K,MATCH(A671,Bookings!$A:$A,0)),"")</f>
        <v>15818</v>
      </c>
      <c r="M671" s="5" t="str">
        <f t="shared" si="2"/>
        <v>High</v>
      </c>
      <c r="N671" s="5">
        <f t="array" ref="N671">IFERROR(INDEX(Bookings!$I:$I,MATCH(A671,Bookings!$A:$A,0)),"")</f>
        <v>2</v>
      </c>
      <c r="O671" s="5" t="str">
        <f t="shared" si="3"/>
        <v>Last Minute</v>
      </c>
      <c r="P671" s="5" t="str">
        <f t="shared" si="4"/>
        <v>Kolkata -&gt; Bengaluru</v>
      </c>
    </row>
    <row r="672" ht="15.75" customHeight="1">
      <c r="A672" s="5" t="s">
        <v>2160</v>
      </c>
      <c r="B672" s="5" t="s">
        <v>1349</v>
      </c>
      <c r="C672" s="5" t="s">
        <v>516</v>
      </c>
      <c r="D672" s="5" t="s">
        <v>20</v>
      </c>
      <c r="E672" s="6" t="str">
        <f t="array" ref="E672">IFERROR(INDEX(Airlines!$B:$B,MATCH(D672,Airlines!$A:$A,0)),"")</f>
        <v>Vistara</v>
      </c>
      <c r="F672" s="6" t="str">
        <f>VLOOKUP(A672,Bookings!$A:$F,6,FALSE())</f>
        <v>Economy</v>
      </c>
      <c r="G672" s="6" t="str">
        <f t="array" ref="G672">IFERROR(INDEX(Flights!$E:$E,MATCH(B672,Flights!$A:$A,0)),"")</f>
        <v>Kolkata</v>
      </c>
      <c r="H672" s="6" t="str">
        <f>VLOOKUP(B672,Flights!A:H,6,FALSE())</f>
        <v>Bengaluru</v>
      </c>
      <c r="I672" s="6" t="str">
        <f t="array" ref="I672">IFERROR(INDEX(Bookings!$G:$G,MATCH(B672,Bookings!$B:$B,0)),"")</f>
        <v>1</v>
      </c>
      <c r="J672" s="5">
        <f>VLOOKUP(B672,Bookings!B:H,7,FALSE())</f>
        <v>17.08</v>
      </c>
      <c r="K672" s="5" t="str">
        <f t="shared" si="1"/>
        <v>Long</v>
      </c>
      <c r="L672" s="11">
        <f t="array" ref="L672">IFERROR(INDEX(Bookings!$K:$K,MATCH(A672,Bookings!$A:$A,0)),"")</f>
        <v>8111</v>
      </c>
      <c r="M672" s="5" t="str">
        <f t="shared" si="2"/>
        <v>Medium</v>
      </c>
      <c r="N672" s="5">
        <f t="array" ref="N672">IFERROR(INDEX(Bookings!$I:$I,MATCH(A672,Bookings!$A:$A,0)),"")</f>
        <v>43</v>
      </c>
      <c r="O672" s="5" t="str">
        <f t="shared" si="3"/>
        <v>Advance</v>
      </c>
      <c r="P672" s="5" t="str">
        <f t="shared" si="4"/>
        <v>Kolkata -&gt; Bengaluru</v>
      </c>
    </row>
    <row r="673" ht="15.75" customHeight="1">
      <c r="A673" s="5" t="s">
        <v>2161</v>
      </c>
      <c r="B673" s="5" t="s">
        <v>1331</v>
      </c>
      <c r="C673" s="5" t="s">
        <v>516</v>
      </c>
      <c r="D673" s="5" t="s">
        <v>20</v>
      </c>
      <c r="E673" s="6" t="str">
        <f t="array" ref="E673">IFERROR(INDEX(Airlines!$B:$B,MATCH(D673,Airlines!$A:$A,0)),"")</f>
        <v>Vistara</v>
      </c>
      <c r="F673" s="6" t="str">
        <f>VLOOKUP(A673,Bookings!$A:$F,6,FALSE())</f>
        <v>Economy</v>
      </c>
      <c r="G673" s="6" t="str">
        <f t="array" ref="G673">IFERROR(INDEX(Flights!$E:$E,MATCH(B673,Flights!$A:$A,0)),"")</f>
        <v>Kolkata</v>
      </c>
      <c r="H673" s="6" t="str">
        <f>VLOOKUP(B673,Flights!A:H,6,FALSE())</f>
        <v>Bengaluru</v>
      </c>
      <c r="I673" s="6" t="str">
        <f t="array" ref="I673">IFERROR(INDEX(Bookings!$G:$G,MATCH(B673,Bookings!$B:$B,0)),"")</f>
        <v>1</v>
      </c>
      <c r="J673" s="5">
        <f>VLOOKUP(B673,Bookings!B:H,7,FALSE())</f>
        <v>24.42</v>
      </c>
      <c r="K673" s="5" t="str">
        <f t="shared" si="1"/>
        <v>Long</v>
      </c>
      <c r="L673" s="11">
        <f t="array" ref="L673">IFERROR(INDEX(Bookings!$K:$K,MATCH(A673,Bookings!$A:$A,0)),"")</f>
        <v>18710</v>
      </c>
      <c r="M673" s="5" t="str">
        <f t="shared" si="2"/>
        <v>High</v>
      </c>
      <c r="N673" s="5">
        <f t="array" ref="N673">IFERROR(INDEX(Bookings!$I:$I,MATCH(A673,Bookings!$A:$A,0)),"")</f>
        <v>2</v>
      </c>
      <c r="O673" s="5" t="str">
        <f t="shared" si="3"/>
        <v>Last Minute</v>
      </c>
      <c r="P673" s="5" t="str">
        <f t="shared" si="4"/>
        <v>Kolkata -&gt; Bengaluru</v>
      </c>
    </row>
    <row r="674" ht="15.75" customHeight="1">
      <c r="A674" s="5" t="s">
        <v>2162</v>
      </c>
      <c r="B674" s="5" t="s">
        <v>1336</v>
      </c>
      <c r="C674" s="5" t="s">
        <v>516</v>
      </c>
      <c r="D674" s="5" t="s">
        <v>20</v>
      </c>
      <c r="E674" s="6" t="str">
        <f t="array" ref="E674">IFERROR(INDEX(Airlines!$B:$B,MATCH(D674,Airlines!$A:$A,0)),"")</f>
        <v>Vistara</v>
      </c>
      <c r="F674" s="6" t="str">
        <f>VLOOKUP(A674,Bookings!$A:$F,6,FALSE())</f>
        <v>Economy</v>
      </c>
      <c r="G674" s="6" t="str">
        <f t="array" ref="G674">IFERROR(INDEX(Flights!$E:$E,MATCH(B674,Flights!$A:$A,0)),"")</f>
        <v>Kolkata</v>
      </c>
      <c r="H674" s="6" t="str">
        <f>VLOOKUP(B674,Flights!A:H,6,FALSE())</f>
        <v>Bengaluru</v>
      </c>
      <c r="I674" s="6" t="str">
        <f t="array" ref="I674">IFERROR(INDEX(Bookings!$G:$G,MATCH(B674,Bookings!$B:$B,0)),"")</f>
        <v>1</v>
      </c>
      <c r="J674" s="5">
        <f>VLOOKUP(B674,Bookings!B:H,7,FALSE())</f>
        <v>27.67</v>
      </c>
      <c r="K674" s="5" t="str">
        <f t="shared" si="1"/>
        <v>Long</v>
      </c>
      <c r="L674" s="11">
        <f t="array" ref="L674">IFERROR(INDEX(Bookings!$K:$K,MATCH(A674,Bookings!$A:$A,0)),"")</f>
        <v>16359</v>
      </c>
      <c r="M674" s="5" t="str">
        <f t="shared" si="2"/>
        <v>High</v>
      </c>
      <c r="N674" s="5">
        <f t="array" ref="N674">IFERROR(INDEX(Bookings!$I:$I,MATCH(A674,Bookings!$A:$A,0)),"")</f>
        <v>3</v>
      </c>
      <c r="O674" s="5" t="str">
        <f t="shared" si="3"/>
        <v>Last Minute</v>
      </c>
      <c r="P674" s="5" t="str">
        <f t="shared" si="4"/>
        <v>Kolkata -&gt; Bengaluru</v>
      </c>
    </row>
    <row r="675" ht="15.75" customHeight="1">
      <c r="A675" s="5" t="s">
        <v>2163</v>
      </c>
      <c r="B675" s="5" t="s">
        <v>1339</v>
      </c>
      <c r="C675" s="5" t="s">
        <v>516</v>
      </c>
      <c r="D675" s="5" t="s">
        <v>43</v>
      </c>
      <c r="E675" s="6" t="str">
        <f t="array" ref="E675">IFERROR(INDEX(Airlines!$B:$B,MATCH(D675,Airlines!$A:$A,0)),"")</f>
        <v>Indigo</v>
      </c>
      <c r="F675" s="6" t="str">
        <f>VLOOKUP(A675,Bookings!$A:$F,6,FALSE())</f>
        <v>Economy</v>
      </c>
      <c r="G675" s="6" t="str">
        <f t="array" ref="G675">IFERROR(INDEX(Flights!$E:$E,MATCH(B675,Flights!$A:$A,0)),"")</f>
        <v>Kolkata</v>
      </c>
      <c r="H675" s="6" t="str">
        <f>VLOOKUP(B675,Flights!A:H,6,FALSE())</f>
        <v>Bengaluru</v>
      </c>
      <c r="I675" s="6" t="str">
        <f t="array" ref="I675">IFERROR(INDEX(Bookings!$G:$G,MATCH(B675,Bookings!$B:$B,0)),"")</f>
        <v>2+</v>
      </c>
      <c r="J675" s="5">
        <f>VLOOKUP(B675,Bookings!B:H,7,FALSE())</f>
        <v>13.5</v>
      </c>
      <c r="K675" s="5" t="str">
        <f t="shared" si="1"/>
        <v>Long</v>
      </c>
      <c r="L675" s="11">
        <f t="array" ref="L675">IFERROR(INDEX(Bookings!$K:$K,MATCH(A675,Bookings!$A:$A,0)),"")</f>
        <v>4944</v>
      </c>
      <c r="M675" s="5" t="str">
        <f t="shared" si="2"/>
        <v>Medium</v>
      </c>
      <c r="N675" s="5">
        <f t="array" ref="N675">IFERROR(INDEX(Bookings!$I:$I,MATCH(A675,Bookings!$A:$A,0)),"")</f>
        <v>41</v>
      </c>
      <c r="O675" s="5" t="str">
        <f t="shared" si="3"/>
        <v>Advance</v>
      </c>
      <c r="P675" s="5" t="str">
        <f t="shared" si="4"/>
        <v>Kolkata -&gt; Bengaluru</v>
      </c>
    </row>
    <row r="676" ht="15.75" customHeight="1">
      <c r="A676" s="5" t="s">
        <v>2164</v>
      </c>
      <c r="B676" s="5" t="s">
        <v>1270</v>
      </c>
      <c r="C676" s="5" t="s">
        <v>516</v>
      </c>
      <c r="D676" s="5" t="s">
        <v>43</v>
      </c>
      <c r="E676" s="6" t="str">
        <f t="array" ref="E676">IFERROR(INDEX(Airlines!$B:$B,MATCH(D676,Airlines!$A:$A,0)),"")</f>
        <v>Indigo</v>
      </c>
      <c r="F676" s="6" t="str">
        <f>VLOOKUP(A676,Bookings!$A:$F,6,FALSE())</f>
        <v>Economy</v>
      </c>
      <c r="G676" s="6" t="str">
        <f t="array" ref="G676">IFERROR(INDEX(Flights!$E:$E,MATCH(B676,Flights!$A:$A,0)),"")</f>
        <v>Kolkata</v>
      </c>
      <c r="H676" s="6" t="str">
        <f>VLOOKUP(B676,Flights!A:H,6,FALSE())</f>
        <v>Bengaluru</v>
      </c>
      <c r="I676" s="6" t="str">
        <f t="array" ref="I676">IFERROR(INDEX(Bookings!$G:$G,MATCH(B676,Bookings!$B:$B,0)),"")</f>
        <v>2+</v>
      </c>
      <c r="J676" s="5">
        <f>VLOOKUP(B676,Bookings!B:H,7,FALSE())</f>
        <v>14.17</v>
      </c>
      <c r="K676" s="5" t="str">
        <f t="shared" si="1"/>
        <v>Long</v>
      </c>
      <c r="L676" s="11">
        <f t="array" ref="L676">IFERROR(INDEX(Bookings!$K:$K,MATCH(A676,Bookings!$A:$A,0)),"")</f>
        <v>6489</v>
      </c>
      <c r="M676" s="5" t="str">
        <f t="shared" si="2"/>
        <v>Medium</v>
      </c>
      <c r="N676" s="5">
        <f t="array" ref="N676">IFERROR(INDEX(Bookings!$I:$I,MATCH(A676,Bookings!$A:$A,0)),"")</f>
        <v>20</v>
      </c>
      <c r="O676" s="5" t="str">
        <f t="shared" si="3"/>
        <v>Moderate</v>
      </c>
      <c r="P676" s="5" t="str">
        <f t="shared" si="4"/>
        <v>Kolkata -&gt; Bengaluru</v>
      </c>
    </row>
    <row r="677" ht="15.75" customHeight="1">
      <c r="A677" s="5" t="s">
        <v>2166</v>
      </c>
      <c r="B677" s="5" t="s">
        <v>1369</v>
      </c>
      <c r="C677" s="5" t="s">
        <v>516</v>
      </c>
      <c r="D677" s="5" t="s">
        <v>72</v>
      </c>
      <c r="E677" s="6" t="str">
        <f t="array" ref="E677">IFERROR(INDEX(Airlines!$B:$B,MATCH(D677,Airlines!$A:$A,0)),"")</f>
        <v>Spicejet</v>
      </c>
      <c r="F677" s="6" t="str">
        <f>VLOOKUP(A677,Bookings!$A:$F,6,FALSE())</f>
        <v>Economy</v>
      </c>
      <c r="G677" s="6" t="str">
        <f t="array" ref="G677">IFERROR(INDEX(Flights!$E:$E,MATCH(B677,Flights!$A:$A,0)),"")</f>
        <v>Kolkata</v>
      </c>
      <c r="H677" s="6" t="str">
        <f>VLOOKUP(B677,Flights!A:H,6,FALSE())</f>
        <v>Bengaluru</v>
      </c>
      <c r="I677" s="6" t="str">
        <f t="array" ref="I677">IFERROR(INDEX(Bookings!$G:$G,MATCH(B677,Bookings!$B:$B,0)),"")</f>
        <v>0</v>
      </c>
      <c r="J677" s="5">
        <f>VLOOKUP(B677,Bookings!B:H,7,FALSE())</f>
        <v>2.67</v>
      </c>
      <c r="K677" s="5" t="str">
        <f t="shared" si="1"/>
        <v>Short</v>
      </c>
      <c r="L677" s="11">
        <f t="array" ref="L677">IFERROR(INDEX(Bookings!$K:$K,MATCH(A677,Bookings!$A:$A,0)),"")</f>
        <v>6488</v>
      </c>
      <c r="M677" s="5" t="str">
        <f t="shared" si="2"/>
        <v>Medium</v>
      </c>
      <c r="N677" s="5">
        <f t="array" ref="N677">IFERROR(INDEX(Bookings!$I:$I,MATCH(A677,Bookings!$A:$A,0)),"")</f>
        <v>14</v>
      </c>
      <c r="O677" s="5" t="str">
        <f t="shared" si="3"/>
        <v>Short Notice</v>
      </c>
      <c r="P677" s="5" t="str">
        <f t="shared" si="4"/>
        <v>Kolkata -&gt; Bengaluru</v>
      </c>
    </row>
    <row r="678" ht="15.75" customHeight="1">
      <c r="A678" s="5" t="s">
        <v>2168</v>
      </c>
      <c r="B678" s="5" t="s">
        <v>1299</v>
      </c>
      <c r="C678" s="5" t="s">
        <v>516</v>
      </c>
      <c r="D678" s="5" t="s">
        <v>20</v>
      </c>
      <c r="E678" s="6" t="str">
        <f t="array" ref="E678">IFERROR(INDEX(Airlines!$B:$B,MATCH(D678,Airlines!$A:$A,0)),"")</f>
        <v>Vistara</v>
      </c>
      <c r="F678" s="6" t="str">
        <f>VLOOKUP(A678,Bookings!$A:$F,6,FALSE())</f>
        <v>Economy</v>
      </c>
      <c r="G678" s="6" t="str">
        <f t="array" ref="G678">IFERROR(INDEX(Flights!$E:$E,MATCH(B678,Flights!$A:$A,0)),"")</f>
        <v>Kolkata</v>
      </c>
      <c r="H678" s="6" t="str">
        <f>VLOOKUP(B678,Flights!A:H,6,FALSE())</f>
        <v>Bengaluru</v>
      </c>
      <c r="I678" s="6" t="str">
        <f t="array" ref="I678">IFERROR(INDEX(Bookings!$G:$G,MATCH(B678,Bookings!$B:$B,0)),"")</f>
        <v>1</v>
      </c>
      <c r="J678" s="5">
        <f>VLOOKUP(B678,Bookings!B:H,7,FALSE())</f>
        <v>26.25</v>
      </c>
      <c r="K678" s="5" t="str">
        <f t="shared" si="1"/>
        <v>Long</v>
      </c>
      <c r="L678" s="11">
        <f t="array" ref="L678">IFERROR(INDEX(Bookings!$K:$K,MATCH(A678,Bookings!$A:$A,0)),"")</f>
        <v>10961</v>
      </c>
      <c r="M678" s="5" t="str">
        <f t="shared" si="2"/>
        <v>Medium</v>
      </c>
      <c r="N678" s="5">
        <f t="array" ref="N678">IFERROR(INDEX(Bookings!$I:$I,MATCH(A678,Bookings!$A:$A,0)),"")</f>
        <v>8</v>
      </c>
      <c r="O678" s="5" t="str">
        <f t="shared" si="3"/>
        <v>Short Notice</v>
      </c>
      <c r="P678" s="5" t="str">
        <f t="shared" si="4"/>
        <v>Kolkata -&gt; Bengaluru</v>
      </c>
    </row>
    <row r="679" ht="15.75" customHeight="1">
      <c r="A679" s="5" t="s">
        <v>2169</v>
      </c>
      <c r="B679" s="5" t="s">
        <v>1355</v>
      </c>
      <c r="C679" s="5" t="s">
        <v>516</v>
      </c>
      <c r="D679" s="5" t="s">
        <v>45</v>
      </c>
      <c r="E679" s="6" t="str">
        <f t="array" ref="E679">IFERROR(INDEX(Airlines!$B:$B,MATCH(D679,Airlines!$A:$A,0)),"")</f>
        <v>Air_India</v>
      </c>
      <c r="F679" s="6" t="str">
        <f>VLOOKUP(A679,Bookings!$A:$F,6,FALSE())</f>
        <v>Economy</v>
      </c>
      <c r="G679" s="6" t="str">
        <f t="array" ref="G679">IFERROR(INDEX(Flights!$E:$E,MATCH(B679,Flights!$A:$A,0)),"")</f>
        <v>Kolkata</v>
      </c>
      <c r="H679" s="6" t="str">
        <f>VLOOKUP(B679,Flights!A:H,6,FALSE())</f>
        <v>Bengaluru</v>
      </c>
      <c r="I679" s="6" t="str">
        <f t="array" ref="I679">IFERROR(INDEX(Bookings!$G:$G,MATCH(B679,Bookings!$B:$B,0)),"")</f>
        <v>1</v>
      </c>
      <c r="J679" s="5">
        <f>VLOOKUP(B679,Bookings!B:H,7,FALSE())</f>
        <v>34.67</v>
      </c>
      <c r="K679" s="5" t="str">
        <f t="shared" si="1"/>
        <v>Long</v>
      </c>
      <c r="L679" s="11">
        <f t="array" ref="L679">IFERROR(INDEX(Bookings!$K:$K,MATCH(A679,Bookings!$A:$A,0)),"")</f>
        <v>12792</v>
      </c>
      <c r="M679" s="5" t="str">
        <f t="shared" si="2"/>
        <v>Medium</v>
      </c>
      <c r="N679" s="5">
        <f t="array" ref="N679">IFERROR(INDEX(Bookings!$I:$I,MATCH(A679,Bookings!$A:$A,0)),"")</f>
        <v>11</v>
      </c>
      <c r="O679" s="5" t="str">
        <f t="shared" si="3"/>
        <v>Short Notice</v>
      </c>
      <c r="P679" s="5" t="str">
        <f t="shared" si="4"/>
        <v>Kolkata -&gt; Bengaluru</v>
      </c>
    </row>
    <row r="680" ht="15.75" customHeight="1">
      <c r="A680" s="5" t="s">
        <v>2171</v>
      </c>
      <c r="B680" s="5" t="s">
        <v>1325</v>
      </c>
      <c r="C680" s="5" t="s">
        <v>516</v>
      </c>
      <c r="D680" s="5" t="s">
        <v>43</v>
      </c>
      <c r="E680" s="6" t="str">
        <f t="array" ref="E680">IFERROR(INDEX(Airlines!$B:$B,MATCH(D680,Airlines!$A:$A,0)),"")</f>
        <v>Indigo</v>
      </c>
      <c r="F680" s="6" t="str">
        <f>VLOOKUP(A680,Bookings!$A:$F,6,FALSE())</f>
        <v>Economy</v>
      </c>
      <c r="G680" s="6" t="str">
        <f t="array" ref="G680">IFERROR(INDEX(Flights!$E:$E,MATCH(B680,Flights!$A:$A,0)),"")</f>
        <v>Kolkata</v>
      </c>
      <c r="H680" s="6" t="str">
        <f>VLOOKUP(B680,Flights!A:H,6,FALSE())</f>
        <v>Bengaluru</v>
      </c>
      <c r="I680" s="6" t="str">
        <f t="array" ref="I680">IFERROR(INDEX(Bookings!$G:$G,MATCH(B680,Bookings!$B:$B,0)),"")</f>
        <v>0</v>
      </c>
      <c r="J680" s="5">
        <f>VLOOKUP(B680,Bookings!B:H,7,FALSE())</f>
        <v>2.75</v>
      </c>
      <c r="K680" s="5" t="str">
        <f t="shared" si="1"/>
        <v>Short</v>
      </c>
      <c r="L680" s="11">
        <f t="array" ref="L680">IFERROR(INDEX(Bookings!$K:$K,MATCH(A680,Bookings!$A:$A,0)),"")</f>
        <v>16254</v>
      </c>
      <c r="M680" s="5" t="str">
        <f t="shared" si="2"/>
        <v>High</v>
      </c>
      <c r="N680" s="5">
        <f t="array" ref="N680">IFERROR(INDEX(Bookings!$I:$I,MATCH(A680,Bookings!$A:$A,0)),"")</f>
        <v>4</v>
      </c>
      <c r="O680" s="5" t="str">
        <f t="shared" si="3"/>
        <v>Last Minute</v>
      </c>
      <c r="P680" s="5" t="str">
        <f t="shared" si="4"/>
        <v>Kolkata -&gt; Bengaluru</v>
      </c>
    </row>
    <row r="681" ht="15.75" customHeight="1">
      <c r="A681" s="5" t="s">
        <v>2173</v>
      </c>
      <c r="B681" s="5" t="s">
        <v>1284</v>
      </c>
      <c r="C681" s="5" t="s">
        <v>516</v>
      </c>
      <c r="D681" s="5" t="s">
        <v>20</v>
      </c>
      <c r="E681" s="6" t="str">
        <f t="array" ref="E681">IFERROR(INDEX(Airlines!$B:$B,MATCH(D681,Airlines!$A:$A,0)),"")</f>
        <v>Vistara</v>
      </c>
      <c r="F681" s="6" t="str">
        <f>VLOOKUP(A681,Bookings!$A:$F,6,FALSE())</f>
        <v>Economy</v>
      </c>
      <c r="G681" s="6" t="str">
        <f t="array" ref="G681">IFERROR(INDEX(Flights!$E:$E,MATCH(B681,Flights!$A:$A,0)),"")</f>
        <v>Kolkata</v>
      </c>
      <c r="H681" s="6" t="str">
        <f>VLOOKUP(B681,Flights!A:H,6,FALSE())</f>
        <v>Bengaluru</v>
      </c>
      <c r="I681" s="6" t="str">
        <f t="array" ref="I681">IFERROR(INDEX(Bookings!$G:$G,MATCH(B681,Bookings!$B:$B,0)),"")</f>
        <v>1</v>
      </c>
      <c r="J681" s="5">
        <f>VLOOKUP(B681,Bookings!B:H,7,FALSE())</f>
        <v>9</v>
      </c>
      <c r="K681" s="5" t="str">
        <f t="shared" si="1"/>
        <v>Medium</v>
      </c>
      <c r="L681" s="11">
        <f t="array" ref="L681">IFERROR(INDEX(Bookings!$K:$K,MATCH(A681,Bookings!$A:$A,0)),"")</f>
        <v>21294</v>
      </c>
      <c r="M681" s="5" t="str">
        <f t="shared" si="2"/>
        <v>High</v>
      </c>
      <c r="N681" s="5" t="str">
        <f t="array" ref="N681">IFERROR(INDEX(Bookings!$I:$I,MATCH(A681,Bookings!$A:$A,0)),"")</f>
        <v/>
      </c>
      <c r="O681" s="5" t="str">
        <f t="shared" si="3"/>
        <v>Last Minute</v>
      </c>
      <c r="P681" s="5" t="str">
        <f t="shared" si="4"/>
        <v>Kolkata -&gt; Bengaluru</v>
      </c>
    </row>
    <row r="682" ht="15.75" customHeight="1">
      <c r="A682" s="5" t="s">
        <v>2174</v>
      </c>
      <c r="B682" s="5" t="s">
        <v>1350</v>
      </c>
      <c r="C682" s="5" t="s">
        <v>516</v>
      </c>
      <c r="D682" s="5" t="s">
        <v>45</v>
      </c>
      <c r="E682" s="6" t="str">
        <f t="array" ref="E682">IFERROR(INDEX(Airlines!$B:$B,MATCH(D682,Airlines!$A:$A,0)),"")</f>
        <v>Air_India</v>
      </c>
      <c r="F682" s="6" t="str">
        <f>VLOOKUP(A682,Bookings!$A:$F,6,FALSE())</f>
        <v>Economy</v>
      </c>
      <c r="G682" s="6" t="str">
        <f t="array" ref="G682">IFERROR(INDEX(Flights!$E:$E,MATCH(B682,Flights!$A:$A,0)),"")</f>
        <v>Kolkata</v>
      </c>
      <c r="H682" s="6" t="str">
        <f>VLOOKUP(B682,Flights!A:H,6,FALSE())</f>
        <v>Bengaluru</v>
      </c>
      <c r="I682" s="6" t="str">
        <f t="array" ref="I682">IFERROR(INDEX(Bookings!$G:$G,MATCH(B682,Bookings!$B:$B,0)),"")</f>
        <v>2+</v>
      </c>
      <c r="J682" s="5">
        <f>VLOOKUP(B682,Bookings!B:H,7,FALSE())</f>
        <v>19.42</v>
      </c>
      <c r="K682" s="5" t="str">
        <f t="shared" si="1"/>
        <v>Long</v>
      </c>
      <c r="L682" s="11">
        <f t="array" ref="L682">IFERROR(INDEX(Bookings!$K:$K,MATCH(A682,Bookings!$A:$A,0)),"")</f>
        <v>12792</v>
      </c>
      <c r="M682" s="5" t="str">
        <f t="shared" si="2"/>
        <v>Medium</v>
      </c>
      <c r="N682" s="5">
        <f t="array" ref="N682">IFERROR(INDEX(Bookings!$I:$I,MATCH(A682,Bookings!$A:$A,0)),"")</f>
        <v>13</v>
      </c>
      <c r="O682" s="5" t="str">
        <f t="shared" si="3"/>
        <v>Short Notice</v>
      </c>
      <c r="P682" s="5" t="str">
        <f t="shared" si="4"/>
        <v>Kolkata -&gt; Bengaluru</v>
      </c>
    </row>
    <row r="683" ht="15.75" customHeight="1">
      <c r="A683" s="5" t="s">
        <v>2176</v>
      </c>
      <c r="B683" s="5" t="s">
        <v>1386</v>
      </c>
      <c r="C683" s="5" t="s">
        <v>516</v>
      </c>
      <c r="D683" s="5" t="s">
        <v>29</v>
      </c>
      <c r="E683" s="6" t="str">
        <f t="array" ref="E683">IFERROR(INDEX(Airlines!$B:$B,MATCH(D683,Airlines!$A:$A,0)),"")</f>
        <v>AirAsia</v>
      </c>
      <c r="F683" s="6" t="str">
        <f>VLOOKUP(A683,Bookings!$A:$F,6,FALSE())</f>
        <v>Economy</v>
      </c>
      <c r="G683" s="6" t="str">
        <f t="array" ref="G683">IFERROR(INDEX(Flights!$E:$E,MATCH(B683,Flights!$A:$A,0)),"")</f>
        <v>Kolkata</v>
      </c>
      <c r="H683" s="6" t="str">
        <f>VLOOKUP(B683,Flights!A:H,6,FALSE())</f>
        <v>Bengaluru</v>
      </c>
      <c r="I683" s="6" t="str">
        <f t="array" ref="I683">IFERROR(INDEX(Bookings!$G:$G,MATCH(B683,Bookings!$B:$B,0)),"")</f>
        <v>1</v>
      </c>
      <c r="J683" s="5">
        <f>VLOOKUP(B683,Bookings!B:H,7,FALSE())</f>
        <v>7</v>
      </c>
      <c r="K683" s="5" t="str">
        <f t="shared" si="1"/>
        <v>Medium</v>
      </c>
      <c r="L683" s="11">
        <f t="array" ref="L683">IFERROR(INDEX(Bookings!$K:$K,MATCH(A683,Bookings!$A:$A,0)),"")</f>
        <v>4555</v>
      </c>
      <c r="M683" s="5" t="str">
        <f t="shared" si="2"/>
        <v>Low</v>
      </c>
      <c r="N683" s="5">
        <f t="array" ref="N683">IFERROR(INDEX(Bookings!$I:$I,MATCH(A683,Bookings!$A:$A,0)),"")</f>
        <v>9</v>
      </c>
      <c r="O683" s="5" t="str">
        <f t="shared" si="3"/>
        <v>Short Notice</v>
      </c>
      <c r="P683" s="5" t="str">
        <f t="shared" si="4"/>
        <v>Kolkata -&gt; Bengaluru</v>
      </c>
    </row>
    <row r="684" ht="15.75" customHeight="1">
      <c r="A684" s="5" t="s">
        <v>2178</v>
      </c>
      <c r="B684" s="5" t="s">
        <v>1315</v>
      </c>
      <c r="C684" s="5" t="s">
        <v>516</v>
      </c>
      <c r="D684" s="5" t="s">
        <v>45</v>
      </c>
      <c r="E684" s="6" t="str">
        <f t="array" ref="E684">IFERROR(INDEX(Airlines!$B:$B,MATCH(D684,Airlines!$A:$A,0)),"")</f>
        <v>Air_India</v>
      </c>
      <c r="F684" s="6" t="str">
        <f>VLOOKUP(A684,Bookings!$A:$F,6,FALSE())</f>
        <v>Economy</v>
      </c>
      <c r="G684" s="6" t="str">
        <f t="array" ref="G684">IFERROR(INDEX(Flights!$E:$E,MATCH(B684,Flights!$A:$A,0)),"")</f>
        <v>Kolkata</v>
      </c>
      <c r="H684" s="6" t="str">
        <f>VLOOKUP(B684,Flights!A:H,6,FALSE())</f>
        <v>Bengaluru</v>
      </c>
      <c r="I684" s="6" t="str">
        <f t="array" ref="I684">IFERROR(INDEX(Bookings!$G:$G,MATCH(B684,Bookings!$B:$B,0)),"")</f>
        <v>2+</v>
      </c>
      <c r="J684" s="5">
        <f>VLOOKUP(B684,Bookings!B:H,7,FALSE())</f>
        <v>12.25</v>
      </c>
      <c r="K684" s="5" t="str">
        <f t="shared" si="1"/>
        <v>Long</v>
      </c>
      <c r="L684" s="11">
        <f t="array" ref="L684">IFERROR(INDEX(Bookings!$K:$K,MATCH(A684,Bookings!$A:$A,0)),"")</f>
        <v>21347</v>
      </c>
      <c r="M684" s="5" t="str">
        <f t="shared" si="2"/>
        <v>High</v>
      </c>
      <c r="N684" s="5" t="str">
        <f t="array" ref="N684">IFERROR(INDEX(Bookings!$I:$I,MATCH(A684,Bookings!$A:$A,0)),"")</f>
        <v/>
      </c>
      <c r="O684" s="5" t="str">
        <f t="shared" si="3"/>
        <v>Last Minute</v>
      </c>
      <c r="P684" s="5" t="str">
        <f t="shared" si="4"/>
        <v>Kolkata -&gt; Bengaluru</v>
      </c>
    </row>
    <row r="685" ht="15.75" customHeight="1">
      <c r="A685" s="5" t="s">
        <v>2180</v>
      </c>
      <c r="B685" s="5" t="s">
        <v>1266</v>
      </c>
      <c r="C685" s="5" t="s">
        <v>516</v>
      </c>
      <c r="D685" s="5" t="s">
        <v>20</v>
      </c>
      <c r="E685" s="6" t="str">
        <f t="array" ref="E685">IFERROR(INDEX(Airlines!$B:$B,MATCH(D685,Airlines!$A:$A,0)),"")</f>
        <v>Vistara</v>
      </c>
      <c r="F685" s="6" t="str">
        <f>VLOOKUP(A685,Bookings!$A:$F,6,FALSE())</f>
        <v>Economy</v>
      </c>
      <c r="G685" s="6" t="str">
        <f t="array" ref="G685">IFERROR(INDEX(Flights!$E:$E,MATCH(B685,Flights!$A:$A,0)),"")</f>
        <v>Kolkata</v>
      </c>
      <c r="H685" s="6" t="str">
        <f>VLOOKUP(B685,Flights!A:H,6,FALSE())</f>
        <v>Bengaluru</v>
      </c>
      <c r="I685" s="6" t="str">
        <f t="array" ref="I685">IFERROR(INDEX(Bookings!$G:$G,MATCH(B685,Bookings!$B:$B,0)),"")</f>
        <v>2+</v>
      </c>
      <c r="J685" s="5">
        <f>VLOOKUP(B685,Bookings!B:H,7,FALSE())</f>
        <v>24</v>
      </c>
      <c r="K685" s="5" t="str">
        <f t="shared" si="1"/>
        <v>Long</v>
      </c>
      <c r="L685" s="11">
        <f t="array" ref="L685">IFERROR(INDEX(Bookings!$K:$K,MATCH(A685,Bookings!$A:$A,0)),"")</f>
        <v>8111</v>
      </c>
      <c r="M685" s="5" t="str">
        <f t="shared" si="2"/>
        <v>Medium</v>
      </c>
      <c r="N685" s="5">
        <f t="array" ref="N685">IFERROR(INDEX(Bookings!$I:$I,MATCH(A685,Bookings!$A:$A,0)),"")</f>
        <v>16</v>
      </c>
      <c r="O685" s="5" t="str">
        <f t="shared" si="3"/>
        <v>Moderate</v>
      </c>
      <c r="P685" s="5" t="str">
        <f t="shared" si="4"/>
        <v>Kolkata -&gt; Bengaluru</v>
      </c>
    </row>
    <row r="686" ht="15.75" customHeight="1">
      <c r="A686" s="5" t="s">
        <v>2183</v>
      </c>
      <c r="B686" s="5" t="s">
        <v>1268</v>
      </c>
      <c r="C686" s="5" t="s">
        <v>516</v>
      </c>
      <c r="D686" s="5" t="s">
        <v>20</v>
      </c>
      <c r="E686" s="6" t="str">
        <f t="array" ref="E686">IFERROR(INDEX(Airlines!$B:$B,MATCH(D686,Airlines!$A:$A,0)),"")</f>
        <v>Vistara</v>
      </c>
      <c r="F686" s="6" t="str">
        <f>VLOOKUP(A686,Bookings!$A:$F,6,FALSE())</f>
        <v>Economy</v>
      </c>
      <c r="G686" s="6" t="str">
        <f t="array" ref="G686">IFERROR(INDEX(Flights!$E:$E,MATCH(B686,Flights!$A:$A,0)),"")</f>
        <v>Kolkata</v>
      </c>
      <c r="H686" s="6" t="str">
        <f>VLOOKUP(B686,Flights!A:H,6,FALSE())</f>
        <v>Bengaluru</v>
      </c>
      <c r="I686" s="6" t="str">
        <f t="array" ref="I686">IFERROR(INDEX(Bookings!$G:$G,MATCH(B686,Bookings!$B:$B,0)),"")</f>
        <v>2+</v>
      </c>
      <c r="J686" s="5">
        <f>VLOOKUP(B686,Bookings!B:H,7,FALSE())</f>
        <v>9.83</v>
      </c>
      <c r="K686" s="5" t="str">
        <f t="shared" si="1"/>
        <v>Medium</v>
      </c>
      <c r="L686" s="11">
        <f t="array" ref="L686">IFERROR(INDEX(Bookings!$K:$K,MATCH(A686,Bookings!$A:$A,0)),"")</f>
        <v>8111</v>
      </c>
      <c r="M686" s="5" t="str">
        <f t="shared" si="2"/>
        <v>Medium</v>
      </c>
      <c r="N686" s="5">
        <f t="array" ref="N686">IFERROR(INDEX(Bookings!$I:$I,MATCH(A686,Bookings!$A:$A,0)),"")</f>
        <v>43</v>
      </c>
      <c r="O686" s="5" t="str">
        <f t="shared" si="3"/>
        <v>Advance</v>
      </c>
      <c r="P686" s="5" t="str">
        <f t="shared" si="4"/>
        <v>Kolkata -&gt; Bengaluru</v>
      </c>
    </row>
    <row r="687" ht="15.75" customHeight="1">
      <c r="A687" s="5" t="s">
        <v>2184</v>
      </c>
      <c r="B687" s="5" t="s">
        <v>1343</v>
      </c>
      <c r="C687" s="5" t="s">
        <v>516</v>
      </c>
      <c r="D687" s="5" t="s">
        <v>20</v>
      </c>
      <c r="E687" s="6" t="str">
        <f t="array" ref="E687">IFERROR(INDEX(Airlines!$B:$B,MATCH(D687,Airlines!$A:$A,0)),"")</f>
        <v>Vistara</v>
      </c>
      <c r="F687" s="6" t="str">
        <f>VLOOKUP(A687,Bookings!$A:$F,6,FALSE())</f>
        <v>Economy</v>
      </c>
      <c r="G687" s="6" t="str">
        <f t="array" ref="G687">IFERROR(INDEX(Flights!$E:$E,MATCH(B687,Flights!$A:$A,0)),"")</f>
        <v>Kolkata</v>
      </c>
      <c r="H687" s="6" t="str">
        <f>VLOOKUP(B687,Flights!A:H,6,FALSE())</f>
        <v>Bengaluru</v>
      </c>
      <c r="I687" s="6" t="str">
        <f t="array" ref="I687">IFERROR(INDEX(Bookings!$G:$G,MATCH(B687,Bookings!$B:$B,0)),"")</f>
        <v>2+</v>
      </c>
      <c r="J687" s="5">
        <f>VLOOKUP(B687,Bookings!B:H,7,FALSE())</f>
        <v>16.17</v>
      </c>
      <c r="K687" s="5" t="str">
        <f t="shared" si="1"/>
        <v>Long</v>
      </c>
      <c r="L687" s="11">
        <f t="array" ref="L687">IFERROR(INDEX(Bookings!$K:$K,MATCH(A687,Bookings!$A:$A,0)),"")</f>
        <v>8111</v>
      </c>
      <c r="M687" s="5" t="str">
        <f t="shared" si="2"/>
        <v>Medium</v>
      </c>
      <c r="N687" s="5">
        <f t="array" ref="N687">IFERROR(INDEX(Bookings!$I:$I,MATCH(A687,Bookings!$A:$A,0)),"")</f>
        <v>31</v>
      </c>
      <c r="O687" s="5" t="str">
        <f t="shared" si="3"/>
        <v>Advance</v>
      </c>
      <c r="P687" s="5" t="str">
        <f t="shared" si="4"/>
        <v>Kolkata -&gt; Bengaluru</v>
      </c>
    </row>
    <row r="688" ht="15.75" customHeight="1">
      <c r="A688" s="5" t="s">
        <v>2187</v>
      </c>
      <c r="B688" s="5" t="s">
        <v>1318</v>
      </c>
      <c r="C688" s="5" t="s">
        <v>516</v>
      </c>
      <c r="D688" s="5" t="s">
        <v>20</v>
      </c>
      <c r="E688" s="6" t="str">
        <f t="array" ref="E688">IFERROR(INDEX(Airlines!$B:$B,MATCH(D688,Airlines!$A:$A,0)),"")</f>
        <v>Vistara</v>
      </c>
      <c r="F688" s="6" t="str">
        <f>VLOOKUP(A688,Bookings!$A:$F,6,FALSE())</f>
        <v>Economy</v>
      </c>
      <c r="G688" s="6" t="str">
        <f t="array" ref="G688">IFERROR(INDEX(Flights!$E:$E,MATCH(B688,Flights!$A:$A,0)),"")</f>
        <v>Kolkata</v>
      </c>
      <c r="H688" s="6" t="str">
        <f>VLOOKUP(B688,Flights!A:H,6,FALSE())</f>
        <v>Bengaluru</v>
      </c>
      <c r="I688" s="6" t="str">
        <f t="array" ref="I688">IFERROR(INDEX(Bookings!$G:$G,MATCH(B688,Bookings!$B:$B,0)),"")</f>
        <v>2+</v>
      </c>
      <c r="J688" s="5">
        <f>VLOOKUP(B688,Bookings!B:H,7,FALSE())</f>
        <v>15.5</v>
      </c>
      <c r="K688" s="5" t="str">
        <f t="shared" si="1"/>
        <v>Long</v>
      </c>
      <c r="L688" s="11">
        <f t="array" ref="L688">IFERROR(INDEX(Bookings!$K:$K,MATCH(A688,Bookings!$A:$A,0)),"")</f>
        <v>8111</v>
      </c>
      <c r="M688" s="5" t="str">
        <f t="shared" si="2"/>
        <v>Medium</v>
      </c>
      <c r="N688" s="5">
        <f t="array" ref="N688">IFERROR(INDEX(Bookings!$I:$I,MATCH(A688,Bookings!$A:$A,0)),"")</f>
        <v>48</v>
      </c>
      <c r="O688" s="5" t="str">
        <f t="shared" si="3"/>
        <v>Advance</v>
      </c>
      <c r="P688" s="5" t="str">
        <f t="shared" si="4"/>
        <v>Kolkata -&gt; Bengaluru</v>
      </c>
    </row>
    <row r="689" ht="15.75" customHeight="1">
      <c r="A689" s="5" t="s">
        <v>2189</v>
      </c>
      <c r="B689" s="5" t="s">
        <v>1305</v>
      </c>
      <c r="C689" s="5" t="s">
        <v>516</v>
      </c>
      <c r="D689" s="5" t="s">
        <v>43</v>
      </c>
      <c r="E689" s="6" t="str">
        <f t="array" ref="E689">IFERROR(INDEX(Airlines!$B:$B,MATCH(D689,Airlines!$A:$A,0)),"")</f>
        <v>Indigo</v>
      </c>
      <c r="F689" s="6" t="str">
        <f>VLOOKUP(A689,Bookings!$A:$F,6,FALSE())</f>
        <v>Economy</v>
      </c>
      <c r="G689" s="6" t="str">
        <f t="array" ref="G689">IFERROR(INDEX(Flights!$E:$E,MATCH(B689,Flights!$A:$A,0)),"")</f>
        <v>Kolkata</v>
      </c>
      <c r="H689" s="6" t="str">
        <f>VLOOKUP(B689,Flights!A:H,6,FALSE())</f>
        <v>Bengaluru</v>
      </c>
      <c r="I689" s="6" t="str">
        <f t="array" ref="I689">IFERROR(INDEX(Bookings!$G:$G,MATCH(B689,Bookings!$B:$B,0)),"")</f>
        <v>1</v>
      </c>
      <c r="J689" s="5">
        <f>VLOOKUP(B689,Bookings!B:H,7,FALSE())</f>
        <v>10.25</v>
      </c>
      <c r="K689" s="5" t="str">
        <f t="shared" si="1"/>
        <v>Long</v>
      </c>
      <c r="L689" s="11">
        <f t="array" ref="L689">IFERROR(INDEX(Bookings!$K:$K,MATCH(A689,Bookings!$A:$A,0)),"")</f>
        <v>4944</v>
      </c>
      <c r="M689" s="5" t="str">
        <f t="shared" si="2"/>
        <v>Medium</v>
      </c>
      <c r="N689" s="5">
        <f t="array" ref="N689">IFERROR(INDEX(Bookings!$I:$I,MATCH(A689,Bookings!$A:$A,0)),"")</f>
        <v>40</v>
      </c>
      <c r="O689" s="5" t="str">
        <f t="shared" si="3"/>
        <v>Advance</v>
      </c>
      <c r="P689" s="5" t="str">
        <f t="shared" si="4"/>
        <v>Kolkata -&gt; Bengaluru</v>
      </c>
    </row>
    <row r="690" ht="15.75" customHeight="1">
      <c r="A690" s="5" t="s">
        <v>2191</v>
      </c>
      <c r="B690" s="5" t="s">
        <v>1372</v>
      </c>
      <c r="C690" s="5" t="s">
        <v>516</v>
      </c>
      <c r="D690" s="5" t="s">
        <v>58</v>
      </c>
      <c r="E690" s="6" t="str">
        <f t="array" ref="E690">IFERROR(INDEX(Airlines!$B:$B,MATCH(D690,Airlines!$A:$A,0)),"")</f>
        <v>Go_First</v>
      </c>
      <c r="F690" s="6" t="str">
        <f>VLOOKUP(A690,Bookings!$A:$F,6,FALSE())</f>
        <v>Economy</v>
      </c>
      <c r="G690" s="6" t="str">
        <f t="array" ref="G690">IFERROR(INDEX(Flights!$E:$E,MATCH(B690,Flights!$A:$A,0)),"")</f>
        <v>Kolkata</v>
      </c>
      <c r="H690" s="6" t="str">
        <f>VLOOKUP(B690,Flights!A:H,6,FALSE())</f>
        <v>Bengaluru</v>
      </c>
      <c r="I690" s="6" t="str">
        <f t="array" ref="I690">IFERROR(INDEX(Bookings!$G:$G,MATCH(B690,Bookings!$B:$B,0)),"")</f>
        <v>1</v>
      </c>
      <c r="J690" s="5">
        <f>VLOOKUP(B690,Bookings!B:H,7,FALSE())</f>
        <v>8.17</v>
      </c>
      <c r="K690" s="5" t="str">
        <f t="shared" si="1"/>
        <v>Medium</v>
      </c>
      <c r="L690" s="11">
        <f t="array" ref="L690">IFERROR(INDEX(Bookings!$K:$K,MATCH(A690,Bookings!$A:$A,0)),"")</f>
        <v>12546</v>
      </c>
      <c r="M690" s="5" t="str">
        <f t="shared" si="2"/>
        <v>Medium</v>
      </c>
      <c r="N690" s="5">
        <f t="array" ref="N690">IFERROR(INDEX(Bookings!$I:$I,MATCH(A690,Bookings!$A:$A,0)),"")</f>
        <v>29</v>
      </c>
      <c r="O690" s="5" t="str">
        <f t="shared" si="3"/>
        <v>Moderate</v>
      </c>
      <c r="P690" s="5" t="str">
        <f t="shared" si="4"/>
        <v>Kolkata -&gt; Bengaluru</v>
      </c>
    </row>
    <row r="691" ht="15.75" customHeight="1">
      <c r="A691" s="5" t="s">
        <v>2194</v>
      </c>
      <c r="B691" s="5" t="s">
        <v>1364</v>
      </c>
      <c r="C691" s="5" t="s">
        <v>516</v>
      </c>
      <c r="D691" s="5" t="s">
        <v>43</v>
      </c>
      <c r="E691" s="6" t="str">
        <f t="array" ref="E691">IFERROR(INDEX(Airlines!$B:$B,MATCH(D691,Airlines!$A:$A,0)),"")</f>
        <v>Indigo</v>
      </c>
      <c r="F691" s="6" t="str">
        <f>VLOOKUP(A691,Bookings!$A:$F,6,FALSE())</f>
        <v>Economy</v>
      </c>
      <c r="G691" s="6" t="str">
        <f t="array" ref="G691">IFERROR(INDEX(Flights!$E:$E,MATCH(B691,Flights!$A:$A,0)),"")</f>
        <v>Kolkata</v>
      </c>
      <c r="H691" s="6" t="str">
        <f>VLOOKUP(B691,Flights!A:H,6,FALSE())</f>
        <v>Bengaluru</v>
      </c>
      <c r="I691" s="6" t="str">
        <f t="array" ref="I691">IFERROR(INDEX(Bookings!$G:$G,MATCH(B691,Bookings!$B:$B,0)),"")</f>
        <v>1</v>
      </c>
      <c r="J691" s="5">
        <f>VLOOKUP(B691,Bookings!B:H,7,FALSE())</f>
        <v>11.17</v>
      </c>
      <c r="K691" s="5" t="str">
        <f t="shared" si="1"/>
        <v>Long</v>
      </c>
      <c r="L691" s="11">
        <f t="array" ref="L691">IFERROR(INDEX(Bookings!$K:$K,MATCH(A691,Bookings!$A:$A,0)),"")</f>
        <v>3860</v>
      </c>
      <c r="M691" s="5" t="str">
        <f t="shared" si="2"/>
        <v>Low</v>
      </c>
      <c r="N691" s="5">
        <f t="array" ref="N691">IFERROR(INDEX(Bookings!$I:$I,MATCH(A691,Bookings!$A:$A,0)),"")</f>
        <v>44</v>
      </c>
      <c r="O691" s="5" t="str">
        <f t="shared" si="3"/>
        <v>Advance</v>
      </c>
      <c r="P691" s="5" t="str">
        <f t="shared" si="4"/>
        <v>Kolkata -&gt; Bengaluru</v>
      </c>
    </row>
    <row r="692" ht="15.75" customHeight="1">
      <c r="A692" s="5" t="s">
        <v>2196</v>
      </c>
      <c r="B692" s="5" t="s">
        <v>1274</v>
      </c>
      <c r="C692" s="5" t="s">
        <v>516</v>
      </c>
      <c r="D692" s="5" t="s">
        <v>43</v>
      </c>
      <c r="E692" s="6" t="str">
        <f t="array" ref="E692">IFERROR(INDEX(Airlines!$B:$B,MATCH(D692,Airlines!$A:$A,0)),"")</f>
        <v>Indigo</v>
      </c>
      <c r="F692" s="6" t="str">
        <f>VLOOKUP(A692,Bookings!$A:$F,6,FALSE())</f>
        <v>Economy</v>
      </c>
      <c r="G692" s="6" t="str">
        <f t="array" ref="G692">IFERROR(INDEX(Flights!$E:$E,MATCH(B692,Flights!$A:$A,0)),"")</f>
        <v>Kolkata</v>
      </c>
      <c r="H692" s="6" t="str">
        <f>VLOOKUP(B692,Flights!A:H,6,FALSE())</f>
        <v>Bengaluru</v>
      </c>
      <c r="I692" s="6" t="str">
        <f t="array" ref="I692">IFERROR(INDEX(Bookings!$G:$G,MATCH(B692,Bookings!$B:$B,0)),"")</f>
        <v>1</v>
      </c>
      <c r="J692" s="5">
        <f>VLOOKUP(B692,Bookings!B:H,7,FALSE())</f>
        <v>4.83</v>
      </c>
      <c r="K692" s="5" t="str">
        <f t="shared" si="1"/>
        <v>Medium</v>
      </c>
      <c r="L692" s="11">
        <f t="array" ref="L692">IFERROR(INDEX(Bookings!$K:$K,MATCH(A692,Bookings!$A:$A,0)),"")</f>
        <v>3465</v>
      </c>
      <c r="M692" s="5" t="str">
        <f t="shared" si="2"/>
        <v>Low</v>
      </c>
      <c r="N692" s="5">
        <f t="array" ref="N692">IFERROR(INDEX(Bookings!$I:$I,MATCH(A692,Bookings!$A:$A,0)),"")</f>
        <v>46</v>
      </c>
      <c r="O692" s="5" t="str">
        <f t="shared" si="3"/>
        <v>Advance</v>
      </c>
      <c r="P692" s="5" t="str">
        <f t="shared" si="4"/>
        <v>Kolkata -&gt; Bengaluru</v>
      </c>
    </row>
    <row r="693" ht="15.75" customHeight="1">
      <c r="A693" s="5" t="s">
        <v>2198</v>
      </c>
      <c r="B693" s="5" t="s">
        <v>1291</v>
      </c>
      <c r="C693" s="5" t="s">
        <v>516</v>
      </c>
      <c r="D693" s="5" t="s">
        <v>43</v>
      </c>
      <c r="E693" s="6" t="str">
        <f t="array" ref="E693">IFERROR(INDEX(Airlines!$B:$B,MATCH(D693,Airlines!$A:$A,0)),"")</f>
        <v>Indigo</v>
      </c>
      <c r="F693" s="6" t="str">
        <f>VLOOKUP(A693,Bookings!$A:$F,6,FALSE())</f>
        <v>Economy</v>
      </c>
      <c r="G693" s="6" t="str">
        <f t="array" ref="G693">IFERROR(INDEX(Flights!$E:$E,MATCH(B693,Flights!$A:$A,0)),"")</f>
        <v>Kolkata</v>
      </c>
      <c r="H693" s="6" t="str">
        <f>VLOOKUP(B693,Flights!A:H,6,FALSE())</f>
        <v>Bengaluru</v>
      </c>
      <c r="I693" s="6" t="str">
        <f t="array" ref="I693">IFERROR(INDEX(Bookings!$G:$G,MATCH(B693,Bookings!$B:$B,0)),"")</f>
        <v>1</v>
      </c>
      <c r="J693" s="5">
        <f>VLOOKUP(B693,Bookings!B:H,7,FALSE())</f>
        <v>4.92</v>
      </c>
      <c r="K693" s="5" t="str">
        <f t="shared" si="1"/>
        <v>Medium</v>
      </c>
      <c r="L693" s="11">
        <f t="array" ref="L693">IFERROR(INDEX(Bookings!$K:$K,MATCH(A693,Bookings!$A:$A,0)),"")</f>
        <v>3860</v>
      </c>
      <c r="M693" s="5" t="str">
        <f t="shared" si="2"/>
        <v>Low</v>
      </c>
      <c r="N693" s="5">
        <f t="array" ref="N693">IFERROR(INDEX(Bookings!$I:$I,MATCH(A693,Bookings!$A:$A,0)),"")</f>
        <v>46</v>
      </c>
      <c r="O693" s="5" t="str">
        <f t="shared" si="3"/>
        <v>Advance</v>
      </c>
      <c r="P693" s="5" t="str">
        <f t="shared" si="4"/>
        <v>Kolkata -&gt; Bengaluru</v>
      </c>
    </row>
    <row r="694" ht="15.75" customHeight="1">
      <c r="A694" s="5" t="s">
        <v>2200</v>
      </c>
      <c r="B694" s="5" t="s">
        <v>1290</v>
      </c>
      <c r="C694" s="5" t="s">
        <v>516</v>
      </c>
      <c r="D694" s="5" t="s">
        <v>43</v>
      </c>
      <c r="E694" s="6" t="str">
        <f t="array" ref="E694">IFERROR(INDEX(Airlines!$B:$B,MATCH(D694,Airlines!$A:$A,0)),"")</f>
        <v>Indigo</v>
      </c>
      <c r="F694" s="6" t="str">
        <f>VLOOKUP(A694,Bookings!$A:$F,6,FALSE())</f>
        <v>Economy</v>
      </c>
      <c r="G694" s="6" t="str">
        <f t="array" ref="G694">IFERROR(INDEX(Flights!$E:$E,MATCH(B694,Flights!$A:$A,0)),"")</f>
        <v>Kolkata</v>
      </c>
      <c r="H694" s="6" t="str">
        <f>VLOOKUP(B694,Flights!A:H,6,FALSE())</f>
        <v>Bengaluru</v>
      </c>
      <c r="I694" s="6" t="str">
        <f t="array" ref="I694">IFERROR(INDEX(Bookings!$G:$G,MATCH(B694,Bookings!$B:$B,0)),"")</f>
        <v>1</v>
      </c>
      <c r="J694" s="5">
        <f>VLOOKUP(B694,Bookings!B:H,7,FALSE())</f>
        <v>7.58</v>
      </c>
      <c r="K694" s="5" t="str">
        <f t="shared" si="1"/>
        <v>Medium</v>
      </c>
      <c r="L694" s="11">
        <f t="array" ref="L694">IFERROR(INDEX(Bookings!$K:$K,MATCH(A694,Bookings!$A:$A,0)),"")</f>
        <v>3860</v>
      </c>
      <c r="M694" s="5" t="str">
        <f t="shared" si="2"/>
        <v>Low</v>
      </c>
      <c r="N694" s="5">
        <f t="array" ref="N694">IFERROR(INDEX(Bookings!$I:$I,MATCH(A694,Bookings!$A:$A,0)),"")</f>
        <v>46</v>
      </c>
      <c r="O694" s="5" t="str">
        <f t="shared" si="3"/>
        <v>Advance</v>
      </c>
      <c r="P694" s="5" t="str">
        <f t="shared" si="4"/>
        <v>Kolkata -&gt; Bengaluru</v>
      </c>
    </row>
    <row r="695" ht="15.75" customHeight="1">
      <c r="A695" s="5" t="s">
        <v>2202</v>
      </c>
      <c r="B695" s="5" t="s">
        <v>1302</v>
      </c>
      <c r="C695" s="5" t="s">
        <v>516</v>
      </c>
      <c r="D695" s="5" t="s">
        <v>43</v>
      </c>
      <c r="E695" s="6" t="str">
        <f t="array" ref="E695">IFERROR(INDEX(Airlines!$B:$B,MATCH(D695,Airlines!$A:$A,0)),"")</f>
        <v>Indigo</v>
      </c>
      <c r="F695" s="6" t="str">
        <f>VLOOKUP(A695,Bookings!$A:$F,6,FALSE())</f>
        <v>Economy</v>
      </c>
      <c r="G695" s="6" t="str">
        <f t="array" ref="G695">IFERROR(INDEX(Flights!$E:$E,MATCH(B695,Flights!$A:$A,0)),"")</f>
        <v>Kolkata</v>
      </c>
      <c r="H695" s="6" t="str">
        <f>VLOOKUP(B695,Flights!A:H,6,FALSE())</f>
        <v>Bengaluru</v>
      </c>
      <c r="I695" s="6" t="str">
        <f t="array" ref="I695">IFERROR(INDEX(Bookings!$G:$G,MATCH(B695,Bookings!$B:$B,0)),"")</f>
        <v>1</v>
      </c>
      <c r="J695" s="5">
        <f>VLOOKUP(B695,Bookings!B:H,7,FALSE())</f>
        <v>8.83</v>
      </c>
      <c r="K695" s="5" t="str">
        <f t="shared" si="1"/>
        <v>Medium</v>
      </c>
      <c r="L695" s="11">
        <f t="array" ref="L695">IFERROR(INDEX(Bookings!$K:$K,MATCH(A695,Bookings!$A:$A,0)),"")</f>
        <v>3831</v>
      </c>
      <c r="M695" s="5" t="str">
        <f t="shared" si="2"/>
        <v>Low</v>
      </c>
      <c r="N695" s="5">
        <f t="array" ref="N695">IFERROR(INDEX(Bookings!$I:$I,MATCH(A695,Bookings!$A:$A,0)),"")</f>
        <v>46</v>
      </c>
      <c r="O695" s="5" t="str">
        <f t="shared" si="3"/>
        <v>Advance</v>
      </c>
      <c r="P695" s="5" t="str">
        <f t="shared" si="4"/>
        <v>Kolkata -&gt; Bengaluru</v>
      </c>
    </row>
    <row r="696" ht="15.75" customHeight="1">
      <c r="A696" s="5" t="s">
        <v>2205</v>
      </c>
      <c r="B696" s="5" t="s">
        <v>1382</v>
      </c>
      <c r="C696" s="5" t="s">
        <v>516</v>
      </c>
      <c r="D696" s="5" t="s">
        <v>29</v>
      </c>
      <c r="E696" s="6" t="str">
        <f t="array" ref="E696">IFERROR(INDEX(Airlines!$B:$B,MATCH(D696,Airlines!$A:$A,0)),"")</f>
        <v>AirAsia</v>
      </c>
      <c r="F696" s="6" t="str">
        <f>VLOOKUP(A696,Bookings!$A:$F,6,FALSE())</f>
        <v>Economy</v>
      </c>
      <c r="G696" s="6" t="str">
        <f t="array" ref="G696">IFERROR(INDEX(Flights!$E:$E,MATCH(B696,Flights!$A:$A,0)),"")</f>
        <v>Kolkata</v>
      </c>
      <c r="H696" s="6" t="str">
        <f>VLOOKUP(B696,Flights!A:H,6,FALSE())</f>
        <v>Bengaluru</v>
      </c>
      <c r="I696" s="6" t="str">
        <f t="array" ref="I696">IFERROR(INDEX(Bookings!$G:$G,MATCH(B696,Bookings!$B:$B,0)),"")</f>
        <v>2+</v>
      </c>
      <c r="J696" s="5">
        <f>VLOOKUP(B696,Bookings!B:H,7,FALSE())</f>
        <v>13.08</v>
      </c>
      <c r="K696" s="5" t="str">
        <f t="shared" si="1"/>
        <v>Long</v>
      </c>
      <c r="L696" s="11">
        <f t="array" ref="L696">IFERROR(INDEX(Bookings!$K:$K,MATCH(A696,Bookings!$A:$A,0)),"")</f>
        <v>3862</v>
      </c>
      <c r="M696" s="5" t="str">
        <f t="shared" si="2"/>
        <v>Low</v>
      </c>
      <c r="N696" s="5">
        <f t="array" ref="N696">IFERROR(INDEX(Bookings!$I:$I,MATCH(A696,Bookings!$A:$A,0)),"")</f>
        <v>46</v>
      </c>
      <c r="O696" s="5" t="str">
        <f t="shared" si="3"/>
        <v>Advance</v>
      </c>
      <c r="P696" s="5" t="str">
        <f t="shared" si="4"/>
        <v>Kolkata -&gt; Bengaluru</v>
      </c>
    </row>
    <row r="697" ht="15.75" customHeight="1">
      <c r="A697" s="5" t="s">
        <v>2206</v>
      </c>
      <c r="B697" s="5" t="s">
        <v>1308</v>
      </c>
      <c r="C697" s="5" t="s">
        <v>516</v>
      </c>
      <c r="D697" s="5" t="s">
        <v>45</v>
      </c>
      <c r="E697" s="6" t="str">
        <f t="array" ref="E697">IFERROR(INDEX(Airlines!$B:$B,MATCH(D697,Airlines!$A:$A,0)),"")</f>
        <v>Air_India</v>
      </c>
      <c r="F697" s="6" t="str">
        <f>VLOOKUP(A697,Bookings!$A:$F,6,FALSE())</f>
        <v>Economy</v>
      </c>
      <c r="G697" s="6" t="str">
        <f t="array" ref="G697">IFERROR(INDEX(Flights!$E:$E,MATCH(B697,Flights!$A:$A,0)),"")</f>
        <v>Kolkata</v>
      </c>
      <c r="H697" s="6" t="str">
        <f>VLOOKUP(B697,Flights!A:H,6,FALSE())</f>
        <v>Bengaluru</v>
      </c>
      <c r="I697" s="6" t="str">
        <f t="array" ref="I697">IFERROR(INDEX(Bookings!$G:$G,MATCH(B697,Bookings!$B:$B,0)),"")</f>
        <v>1</v>
      </c>
      <c r="J697" s="5">
        <f>VLOOKUP(B697,Bookings!B:H,7,FALSE())</f>
        <v>25.75</v>
      </c>
      <c r="K697" s="5" t="str">
        <f t="shared" si="1"/>
        <v>Long</v>
      </c>
      <c r="L697" s="11">
        <f t="array" ref="L697">IFERROR(INDEX(Bookings!$K:$K,MATCH(A697,Bookings!$A:$A,0)),"")</f>
        <v>5135</v>
      </c>
      <c r="M697" s="5" t="str">
        <f t="shared" si="2"/>
        <v>Medium</v>
      </c>
      <c r="N697" s="5">
        <f t="array" ref="N697">IFERROR(INDEX(Bookings!$I:$I,MATCH(A697,Bookings!$A:$A,0)),"")</f>
        <v>45</v>
      </c>
      <c r="O697" s="5" t="str">
        <f t="shared" si="3"/>
        <v>Advance</v>
      </c>
      <c r="P697" s="5" t="str">
        <f t="shared" si="4"/>
        <v>Kolkata -&gt; Bengaluru</v>
      </c>
    </row>
    <row r="698" ht="15.75" customHeight="1">
      <c r="A698" s="5" t="s">
        <v>2209</v>
      </c>
      <c r="B698" s="5" t="s">
        <v>1311</v>
      </c>
      <c r="C698" s="5" t="s">
        <v>516</v>
      </c>
      <c r="D698" s="5" t="s">
        <v>58</v>
      </c>
      <c r="E698" s="6" t="str">
        <f t="array" ref="E698">IFERROR(INDEX(Airlines!$B:$B,MATCH(D698,Airlines!$A:$A,0)),"")</f>
        <v>Go_First</v>
      </c>
      <c r="F698" s="6" t="str">
        <f>VLOOKUP(A698,Bookings!$A:$F,6,FALSE())</f>
        <v>Economy</v>
      </c>
      <c r="G698" s="6" t="str">
        <f t="array" ref="G698">IFERROR(INDEX(Flights!$E:$E,MATCH(B698,Flights!$A:$A,0)),"")</f>
        <v>Kolkata</v>
      </c>
      <c r="H698" s="6" t="str">
        <f>VLOOKUP(B698,Flights!A:H,6,FALSE())</f>
        <v>Bengaluru</v>
      </c>
      <c r="I698" s="6" t="str">
        <f t="array" ref="I698">IFERROR(INDEX(Bookings!$G:$G,MATCH(B698,Bookings!$B:$B,0)),"")</f>
        <v>1</v>
      </c>
      <c r="J698" s="5">
        <f>VLOOKUP(B698,Bookings!B:H,7,FALSE())</f>
        <v>10.17</v>
      </c>
      <c r="K698" s="5" t="str">
        <f t="shared" si="1"/>
        <v>Long</v>
      </c>
      <c r="L698" s="11">
        <f t="array" ref="L698">IFERROR(INDEX(Bookings!$K:$K,MATCH(A698,Bookings!$A:$A,0)),"")</f>
        <v>6819</v>
      </c>
      <c r="M698" s="5" t="str">
        <f t="shared" si="2"/>
        <v>Medium</v>
      </c>
      <c r="N698" s="5">
        <f t="array" ref="N698">IFERROR(INDEX(Bookings!$I:$I,MATCH(A698,Bookings!$A:$A,0)),"")</f>
        <v>46</v>
      </c>
      <c r="O698" s="5" t="str">
        <f t="shared" si="3"/>
        <v>Advance</v>
      </c>
      <c r="P698" s="5" t="str">
        <f t="shared" si="4"/>
        <v>Kolkata -&gt; Bengaluru</v>
      </c>
    </row>
    <row r="699" ht="15.75" customHeight="1">
      <c r="A699" s="5" t="s">
        <v>2212</v>
      </c>
      <c r="B699" s="5" t="s">
        <v>1376</v>
      </c>
      <c r="C699" s="5" t="s">
        <v>516</v>
      </c>
      <c r="D699" s="5" t="s">
        <v>20</v>
      </c>
      <c r="E699" s="6" t="str">
        <f t="array" ref="E699">IFERROR(INDEX(Airlines!$B:$B,MATCH(D699,Airlines!$A:$A,0)),"")</f>
        <v>Vistara</v>
      </c>
      <c r="F699" s="6" t="str">
        <f>VLOOKUP(A699,Bookings!$A:$F,6,FALSE())</f>
        <v>Economy</v>
      </c>
      <c r="G699" s="6" t="str">
        <f t="array" ref="G699">IFERROR(INDEX(Flights!$E:$E,MATCH(B699,Flights!$A:$A,0)),"")</f>
        <v>Kolkata</v>
      </c>
      <c r="H699" s="6" t="str">
        <f>VLOOKUP(B699,Flights!A:H,6,FALSE())</f>
        <v>Bengaluru</v>
      </c>
      <c r="I699" s="6" t="str">
        <f t="array" ref="I699">IFERROR(INDEX(Bookings!$G:$G,MATCH(B699,Bookings!$B:$B,0)),"")</f>
        <v>2+</v>
      </c>
      <c r="J699" s="5">
        <f>VLOOKUP(B699,Bookings!B:H,7,FALSE())</f>
        <v>6.83</v>
      </c>
      <c r="K699" s="5" t="str">
        <f t="shared" si="1"/>
        <v>Medium</v>
      </c>
      <c r="L699" s="11">
        <f t="array" ref="L699">IFERROR(INDEX(Bookings!$K:$K,MATCH(A699,Bookings!$A:$A,0)),"")</f>
        <v>8111</v>
      </c>
      <c r="M699" s="5" t="str">
        <f t="shared" si="2"/>
        <v>Medium</v>
      </c>
      <c r="N699" s="5">
        <f t="array" ref="N699">IFERROR(INDEX(Bookings!$I:$I,MATCH(A699,Bookings!$A:$A,0)),"")</f>
        <v>46</v>
      </c>
      <c r="O699" s="5" t="str">
        <f t="shared" si="3"/>
        <v>Advance</v>
      </c>
      <c r="P699" s="5" t="str">
        <f t="shared" si="4"/>
        <v>Kolkata -&gt; Bengaluru</v>
      </c>
    </row>
    <row r="700" ht="15.75" customHeight="1">
      <c r="A700" s="5" t="s">
        <v>2214</v>
      </c>
      <c r="B700" s="5" t="s">
        <v>1357</v>
      </c>
      <c r="C700" s="5" t="s">
        <v>516</v>
      </c>
      <c r="D700" s="5" t="s">
        <v>29</v>
      </c>
      <c r="E700" s="6" t="str">
        <f t="array" ref="E700">IFERROR(INDEX(Airlines!$B:$B,MATCH(D700,Airlines!$A:$A,0)),"")</f>
        <v>AirAsia</v>
      </c>
      <c r="F700" s="6" t="str">
        <f>VLOOKUP(A700,Bookings!$A:$F,6,FALSE())</f>
        <v>Economy</v>
      </c>
      <c r="G700" s="6" t="str">
        <f t="array" ref="G700">IFERROR(INDEX(Flights!$E:$E,MATCH(B700,Flights!$A:$A,0)),"")</f>
        <v>Kolkata</v>
      </c>
      <c r="H700" s="6" t="str">
        <f>VLOOKUP(B700,Flights!A:H,6,FALSE())</f>
        <v>Bengaluru</v>
      </c>
      <c r="I700" s="6" t="str">
        <f t="array" ref="I700">IFERROR(INDEX(Bookings!$G:$G,MATCH(B700,Bookings!$B:$B,0)),"")</f>
        <v>1</v>
      </c>
      <c r="J700" s="5">
        <f>VLOOKUP(B700,Bookings!B:H,7,FALSE())</f>
        <v>7.92</v>
      </c>
      <c r="K700" s="5" t="str">
        <f t="shared" si="1"/>
        <v>Medium</v>
      </c>
      <c r="L700" s="11">
        <f t="array" ref="L700">IFERROR(INDEX(Bookings!$K:$K,MATCH(A700,Bookings!$A:$A,0)),"")</f>
        <v>3862</v>
      </c>
      <c r="M700" s="5" t="str">
        <f t="shared" si="2"/>
        <v>Low</v>
      </c>
      <c r="N700" s="5">
        <f t="array" ref="N700">IFERROR(INDEX(Bookings!$I:$I,MATCH(A700,Bookings!$A:$A,0)),"")</f>
        <v>47</v>
      </c>
      <c r="O700" s="5" t="str">
        <f t="shared" si="3"/>
        <v>Advance</v>
      </c>
      <c r="P700" s="5" t="str">
        <f t="shared" si="4"/>
        <v>Kolkata -&gt; Bengaluru</v>
      </c>
    </row>
    <row r="701" ht="15.75" customHeight="1">
      <c r="A701" s="5" t="s">
        <v>2216</v>
      </c>
      <c r="B701" s="5" t="s">
        <v>1435</v>
      </c>
      <c r="C701" s="5" t="s">
        <v>533</v>
      </c>
      <c r="D701" s="5" t="s">
        <v>58</v>
      </c>
      <c r="E701" s="6" t="str">
        <f t="array" ref="E701">IFERROR(INDEX(Airlines!$B:$B,MATCH(D701,Airlines!$A:$A,0)),"")</f>
        <v>Go_First</v>
      </c>
      <c r="F701" s="6" t="str">
        <f>VLOOKUP(A701,Bookings!$A:$F,6,FALSE())</f>
        <v>Economy</v>
      </c>
      <c r="G701" s="6" t="str">
        <f t="array" ref="G701">IFERROR(INDEX(Flights!$E:$E,MATCH(B701,Flights!$A:$A,0)),"")</f>
        <v>Kolkata</v>
      </c>
      <c r="H701" s="6" t="str">
        <f>VLOOKUP(B701,Flights!A:H,6,FALSE())</f>
        <v>Hyderabad</v>
      </c>
      <c r="I701" s="6" t="str">
        <f t="array" ref="I701">IFERROR(INDEX(Bookings!$G:$G,MATCH(B701,Bookings!$B:$B,0)),"")</f>
        <v>0</v>
      </c>
      <c r="J701" s="5">
        <f>VLOOKUP(B701,Bookings!B:H,7,FALSE())</f>
        <v>2.17</v>
      </c>
      <c r="K701" s="5" t="str">
        <f t="shared" si="1"/>
        <v>Short</v>
      </c>
      <c r="L701" s="11">
        <f t="array" ref="L701">IFERROR(INDEX(Bookings!$K:$K,MATCH(A701,Bookings!$A:$A,0)),"")</f>
        <v>2821</v>
      </c>
      <c r="M701" s="5" t="str">
        <f t="shared" si="2"/>
        <v>Low</v>
      </c>
      <c r="N701" s="5">
        <f t="array" ref="N701">IFERROR(INDEX(Bookings!$I:$I,MATCH(A701,Bookings!$A:$A,0)),"")</f>
        <v>39</v>
      </c>
      <c r="O701" s="5" t="str">
        <f t="shared" si="3"/>
        <v>Advance</v>
      </c>
      <c r="P701" s="5" t="str">
        <f t="shared" si="4"/>
        <v>Kolkata -&gt; Hyderabad</v>
      </c>
    </row>
    <row r="702" ht="15.75" customHeight="1">
      <c r="A702" s="5" t="s">
        <v>2218</v>
      </c>
      <c r="B702" s="5" t="s">
        <v>1445</v>
      </c>
      <c r="C702" s="5" t="s">
        <v>533</v>
      </c>
      <c r="D702" s="5" t="s">
        <v>20</v>
      </c>
      <c r="E702" s="6" t="str">
        <f t="array" ref="E702">IFERROR(INDEX(Airlines!$B:$B,MATCH(D702,Airlines!$A:$A,0)),"")</f>
        <v>Vistara</v>
      </c>
      <c r="F702" s="6" t="str">
        <f>VLOOKUP(A702,Bookings!$A:$F,6,FALSE())</f>
        <v>Business</v>
      </c>
      <c r="G702" s="6" t="str">
        <f t="array" ref="G702">IFERROR(INDEX(Flights!$E:$E,MATCH(B702,Flights!$A:$A,0)),"")</f>
        <v>Kolkata</v>
      </c>
      <c r="H702" s="6" t="str">
        <f>VLOOKUP(B702,Flights!A:H,6,FALSE())</f>
        <v>Hyderabad</v>
      </c>
      <c r="I702" s="6" t="str">
        <f t="array" ref="I702">IFERROR(INDEX(Bookings!$G:$G,MATCH(B702,Bookings!$B:$B,0)),"")</f>
        <v>1</v>
      </c>
      <c r="J702" s="5">
        <f>VLOOKUP(B702,Bookings!B:H,7,FALSE())</f>
        <v>25.83</v>
      </c>
      <c r="K702" s="5" t="str">
        <f t="shared" si="1"/>
        <v>Long</v>
      </c>
      <c r="L702" s="11">
        <f t="array" ref="L702">IFERROR(INDEX(Bookings!$K:$K,MATCH(A702,Bookings!$A:$A,0)),"")</f>
        <v>49207</v>
      </c>
      <c r="M702" s="5" t="str">
        <f t="shared" si="2"/>
        <v>High</v>
      </c>
      <c r="N702" s="5">
        <f t="array" ref="N702">IFERROR(INDEX(Bookings!$I:$I,MATCH(A702,Bookings!$A:$A,0)),"")</f>
        <v>38</v>
      </c>
      <c r="O702" s="5" t="str">
        <f t="shared" si="3"/>
        <v>Advance</v>
      </c>
      <c r="P702" s="5" t="str">
        <f t="shared" si="4"/>
        <v>Kolkata -&gt; Hyderabad</v>
      </c>
    </row>
    <row r="703" ht="15.75" customHeight="1">
      <c r="A703" s="5" t="s">
        <v>2220</v>
      </c>
      <c r="B703" s="5" t="s">
        <v>1393</v>
      </c>
      <c r="C703" s="5" t="s">
        <v>533</v>
      </c>
      <c r="D703" s="5" t="s">
        <v>45</v>
      </c>
      <c r="E703" s="6" t="str">
        <f t="array" ref="E703">IFERROR(INDEX(Airlines!$B:$B,MATCH(D703,Airlines!$A:$A,0)),"")</f>
        <v>Air_India</v>
      </c>
      <c r="F703" s="6" t="str">
        <f>VLOOKUP(A703,Bookings!$A:$F,6,FALSE())</f>
        <v>Economy</v>
      </c>
      <c r="G703" s="6" t="str">
        <f t="array" ref="G703">IFERROR(INDEX(Flights!$E:$E,MATCH(B703,Flights!$A:$A,0)),"")</f>
        <v>Kolkata</v>
      </c>
      <c r="H703" s="6" t="str">
        <f>VLOOKUP(B703,Flights!A:H,6,FALSE())</f>
        <v>Hyderabad</v>
      </c>
      <c r="I703" s="6" t="str">
        <f t="array" ref="I703">IFERROR(INDEX(Bookings!$G:$G,MATCH(B703,Bookings!$B:$B,0)),"")</f>
        <v>1</v>
      </c>
      <c r="J703" s="5">
        <f>VLOOKUP(B703,Bookings!B:H,7,FALSE())</f>
        <v>19</v>
      </c>
      <c r="K703" s="5" t="str">
        <f t="shared" si="1"/>
        <v>Long</v>
      </c>
      <c r="L703" s="11">
        <f t="array" ref="L703">IFERROR(INDEX(Bookings!$K:$K,MATCH(A703,Bookings!$A:$A,0)),"")</f>
        <v>5670</v>
      </c>
      <c r="M703" s="5" t="str">
        <f t="shared" si="2"/>
        <v>Medium</v>
      </c>
      <c r="N703" s="5">
        <f t="array" ref="N703">IFERROR(INDEX(Bookings!$I:$I,MATCH(A703,Bookings!$A:$A,0)),"")</f>
        <v>31</v>
      </c>
      <c r="O703" s="5" t="str">
        <f t="shared" si="3"/>
        <v>Advance</v>
      </c>
      <c r="P703" s="5" t="str">
        <f t="shared" si="4"/>
        <v>Kolkata -&gt; Hyderabad</v>
      </c>
    </row>
    <row r="704" ht="15.75" customHeight="1">
      <c r="A704" s="5" t="s">
        <v>2222</v>
      </c>
      <c r="B704" s="5" t="s">
        <v>1491</v>
      </c>
      <c r="C704" s="5" t="s">
        <v>533</v>
      </c>
      <c r="D704" s="5" t="s">
        <v>45</v>
      </c>
      <c r="E704" s="6" t="str">
        <f t="array" ref="E704">IFERROR(INDEX(Airlines!$B:$B,MATCH(D704,Airlines!$A:$A,0)),"")</f>
        <v>Air_India</v>
      </c>
      <c r="F704" s="6" t="str">
        <f>VLOOKUP(A704,Bookings!$A:$F,6,FALSE())</f>
        <v>Economy</v>
      </c>
      <c r="G704" s="6" t="str">
        <f t="array" ref="G704">IFERROR(INDEX(Flights!$E:$E,MATCH(B704,Flights!$A:$A,0)),"")</f>
        <v>Kolkata</v>
      </c>
      <c r="H704" s="6" t="str">
        <f>VLOOKUP(B704,Flights!A:H,6,FALSE())</f>
        <v>Hyderabad</v>
      </c>
      <c r="I704" s="6" t="str">
        <f t="array" ref="I704">IFERROR(INDEX(Bookings!$G:$G,MATCH(B704,Bookings!$B:$B,0)),"")</f>
        <v>1</v>
      </c>
      <c r="J704" s="5">
        <f>VLOOKUP(B704,Bookings!B:H,7,FALSE())</f>
        <v>14</v>
      </c>
      <c r="K704" s="5" t="str">
        <f t="shared" si="1"/>
        <v>Long</v>
      </c>
      <c r="L704" s="11">
        <f t="array" ref="L704">IFERROR(INDEX(Bookings!$K:$K,MATCH(A704,Bookings!$A:$A,0)),"")</f>
        <v>4724</v>
      </c>
      <c r="M704" s="5" t="str">
        <f t="shared" si="2"/>
        <v>Medium</v>
      </c>
      <c r="N704" s="5">
        <f t="array" ref="N704">IFERROR(INDEX(Bookings!$I:$I,MATCH(A704,Bookings!$A:$A,0)),"")</f>
        <v>33</v>
      </c>
      <c r="O704" s="5" t="str">
        <f t="shared" si="3"/>
        <v>Advance</v>
      </c>
      <c r="P704" s="5" t="str">
        <f t="shared" si="4"/>
        <v>Kolkata -&gt; Hyderabad</v>
      </c>
    </row>
    <row r="705" ht="15.75" customHeight="1">
      <c r="A705" s="5" t="s">
        <v>2223</v>
      </c>
      <c r="B705" s="5" t="s">
        <v>1470</v>
      </c>
      <c r="C705" s="5" t="s">
        <v>533</v>
      </c>
      <c r="D705" s="5" t="s">
        <v>45</v>
      </c>
      <c r="E705" s="6" t="str">
        <f t="array" ref="E705">IFERROR(INDEX(Airlines!$B:$B,MATCH(D705,Airlines!$A:$A,0)),"")</f>
        <v>Air_India</v>
      </c>
      <c r="F705" s="6" t="str">
        <f>VLOOKUP(A705,Bookings!$A:$F,6,FALSE())</f>
        <v>Economy</v>
      </c>
      <c r="G705" s="6" t="str">
        <f t="array" ref="G705">IFERROR(INDEX(Flights!$E:$E,MATCH(B705,Flights!$A:$A,0)),"")</f>
        <v>Kolkata</v>
      </c>
      <c r="H705" s="6" t="str">
        <f>VLOOKUP(B705,Flights!A:H,6,FALSE())</f>
        <v>Hyderabad</v>
      </c>
      <c r="I705" s="6" t="str">
        <f t="array" ref="I705">IFERROR(INDEX(Bookings!$G:$G,MATCH(B705,Bookings!$B:$B,0)),"")</f>
        <v>2+</v>
      </c>
      <c r="J705" s="5">
        <f>VLOOKUP(B705,Bookings!B:H,7,FALSE())</f>
        <v>17.25</v>
      </c>
      <c r="K705" s="5" t="str">
        <f t="shared" si="1"/>
        <v>Long</v>
      </c>
      <c r="L705" s="11">
        <f t="array" ref="L705">IFERROR(INDEX(Bookings!$K:$K,MATCH(A705,Bookings!$A:$A,0)),"")</f>
        <v>7176</v>
      </c>
      <c r="M705" s="5" t="str">
        <f t="shared" si="2"/>
        <v>Medium</v>
      </c>
      <c r="N705" s="5">
        <f t="array" ref="N705">IFERROR(INDEX(Bookings!$I:$I,MATCH(A705,Bookings!$A:$A,0)),"")</f>
        <v>40</v>
      </c>
      <c r="O705" s="5" t="str">
        <f t="shared" si="3"/>
        <v>Advance</v>
      </c>
      <c r="P705" s="5" t="str">
        <f t="shared" si="4"/>
        <v>Kolkata -&gt; Hyderabad</v>
      </c>
    </row>
    <row r="706" ht="15.75" customHeight="1">
      <c r="A706" s="5" t="s">
        <v>2224</v>
      </c>
      <c r="B706" s="5" t="s">
        <v>1392</v>
      </c>
      <c r="C706" s="5" t="s">
        <v>533</v>
      </c>
      <c r="D706" s="5" t="s">
        <v>45</v>
      </c>
      <c r="E706" s="6" t="str">
        <f t="array" ref="E706">IFERROR(INDEX(Airlines!$B:$B,MATCH(D706,Airlines!$A:$A,0)),"")</f>
        <v>Air_India</v>
      </c>
      <c r="F706" s="6" t="str">
        <f>VLOOKUP(A706,Bookings!$A:$F,6,FALSE())</f>
        <v>Economy</v>
      </c>
      <c r="G706" s="6" t="str">
        <f t="array" ref="G706">IFERROR(INDEX(Flights!$E:$E,MATCH(B706,Flights!$A:$A,0)),"")</f>
        <v>Kolkata</v>
      </c>
      <c r="H706" s="6" t="str">
        <f>VLOOKUP(B706,Flights!A:H,6,FALSE())</f>
        <v>Hyderabad</v>
      </c>
      <c r="I706" s="6" t="str">
        <f t="array" ref="I706">IFERROR(INDEX(Bookings!$G:$G,MATCH(B706,Bookings!$B:$B,0)),"")</f>
        <v>1</v>
      </c>
      <c r="J706" s="5">
        <f>VLOOKUP(B706,Bookings!B:H,7,FALSE())</f>
        <v>22.83</v>
      </c>
      <c r="K706" s="5" t="str">
        <f t="shared" si="1"/>
        <v>Long</v>
      </c>
      <c r="L706" s="11">
        <f t="array" ref="L706">IFERROR(INDEX(Bookings!$K:$K,MATCH(A706,Bookings!$A:$A,0)),"")</f>
        <v>4724</v>
      </c>
      <c r="M706" s="5" t="str">
        <f t="shared" si="2"/>
        <v>Medium</v>
      </c>
      <c r="N706" s="5">
        <f t="array" ref="N706">IFERROR(INDEX(Bookings!$I:$I,MATCH(A706,Bookings!$A:$A,0)),"")</f>
        <v>33</v>
      </c>
      <c r="O706" s="5" t="str">
        <f t="shared" si="3"/>
        <v>Advance</v>
      </c>
      <c r="P706" s="5" t="str">
        <f t="shared" si="4"/>
        <v>Kolkata -&gt; Hyderabad</v>
      </c>
    </row>
    <row r="707" ht="15.75" customHeight="1">
      <c r="A707" s="5" t="s">
        <v>2225</v>
      </c>
      <c r="B707" s="5" t="s">
        <v>1422</v>
      </c>
      <c r="C707" s="5" t="s">
        <v>533</v>
      </c>
      <c r="D707" s="5" t="s">
        <v>45</v>
      </c>
      <c r="E707" s="6" t="str">
        <f t="array" ref="E707">IFERROR(INDEX(Airlines!$B:$B,MATCH(D707,Airlines!$A:$A,0)),"")</f>
        <v>Air_India</v>
      </c>
      <c r="F707" s="6" t="str">
        <f>VLOOKUP(A707,Bookings!$A:$F,6,FALSE())</f>
        <v>Economy</v>
      </c>
      <c r="G707" s="6" t="str">
        <f t="array" ref="G707">IFERROR(INDEX(Flights!$E:$E,MATCH(B707,Flights!$A:$A,0)),"")</f>
        <v>Kolkata</v>
      </c>
      <c r="H707" s="6" t="str">
        <f>VLOOKUP(B707,Flights!A:H,6,FALSE())</f>
        <v>Hyderabad</v>
      </c>
      <c r="I707" s="6" t="str">
        <f t="array" ref="I707">IFERROR(INDEX(Bookings!$G:$G,MATCH(B707,Bookings!$B:$B,0)),"")</f>
        <v>1</v>
      </c>
      <c r="J707" s="5">
        <f>VLOOKUP(B707,Bookings!B:H,7,FALSE())</f>
        <v>13.17</v>
      </c>
      <c r="K707" s="5" t="str">
        <f t="shared" si="1"/>
        <v>Long</v>
      </c>
      <c r="L707" s="11">
        <f t="array" ref="L707">IFERROR(INDEX(Bookings!$K:$K,MATCH(A707,Bookings!$A:$A,0)),"")</f>
        <v>7847</v>
      </c>
      <c r="M707" s="5" t="str">
        <f t="shared" si="2"/>
        <v>Medium</v>
      </c>
      <c r="N707" s="5">
        <f t="array" ref="N707">IFERROR(INDEX(Bookings!$I:$I,MATCH(A707,Bookings!$A:$A,0)),"")</f>
        <v>45</v>
      </c>
      <c r="O707" s="5" t="str">
        <f t="shared" si="3"/>
        <v>Advance</v>
      </c>
      <c r="P707" s="5" t="str">
        <f t="shared" si="4"/>
        <v>Kolkata -&gt; Hyderabad</v>
      </c>
    </row>
    <row r="708" ht="15.75" customHeight="1">
      <c r="A708" s="5" t="s">
        <v>2226</v>
      </c>
      <c r="B708" s="5" t="s">
        <v>1477</v>
      </c>
      <c r="C708" s="5" t="s">
        <v>533</v>
      </c>
      <c r="D708" s="5" t="s">
        <v>43</v>
      </c>
      <c r="E708" s="6" t="str">
        <f t="array" ref="E708">IFERROR(INDEX(Airlines!$B:$B,MATCH(D708,Airlines!$A:$A,0)),"")</f>
        <v>Indigo</v>
      </c>
      <c r="F708" s="6" t="str">
        <f>VLOOKUP(A708,Bookings!$A:$F,6,FALSE())</f>
        <v>Economy</v>
      </c>
      <c r="G708" s="6" t="str">
        <f t="array" ref="G708">IFERROR(INDEX(Flights!$E:$E,MATCH(B708,Flights!$A:$A,0)),"")</f>
        <v>Kolkata</v>
      </c>
      <c r="H708" s="6" t="str">
        <f>VLOOKUP(B708,Flights!A:H,6,FALSE())</f>
        <v>Hyderabad</v>
      </c>
      <c r="I708" s="6">
        <f t="array" ref="I708">IFERROR(INDEX(Bookings!$G:$G,MATCH(B708,Bookings!$B:$B,0)),"")</f>
        <v>1</v>
      </c>
      <c r="J708" s="5">
        <f>VLOOKUP(B708,Bookings!B:H,7,FALSE())</f>
        <v>6.25</v>
      </c>
      <c r="K708" s="5" t="str">
        <f t="shared" si="1"/>
        <v>Medium</v>
      </c>
      <c r="L708" s="11">
        <f t="array" ref="L708">IFERROR(INDEX(Bookings!$K:$K,MATCH(A708,Bookings!$A:$A,0)),"")</f>
        <v>5850</v>
      </c>
      <c r="M708" s="5" t="str">
        <f t="shared" si="2"/>
        <v>Medium</v>
      </c>
      <c r="N708" s="5">
        <f t="array" ref="N708">IFERROR(INDEX(Bookings!$I:$I,MATCH(A708,Bookings!$A:$A,0)),"")</f>
        <v>38</v>
      </c>
      <c r="O708" s="5" t="str">
        <f t="shared" si="3"/>
        <v>Advance</v>
      </c>
      <c r="P708" s="5" t="str">
        <f t="shared" si="4"/>
        <v>Kolkata -&gt; Hyderabad</v>
      </c>
    </row>
    <row r="709" ht="15.75" customHeight="1">
      <c r="A709" s="5" t="s">
        <v>2227</v>
      </c>
      <c r="B709" s="5" t="s">
        <v>1426</v>
      </c>
      <c r="C709" s="5" t="s">
        <v>533</v>
      </c>
      <c r="D709" s="5" t="s">
        <v>45</v>
      </c>
      <c r="E709" s="6" t="str">
        <f t="array" ref="E709">IFERROR(INDEX(Airlines!$B:$B,MATCH(D709,Airlines!$A:$A,0)),"")</f>
        <v>Air_India</v>
      </c>
      <c r="F709" s="6" t="str">
        <f>VLOOKUP(A709,Bookings!$A:$F,6,FALSE())</f>
        <v>Economy</v>
      </c>
      <c r="G709" s="6" t="str">
        <f t="array" ref="G709">IFERROR(INDEX(Flights!$E:$E,MATCH(B709,Flights!$A:$A,0)),"")</f>
        <v>Kolkata</v>
      </c>
      <c r="H709" s="6" t="str">
        <f>VLOOKUP(B709,Flights!A:H,6,FALSE())</f>
        <v>Hyderabad</v>
      </c>
      <c r="I709" s="6" t="str">
        <f t="array" ref="I709">IFERROR(INDEX(Bookings!$G:$G,MATCH(B709,Bookings!$B:$B,0)),"")</f>
        <v>1</v>
      </c>
      <c r="J709" s="5">
        <f>VLOOKUP(B709,Bookings!B:H,7,FALSE())</f>
        <v>11.92</v>
      </c>
      <c r="K709" s="5" t="str">
        <f t="shared" si="1"/>
        <v>Long</v>
      </c>
      <c r="L709" s="11">
        <f t="array" ref="L709">IFERROR(INDEX(Bookings!$K:$K,MATCH(A709,Bookings!$A:$A,0)),"")</f>
        <v>5456</v>
      </c>
      <c r="M709" s="5" t="str">
        <f t="shared" si="2"/>
        <v>Medium</v>
      </c>
      <c r="N709" s="5">
        <f t="array" ref="N709">IFERROR(INDEX(Bookings!$I:$I,MATCH(A709,Bookings!$A:$A,0)),"")</f>
        <v>39</v>
      </c>
      <c r="O709" s="5" t="str">
        <f t="shared" si="3"/>
        <v>Advance</v>
      </c>
      <c r="P709" s="5" t="str">
        <f t="shared" si="4"/>
        <v>Kolkata -&gt; Hyderabad</v>
      </c>
    </row>
    <row r="710" ht="15.75" customHeight="1">
      <c r="A710" s="5" t="s">
        <v>2228</v>
      </c>
      <c r="B710" s="5" t="s">
        <v>1398</v>
      </c>
      <c r="C710" s="5" t="s">
        <v>533</v>
      </c>
      <c r="D710" s="5" t="s">
        <v>45</v>
      </c>
      <c r="E710" s="6" t="str">
        <f t="array" ref="E710">IFERROR(INDEX(Airlines!$B:$B,MATCH(D710,Airlines!$A:$A,0)),"")</f>
        <v>Air_India</v>
      </c>
      <c r="F710" s="6" t="str">
        <f>VLOOKUP(A710,Bookings!$A:$F,6,FALSE())</f>
        <v>Economy</v>
      </c>
      <c r="G710" s="6" t="str">
        <f t="array" ref="G710">IFERROR(INDEX(Flights!$E:$E,MATCH(B710,Flights!$A:$A,0)),"")</f>
        <v>Kolkata</v>
      </c>
      <c r="H710" s="6" t="str">
        <f>VLOOKUP(B710,Flights!A:H,6,FALSE())</f>
        <v>Hyderabad</v>
      </c>
      <c r="I710" s="6" t="str">
        <f t="array" ref="I710">IFERROR(INDEX(Bookings!$G:$G,MATCH(B710,Bookings!$B:$B,0)),"")</f>
        <v>1</v>
      </c>
      <c r="J710" s="5">
        <f>VLOOKUP(B710,Bookings!B:H,7,FALSE())</f>
        <v>27.5</v>
      </c>
      <c r="K710" s="5" t="str">
        <f t="shared" si="1"/>
        <v>Long</v>
      </c>
      <c r="L710" s="11">
        <f t="array" ref="L710">IFERROR(INDEX(Bookings!$K:$K,MATCH(A710,Bookings!$A:$A,0)),"")</f>
        <v>4724</v>
      </c>
      <c r="M710" s="5" t="str">
        <f t="shared" si="2"/>
        <v>Medium</v>
      </c>
      <c r="N710" s="5">
        <f t="array" ref="N710">IFERROR(INDEX(Bookings!$I:$I,MATCH(A710,Bookings!$A:$A,0)),"")</f>
        <v>18</v>
      </c>
      <c r="O710" s="5" t="str">
        <f t="shared" si="3"/>
        <v>Moderate</v>
      </c>
      <c r="P710" s="5" t="str">
        <f t="shared" si="4"/>
        <v>Kolkata -&gt; Hyderabad</v>
      </c>
    </row>
    <row r="711" ht="15.75" customHeight="1">
      <c r="A711" s="5" t="s">
        <v>2229</v>
      </c>
      <c r="B711" s="5" t="s">
        <v>1488</v>
      </c>
      <c r="C711" s="5" t="s">
        <v>533</v>
      </c>
      <c r="D711" s="5" t="s">
        <v>45</v>
      </c>
      <c r="E711" s="6" t="str">
        <f t="array" ref="E711">IFERROR(INDEX(Airlines!$B:$B,MATCH(D711,Airlines!$A:$A,0)),"")</f>
        <v>Air_India</v>
      </c>
      <c r="F711" s="6" t="str">
        <f>VLOOKUP(A711,Bookings!$A:$F,6,FALSE())</f>
        <v>Economy</v>
      </c>
      <c r="G711" s="6" t="str">
        <f t="array" ref="G711">IFERROR(INDEX(Flights!$E:$E,MATCH(B711,Flights!$A:$A,0)),"")</f>
        <v>Kolkata</v>
      </c>
      <c r="H711" s="6" t="str">
        <f>VLOOKUP(B711,Flights!A:H,6,FALSE())</f>
        <v>Hyderabad</v>
      </c>
      <c r="I711" s="6" t="str">
        <f t="array" ref="I711">IFERROR(INDEX(Bookings!$G:$G,MATCH(B711,Bookings!$B:$B,0)),"")</f>
        <v>1</v>
      </c>
      <c r="J711" s="5">
        <f>VLOOKUP(B711,Bookings!B:H,7,FALSE())</f>
        <v>12.33</v>
      </c>
      <c r="K711" s="5" t="str">
        <f t="shared" si="1"/>
        <v>Long</v>
      </c>
      <c r="L711" s="11">
        <f t="array" ref="L711">IFERROR(INDEX(Bookings!$K:$K,MATCH(A711,Bookings!$A:$A,0)),"")</f>
        <v>5565</v>
      </c>
      <c r="M711" s="5" t="str">
        <f t="shared" si="2"/>
        <v>Medium</v>
      </c>
      <c r="N711" s="5">
        <f t="array" ref="N711">IFERROR(INDEX(Bookings!$I:$I,MATCH(A711,Bookings!$A:$A,0)),"")</f>
        <v>35</v>
      </c>
      <c r="O711" s="5" t="str">
        <f t="shared" si="3"/>
        <v>Advance</v>
      </c>
      <c r="P711" s="5" t="str">
        <f t="shared" si="4"/>
        <v>Kolkata -&gt; Hyderabad</v>
      </c>
    </row>
    <row r="712" ht="15.75" customHeight="1">
      <c r="A712" s="5" t="s">
        <v>2230</v>
      </c>
      <c r="B712" s="5" t="s">
        <v>1450</v>
      </c>
      <c r="C712" s="5" t="s">
        <v>533</v>
      </c>
      <c r="D712" s="5" t="s">
        <v>45</v>
      </c>
      <c r="E712" s="6" t="str">
        <f t="array" ref="E712">IFERROR(INDEX(Airlines!$B:$B,MATCH(D712,Airlines!$A:$A,0)),"")</f>
        <v>Air_India</v>
      </c>
      <c r="F712" s="6" t="str">
        <f>VLOOKUP(A712,Bookings!$A:$F,6,FALSE())</f>
        <v>Economy</v>
      </c>
      <c r="G712" s="6" t="str">
        <f t="array" ref="G712">IFERROR(INDEX(Flights!$E:$E,MATCH(B712,Flights!$A:$A,0)),"")</f>
        <v>Kolkata</v>
      </c>
      <c r="H712" s="6" t="str">
        <f>VLOOKUP(B712,Flights!A:H,6,FALSE())</f>
        <v>Hyderabad</v>
      </c>
      <c r="I712" s="6" t="str">
        <f t="array" ref="I712">IFERROR(INDEX(Bookings!$G:$G,MATCH(B712,Bookings!$B:$B,0)),"")</f>
        <v>1</v>
      </c>
      <c r="J712" s="5">
        <f>VLOOKUP(B712,Bookings!B:H,7,FALSE())</f>
        <v>27.83</v>
      </c>
      <c r="K712" s="5" t="str">
        <f t="shared" si="1"/>
        <v>Long</v>
      </c>
      <c r="L712" s="11">
        <f t="array" ref="L712">IFERROR(INDEX(Bookings!$K:$K,MATCH(A712,Bookings!$A:$A,0)),"")</f>
        <v>12054</v>
      </c>
      <c r="M712" s="5" t="str">
        <f t="shared" si="2"/>
        <v>Medium</v>
      </c>
      <c r="N712" s="5">
        <f t="array" ref="N712">IFERROR(INDEX(Bookings!$I:$I,MATCH(A712,Bookings!$A:$A,0)),"")</f>
        <v>7</v>
      </c>
      <c r="O712" s="5" t="str">
        <f t="shared" si="3"/>
        <v>Last Minute</v>
      </c>
      <c r="P712" s="5" t="str">
        <f t="shared" si="4"/>
        <v>Kolkata -&gt; Hyderabad</v>
      </c>
    </row>
    <row r="713" ht="15.75" customHeight="1">
      <c r="A713" s="5" t="s">
        <v>2231</v>
      </c>
      <c r="B713" s="5" t="s">
        <v>1405</v>
      </c>
      <c r="C713" s="5" t="s">
        <v>533</v>
      </c>
      <c r="D713" s="5" t="s">
        <v>45</v>
      </c>
      <c r="E713" s="6" t="str">
        <f t="array" ref="E713">IFERROR(INDEX(Airlines!$B:$B,MATCH(D713,Airlines!$A:$A,0)),"")</f>
        <v>Air_India</v>
      </c>
      <c r="F713" s="6" t="str">
        <f>VLOOKUP(A713,Bookings!$A:$F,6,FALSE())</f>
        <v>Economy</v>
      </c>
      <c r="G713" s="6" t="str">
        <f t="array" ref="G713">IFERROR(INDEX(Flights!$E:$E,MATCH(B713,Flights!$A:$A,0)),"")</f>
        <v>Kolkata</v>
      </c>
      <c r="H713" s="6" t="str">
        <f>VLOOKUP(B713,Flights!A:H,6,FALSE())</f>
        <v>Hyderabad</v>
      </c>
      <c r="I713" s="6" t="str">
        <f t="array" ref="I713">IFERROR(INDEX(Bookings!$G:$G,MATCH(B713,Bookings!$B:$B,0)),"")</f>
        <v>1</v>
      </c>
      <c r="J713" s="5">
        <f>VLOOKUP(B713,Bookings!B:H,7,FALSE())</f>
        <v>24.83</v>
      </c>
      <c r="K713" s="5" t="str">
        <f t="shared" si="1"/>
        <v>Long</v>
      </c>
      <c r="L713" s="11">
        <f t="array" ref="L713">IFERROR(INDEX(Bookings!$K:$K,MATCH(A713,Bookings!$A:$A,0)),"")</f>
        <v>15165</v>
      </c>
      <c r="M713" s="5" t="str">
        <f t="shared" si="2"/>
        <v>Medium</v>
      </c>
      <c r="N713" s="5">
        <f t="array" ref="N713">IFERROR(INDEX(Bookings!$I:$I,MATCH(A713,Bookings!$A:$A,0)),"")</f>
        <v>3</v>
      </c>
      <c r="O713" s="5" t="str">
        <f t="shared" si="3"/>
        <v>Last Minute</v>
      </c>
      <c r="P713" s="5" t="str">
        <f t="shared" si="4"/>
        <v>Kolkata -&gt; Hyderabad</v>
      </c>
    </row>
    <row r="714" ht="15.75" customHeight="1">
      <c r="A714" s="5" t="s">
        <v>2233</v>
      </c>
      <c r="B714" s="5" t="s">
        <v>1442</v>
      </c>
      <c r="C714" s="5" t="s">
        <v>533</v>
      </c>
      <c r="D714" s="5" t="s">
        <v>20</v>
      </c>
      <c r="E714" s="6" t="str">
        <f t="array" ref="E714">IFERROR(INDEX(Airlines!$B:$B,MATCH(D714,Airlines!$A:$A,0)),"")</f>
        <v>Vistara</v>
      </c>
      <c r="F714" s="6" t="str">
        <f>VLOOKUP(A714,Bookings!$A:$F,6,FALSE())</f>
        <v>Economy</v>
      </c>
      <c r="G714" s="6" t="str">
        <f t="array" ref="G714">IFERROR(INDEX(Flights!$E:$E,MATCH(B714,Flights!$A:$A,0)),"")</f>
        <v>Kolkata</v>
      </c>
      <c r="H714" s="6" t="str">
        <f>VLOOKUP(B714,Flights!A:H,6,FALSE())</f>
        <v>Hyderabad</v>
      </c>
      <c r="I714" s="6" t="str">
        <f t="array" ref="I714">IFERROR(INDEX(Bookings!$G:$G,MATCH(B714,Bookings!$B:$B,0)),"")</f>
        <v>1</v>
      </c>
      <c r="J714" s="5">
        <f>VLOOKUP(B714,Bookings!B:H,7,FALSE())</f>
        <v>12.5</v>
      </c>
      <c r="K714" s="5" t="str">
        <f t="shared" si="1"/>
        <v>Long</v>
      </c>
      <c r="L714" s="11">
        <f t="array" ref="L714">IFERROR(INDEX(Bookings!$K:$K,MATCH(A714,Bookings!$A:$A,0)),"")</f>
        <v>19539</v>
      </c>
      <c r="M714" s="5" t="str">
        <f t="shared" si="2"/>
        <v>High</v>
      </c>
      <c r="N714" s="5">
        <f t="array" ref="N714">IFERROR(INDEX(Bookings!$I:$I,MATCH(A714,Bookings!$A:$A,0)),"")</f>
        <v>7</v>
      </c>
      <c r="O714" s="5" t="str">
        <f t="shared" si="3"/>
        <v>Last Minute</v>
      </c>
      <c r="P714" s="5" t="str">
        <f t="shared" si="4"/>
        <v>Kolkata -&gt; Hyderabad</v>
      </c>
    </row>
    <row r="715" ht="15.75" customHeight="1">
      <c r="A715" s="5" t="s">
        <v>2235</v>
      </c>
      <c r="B715" s="5" t="s">
        <v>1474</v>
      </c>
      <c r="C715" s="5" t="s">
        <v>533</v>
      </c>
      <c r="D715" s="5" t="s">
        <v>45</v>
      </c>
      <c r="E715" s="6" t="str">
        <f t="array" ref="E715">IFERROR(INDEX(Airlines!$B:$B,MATCH(D715,Airlines!$A:$A,0)),"")</f>
        <v>Air_India</v>
      </c>
      <c r="F715" s="6" t="str">
        <f>VLOOKUP(A715,Bookings!$A:$F,6,FALSE())</f>
        <v>Economy</v>
      </c>
      <c r="G715" s="6" t="str">
        <f t="array" ref="G715">IFERROR(INDEX(Flights!$E:$E,MATCH(B715,Flights!$A:$A,0)),"")</f>
        <v>Kolkata</v>
      </c>
      <c r="H715" s="6" t="str">
        <f>VLOOKUP(B715,Flights!A:H,6,FALSE())</f>
        <v>Hyderabad</v>
      </c>
      <c r="I715" s="6">
        <f t="array" ref="I715">IFERROR(INDEX(Bookings!$G:$G,MATCH(B715,Bookings!$B:$B,0)),"")</f>
        <v>1</v>
      </c>
      <c r="J715" s="5">
        <f>VLOOKUP(B715,Bookings!B:H,7,FALSE())</f>
        <v>13.17</v>
      </c>
      <c r="K715" s="5" t="str">
        <f t="shared" si="1"/>
        <v>Long</v>
      </c>
      <c r="L715" s="11">
        <f t="array" ref="L715">IFERROR(INDEX(Bookings!$K:$K,MATCH(A715,Bookings!$A:$A,0)),"")</f>
        <v>4489</v>
      </c>
      <c r="M715" s="5" t="str">
        <f t="shared" si="2"/>
        <v>Low</v>
      </c>
      <c r="N715" s="5">
        <f t="array" ref="N715">IFERROR(INDEX(Bookings!$I:$I,MATCH(A715,Bookings!$A:$A,0)),"")</f>
        <v>38</v>
      </c>
      <c r="O715" s="5" t="str">
        <f t="shared" si="3"/>
        <v>Advance</v>
      </c>
      <c r="P715" s="5" t="str">
        <f t="shared" si="4"/>
        <v>Kolkata -&gt; Hyderabad</v>
      </c>
    </row>
    <row r="716" ht="15.75" customHeight="1">
      <c r="A716" s="5" t="s">
        <v>2237</v>
      </c>
      <c r="B716" s="5" t="s">
        <v>1485</v>
      </c>
      <c r="C716" s="5" t="s">
        <v>533</v>
      </c>
      <c r="D716" s="5" t="s">
        <v>45</v>
      </c>
      <c r="E716" s="6" t="str">
        <f t="array" ref="E716">IFERROR(INDEX(Airlines!$B:$B,MATCH(D716,Airlines!$A:$A,0)),"")</f>
        <v>Air_India</v>
      </c>
      <c r="F716" s="6" t="str">
        <f>VLOOKUP(A716,Bookings!$A:$F,6,FALSE())</f>
        <v>Business</v>
      </c>
      <c r="G716" s="6" t="str">
        <f t="array" ref="G716">IFERROR(INDEX(Flights!$E:$E,MATCH(B716,Flights!$A:$A,0)),"")</f>
        <v>Kolkata</v>
      </c>
      <c r="H716" s="6" t="str">
        <f>VLOOKUP(B716,Flights!A:H,6,FALSE())</f>
        <v>Hyderabad</v>
      </c>
      <c r="I716" s="6" t="str">
        <f t="array" ref="I716">IFERROR(INDEX(Bookings!$G:$G,MATCH(B716,Bookings!$B:$B,0)),"")</f>
        <v>1</v>
      </c>
      <c r="J716" s="5">
        <f>VLOOKUP(B716,Bookings!B:H,7,FALSE())</f>
        <v>9.58</v>
      </c>
      <c r="K716" s="5" t="str">
        <f t="shared" si="1"/>
        <v>Medium</v>
      </c>
      <c r="L716" s="11">
        <f t="array" ref="L716">IFERROR(INDEX(Bookings!$K:$K,MATCH(A716,Bookings!$A:$A,0)),"")</f>
        <v>37016</v>
      </c>
      <c r="M716" s="5" t="str">
        <f t="shared" si="2"/>
        <v>High</v>
      </c>
      <c r="N716" s="5">
        <f t="array" ref="N716">IFERROR(INDEX(Bookings!$I:$I,MATCH(A716,Bookings!$A:$A,0)),"")</f>
        <v>31</v>
      </c>
      <c r="O716" s="5" t="str">
        <f t="shared" si="3"/>
        <v>Advance</v>
      </c>
      <c r="P716" s="5" t="str">
        <f t="shared" si="4"/>
        <v>Kolkata -&gt; Hyderabad</v>
      </c>
    </row>
    <row r="717" ht="15.75" customHeight="1">
      <c r="A717" s="5" t="s">
        <v>2239</v>
      </c>
      <c r="B717" s="5" t="s">
        <v>1407</v>
      </c>
      <c r="C717" s="5" t="s">
        <v>533</v>
      </c>
      <c r="D717" s="5" t="s">
        <v>45</v>
      </c>
      <c r="E717" s="6" t="str">
        <f t="array" ref="E717">IFERROR(INDEX(Airlines!$B:$B,MATCH(D717,Airlines!$A:$A,0)),"")</f>
        <v>Air_India</v>
      </c>
      <c r="F717" s="6" t="str">
        <f>VLOOKUP(A717,Bookings!$A:$F,6,FALSE())</f>
        <v>Economy</v>
      </c>
      <c r="G717" s="6" t="str">
        <f t="array" ref="G717">IFERROR(INDEX(Flights!$E:$E,MATCH(B717,Flights!$A:$A,0)),"")</f>
        <v>Kolkata</v>
      </c>
      <c r="H717" s="6" t="str">
        <f>VLOOKUP(B717,Flights!A:H,6,FALSE())</f>
        <v>Hyderabad</v>
      </c>
      <c r="I717" s="6" t="str">
        <f t="array" ref="I717">IFERROR(INDEX(Bookings!$G:$G,MATCH(B717,Bookings!$B:$B,0)),"")</f>
        <v>2+</v>
      </c>
      <c r="J717" s="5">
        <f>VLOOKUP(B717,Bookings!B:H,7,FALSE())</f>
        <v>8.08</v>
      </c>
      <c r="K717" s="5" t="str">
        <f t="shared" si="1"/>
        <v>Medium</v>
      </c>
      <c r="L717" s="11">
        <f t="array" ref="L717">IFERROR(INDEX(Bookings!$K:$K,MATCH(A717,Bookings!$A:$A,0)),"")</f>
        <v>14154</v>
      </c>
      <c r="M717" s="5" t="str">
        <f t="shared" si="2"/>
        <v>Medium</v>
      </c>
      <c r="N717" s="5">
        <f t="array" ref="N717">IFERROR(INDEX(Bookings!$I:$I,MATCH(A717,Bookings!$A:$A,0)),"")</f>
        <v>10</v>
      </c>
      <c r="O717" s="5" t="str">
        <f t="shared" si="3"/>
        <v>Short Notice</v>
      </c>
      <c r="P717" s="5" t="str">
        <f t="shared" si="4"/>
        <v>Kolkata -&gt; Hyderabad</v>
      </c>
    </row>
    <row r="718" ht="15.75" customHeight="1">
      <c r="A718" s="5" t="s">
        <v>2240</v>
      </c>
      <c r="B718" s="5" t="s">
        <v>1414</v>
      </c>
      <c r="C718" s="5" t="s">
        <v>533</v>
      </c>
      <c r="D718" s="5" t="s">
        <v>29</v>
      </c>
      <c r="E718" s="6" t="str">
        <f t="array" ref="E718">IFERROR(INDEX(Airlines!$B:$B,MATCH(D718,Airlines!$A:$A,0)),"")</f>
        <v>AirAsia</v>
      </c>
      <c r="F718" s="6" t="str">
        <f>VLOOKUP(A718,Bookings!$A:$F,6,FALSE())</f>
        <v>Economy</v>
      </c>
      <c r="G718" s="6" t="str">
        <f t="array" ref="G718">IFERROR(INDEX(Flights!$E:$E,MATCH(B718,Flights!$A:$A,0)),"")</f>
        <v>Kolkata</v>
      </c>
      <c r="H718" s="6" t="str">
        <f>VLOOKUP(B718,Flights!A:H,6,FALSE())</f>
        <v>Hyderabad</v>
      </c>
      <c r="I718" s="6" t="str">
        <f t="array" ref="I718">IFERROR(INDEX(Bookings!$G:$G,MATCH(B718,Bookings!$B:$B,0)),"")</f>
        <v>1</v>
      </c>
      <c r="J718" s="5">
        <f>VLOOKUP(B718,Bookings!B:H,7,FALSE())</f>
        <v>5.92</v>
      </c>
      <c r="K718" s="5" t="str">
        <f t="shared" si="1"/>
        <v>Medium</v>
      </c>
      <c r="L718" s="11">
        <f t="array" ref="L718">IFERROR(INDEX(Bookings!$K:$K,MATCH(A718,Bookings!$A:$A,0)),"")</f>
        <v>4589</v>
      </c>
      <c r="M718" s="5" t="str">
        <f t="shared" si="2"/>
        <v>Low</v>
      </c>
      <c r="N718" s="5">
        <f t="array" ref="N718">IFERROR(INDEX(Bookings!$I:$I,MATCH(A718,Bookings!$A:$A,0)),"")</f>
        <v>46</v>
      </c>
      <c r="O718" s="5" t="str">
        <f t="shared" si="3"/>
        <v>Advance</v>
      </c>
      <c r="P718" s="5" t="str">
        <f t="shared" si="4"/>
        <v>Kolkata -&gt; Hyderabad</v>
      </c>
    </row>
    <row r="719" ht="15.75" customHeight="1">
      <c r="A719" s="5" t="s">
        <v>2243</v>
      </c>
      <c r="B719" s="5" t="s">
        <v>1456</v>
      </c>
      <c r="C719" s="5" t="s">
        <v>533</v>
      </c>
      <c r="D719" s="5" t="s">
        <v>45</v>
      </c>
      <c r="E719" s="6" t="str">
        <f t="array" ref="E719">IFERROR(INDEX(Airlines!$B:$B,MATCH(D719,Airlines!$A:$A,0)),"")</f>
        <v>Air_India</v>
      </c>
      <c r="F719" s="6" t="str">
        <f>VLOOKUP(A719,Bookings!$A:$F,6,FALSE())</f>
        <v>Economy</v>
      </c>
      <c r="G719" s="6" t="str">
        <f t="array" ref="G719">IFERROR(INDEX(Flights!$E:$E,MATCH(B719,Flights!$A:$A,0)),"")</f>
        <v>Kolkata</v>
      </c>
      <c r="H719" s="6" t="str">
        <f>VLOOKUP(B719,Flights!A:H,6,FALSE())</f>
        <v>Hyderabad</v>
      </c>
      <c r="I719" s="6" t="str">
        <f t="array" ref="I719">IFERROR(INDEX(Bookings!$G:$G,MATCH(B719,Bookings!$B:$B,0)),"")</f>
        <v>1</v>
      </c>
      <c r="J719" s="5">
        <f>VLOOKUP(B719,Bookings!B:H,7,FALSE())</f>
        <v>29.83</v>
      </c>
      <c r="K719" s="5" t="str">
        <f t="shared" si="1"/>
        <v>Long</v>
      </c>
      <c r="L719" s="11">
        <f t="array" ref="L719">IFERROR(INDEX(Bookings!$K:$K,MATCH(A719,Bookings!$A:$A,0)),"")</f>
        <v>4724</v>
      </c>
      <c r="M719" s="5" t="str">
        <f t="shared" si="2"/>
        <v>Medium</v>
      </c>
      <c r="N719" s="5">
        <f t="array" ref="N719">IFERROR(INDEX(Bookings!$I:$I,MATCH(A719,Bookings!$A:$A,0)),"")</f>
        <v>27</v>
      </c>
      <c r="O719" s="5" t="str">
        <f t="shared" si="3"/>
        <v>Moderate</v>
      </c>
      <c r="P719" s="5" t="str">
        <f t="shared" si="4"/>
        <v>Kolkata -&gt; Hyderabad</v>
      </c>
    </row>
    <row r="720" ht="15.75" customHeight="1">
      <c r="A720" s="5" t="s">
        <v>2245</v>
      </c>
      <c r="B720" s="5" t="s">
        <v>1493</v>
      </c>
      <c r="C720" s="5" t="s">
        <v>533</v>
      </c>
      <c r="D720" s="5" t="s">
        <v>20</v>
      </c>
      <c r="E720" s="6" t="str">
        <f t="array" ref="E720">IFERROR(INDEX(Airlines!$B:$B,MATCH(D720,Airlines!$A:$A,0)),"")</f>
        <v>Vistara</v>
      </c>
      <c r="F720" s="6" t="str">
        <f>VLOOKUP(A720,Bookings!$A:$F,6,FALSE())</f>
        <v>Economy</v>
      </c>
      <c r="G720" s="6" t="str">
        <f t="array" ref="G720">IFERROR(INDEX(Flights!$E:$E,MATCH(B720,Flights!$A:$A,0)),"")</f>
        <v>Kolkata</v>
      </c>
      <c r="H720" s="6" t="str">
        <f>VLOOKUP(B720,Flights!A:H,6,FALSE())</f>
        <v>Hyderabad</v>
      </c>
      <c r="I720" s="6" t="str">
        <f t="array" ref="I720">IFERROR(INDEX(Bookings!$G:$G,MATCH(B720,Bookings!$B:$B,0)),"")</f>
        <v>1</v>
      </c>
      <c r="J720" s="5">
        <f>VLOOKUP(B720,Bookings!B:H,7,FALSE())</f>
        <v>17.5</v>
      </c>
      <c r="K720" s="5" t="str">
        <f t="shared" si="1"/>
        <v>Long</v>
      </c>
      <c r="L720" s="11">
        <f t="array" ref="L720">IFERROR(INDEX(Bookings!$K:$K,MATCH(A720,Bookings!$A:$A,0)),"")</f>
        <v>14310</v>
      </c>
      <c r="M720" s="5" t="str">
        <f t="shared" si="2"/>
        <v>Medium</v>
      </c>
      <c r="N720" s="5">
        <f t="array" ref="N720">IFERROR(INDEX(Bookings!$I:$I,MATCH(A720,Bookings!$A:$A,0)),"")</f>
        <v>4</v>
      </c>
      <c r="O720" s="5" t="str">
        <f t="shared" si="3"/>
        <v>Last Minute</v>
      </c>
      <c r="P720" s="5" t="str">
        <f t="shared" si="4"/>
        <v>Kolkata -&gt; Hyderabad</v>
      </c>
    </row>
    <row r="721" ht="15.75" customHeight="1">
      <c r="A721" s="5" t="s">
        <v>2247</v>
      </c>
      <c r="B721" s="5" t="s">
        <v>1423</v>
      </c>
      <c r="C721" s="5" t="s">
        <v>533</v>
      </c>
      <c r="D721" s="5" t="s">
        <v>20</v>
      </c>
      <c r="E721" s="6" t="str">
        <f t="array" ref="E721">IFERROR(INDEX(Airlines!$B:$B,MATCH(D721,Airlines!$A:$A,0)),"")</f>
        <v>Vistara</v>
      </c>
      <c r="F721" s="6" t="str">
        <f>VLOOKUP(A721,Bookings!$A:$F,6,FALSE())</f>
        <v>Economy</v>
      </c>
      <c r="G721" s="6" t="str">
        <f t="array" ref="G721">IFERROR(INDEX(Flights!$E:$E,MATCH(B721,Flights!$A:$A,0)),"")</f>
        <v>Kolkata</v>
      </c>
      <c r="H721" s="6" t="str">
        <f>VLOOKUP(B721,Flights!A:H,6,FALSE())</f>
        <v>Hyderabad</v>
      </c>
      <c r="I721" s="6" t="str">
        <f t="array" ref="I721">IFERROR(INDEX(Bookings!$G:$G,MATCH(B721,Bookings!$B:$B,0)),"")</f>
        <v>1</v>
      </c>
      <c r="J721" s="5">
        <f>VLOOKUP(B721,Bookings!B:H,7,FALSE())</f>
        <v>21.42</v>
      </c>
      <c r="K721" s="5" t="str">
        <f t="shared" si="1"/>
        <v>Long</v>
      </c>
      <c r="L721" s="11">
        <f t="array" ref="L721">IFERROR(INDEX(Bookings!$K:$K,MATCH(A721,Bookings!$A:$A,0)),"")</f>
        <v>14469</v>
      </c>
      <c r="M721" s="5" t="str">
        <f t="shared" si="2"/>
        <v>Medium</v>
      </c>
      <c r="N721" s="5">
        <f t="array" ref="N721">IFERROR(INDEX(Bookings!$I:$I,MATCH(A721,Bookings!$A:$A,0)),"")</f>
        <v>4</v>
      </c>
      <c r="O721" s="5" t="str">
        <f t="shared" si="3"/>
        <v>Last Minute</v>
      </c>
      <c r="P721" s="5" t="str">
        <f t="shared" si="4"/>
        <v>Kolkata -&gt; Hyderabad</v>
      </c>
    </row>
    <row r="722" ht="15.75" customHeight="1">
      <c r="A722" s="5" t="s">
        <v>2250</v>
      </c>
      <c r="B722" s="5" t="s">
        <v>1429</v>
      </c>
      <c r="C722" s="5" t="s">
        <v>533</v>
      </c>
      <c r="D722" s="5" t="s">
        <v>45</v>
      </c>
      <c r="E722" s="6" t="str">
        <f t="array" ref="E722">IFERROR(INDEX(Airlines!$B:$B,MATCH(D722,Airlines!$A:$A,0)),"")</f>
        <v>Air_India</v>
      </c>
      <c r="F722" s="6" t="str">
        <f>VLOOKUP(A722,Bookings!$A:$F,6,FALSE())</f>
        <v>Business</v>
      </c>
      <c r="G722" s="6" t="str">
        <f t="array" ref="G722">IFERROR(INDEX(Flights!$E:$E,MATCH(B722,Flights!$A:$A,0)),"")</f>
        <v>Kolkata</v>
      </c>
      <c r="H722" s="6" t="str">
        <f>VLOOKUP(B722,Flights!A:H,6,FALSE())</f>
        <v>Hyderabad</v>
      </c>
      <c r="I722" s="6" t="str">
        <f t="array" ref="I722">IFERROR(INDEX(Bookings!$G:$G,MATCH(B722,Bookings!$B:$B,0)),"")</f>
        <v>1</v>
      </c>
      <c r="J722" s="5">
        <f>VLOOKUP(B722,Bookings!B:H,7,FALSE())</f>
        <v>25.08</v>
      </c>
      <c r="K722" s="5" t="str">
        <f t="shared" si="1"/>
        <v>Long</v>
      </c>
      <c r="L722" s="11">
        <f t="array" ref="L722">IFERROR(INDEX(Bookings!$K:$K,MATCH(A722,Bookings!$A:$A,0)),"")</f>
        <v>75382</v>
      </c>
      <c r="M722" s="5" t="str">
        <f t="shared" si="2"/>
        <v>High</v>
      </c>
      <c r="N722" s="5">
        <f t="array" ref="N722">IFERROR(INDEX(Bookings!$I:$I,MATCH(A722,Bookings!$A:$A,0)),"")</f>
        <v>4</v>
      </c>
      <c r="O722" s="5" t="str">
        <f t="shared" si="3"/>
        <v>Last Minute</v>
      </c>
      <c r="P722" s="5" t="str">
        <f t="shared" si="4"/>
        <v>Kolkata -&gt; Hyderabad</v>
      </c>
    </row>
    <row r="723" ht="15.75" customHeight="1">
      <c r="A723" s="5" t="s">
        <v>2251</v>
      </c>
      <c r="B723" s="5" t="s">
        <v>1495</v>
      </c>
      <c r="C723" s="5" t="s">
        <v>533</v>
      </c>
      <c r="D723" s="5" t="s">
        <v>29</v>
      </c>
      <c r="E723" s="6" t="str">
        <f t="array" ref="E723">IFERROR(INDEX(Airlines!$B:$B,MATCH(D723,Airlines!$A:$A,0)),"")</f>
        <v>AirAsia</v>
      </c>
      <c r="F723" s="6" t="str">
        <f>VLOOKUP(A723,Bookings!$A:$F,6,FALSE())</f>
        <v>Economy</v>
      </c>
      <c r="G723" s="6" t="str">
        <f t="array" ref="G723">IFERROR(INDEX(Flights!$E:$E,MATCH(B723,Flights!$A:$A,0)),"")</f>
        <v>Kolkata</v>
      </c>
      <c r="H723" s="6" t="str">
        <f>VLOOKUP(B723,Flights!A:H,6,FALSE())</f>
        <v>Hyderabad</v>
      </c>
      <c r="I723" s="6" t="str">
        <f t="array" ref="I723">IFERROR(INDEX(Bookings!$G:$G,MATCH(B723,Bookings!$B:$B,0)),"")</f>
        <v>1</v>
      </c>
      <c r="J723" s="5">
        <f>VLOOKUP(B723,Bookings!B:H,7,FALSE())</f>
        <v>14.92</v>
      </c>
      <c r="K723" s="5" t="str">
        <f t="shared" si="1"/>
        <v>Long</v>
      </c>
      <c r="L723" s="11">
        <f t="array" ref="L723">IFERROR(INDEX(Bookings!$K:$K,MATCH(A723,Bookings!$A:$A,0)),"")</f>
        <v>6487</v>
      </c>
      <c r="M723" s="5" t="str">
        <f t="shared" si="2"/>
        <v>Medium</v>
      </c>
      <c r="N723" s="5">
        <f t="array" ref="N723">IFERROR(INDEX(Bookings!$I:$I,MATCH(A723,Bookings!$A:$A,0)),"")</f>
        <v>6</v>
      </c>
      <c r="O723" s="5" t="str">
        <f t="shared" si="3"/>
        <v>Last Minute</v>
      </c>
      <c r="P723" s="5" t="str">
        <f t="shared" si="4"/>
        <v>Kolkata -&gt; Hyderabad</v>
      </c>
    </row>
    <row r="724" ht="15.75" customHeight="1">
      <c r="A724" s="5" t="s">
        <v>2253</v>
      </c>
      <c r="B724" s="5" t="s">
        <v>1448</v>
      </c>
      <c r="C724" s="5" t="s">
        <v>533</v>
      </c>
      <c r="D724" s="5" t="s">
        <v>45</v>
      </c>
      <c r="E724" s="6" t="str">
        <f t="array" ref="E724">IFERROR(INDEX(Airlines!$B:$B,MATCH(D724,Airlines!$A:$A,0)),"")</f>
        <v>Air_India</v>
      </c>
      <c r="F724" s="6" t="str">
        <f>VLOOKUP(A724,Bookings!$A:$F,6,FALSE())</f>
        <v>Business</v>
      </c>
      <c r="G724" s="6" t="str">
        <f t="array" ref="G724">IFERROR(INDEX(Flights!$E:$E,MATCH(B724,Flights!$A:$A,0)),"")</f>
        <v>Kolkata</v>
      </c>
      <c r="H724" s="6" t="str">
        <f>VLOOKUP(B724,Flights!A:H,6,FALSE())</f>
        <v>Hyderabad</v>
      </c>
      <c r="I724" s="6" t="str">
        <f t="array" ref="I724">IFERROR(INDEX(Bookings!$G:$G,MATCH(B724,Bookings!$B:$B,0)),"")</f>
        <v>1</v>
      </c>
      <c r="J724" s="5">
        <f>VLOOKUP(B724,Bookings!B:H,7,FALSE())</f>
        <v>14.58</v>
      </c>
      <c r="K724" s="5" t="str">
        <f t="shared" si="1"/>
        <v>Long</v>
      </c>
      <c r="L724" s="11">
        <f t="array" ref="L724">IFERROR(INDEX(Bookings!$K:$K,MATCH(A724,Bookings!$A:$A,0)),"")</f>
        <v>37016</v>
      </c>
      <c r="M724" s="5" t="str">
        <f t="shared" si="2"/>
        <v>High</v>
      </c>
      <c r="N724" s="5">
        <f t="array" ref="N724">IFERROR(INDEX(Bookings!$I:$I,MATCH(A724,Bookings!$A:$A,0)),"")</f>
        <v>34</v>
      </c>
      <c r="O724" s="5" t="str">
        <f t="shared" si="3"/>
        <v>Advance</v>
      </c>
      <c r="P724" s="5" t="str">
        <f t="shared" si="4"/>
        <v>Kolkata -&gt; Hyderabad</v>
      </c>
    </row>
    <row r="725" ht="15.75" customHeight="1">
      <c r="A725" s="5" t="s">
        <v>2256</v>
      </c>
      <c r="B725" s="5" t="s">
        <v>1466</v>
      </c>
      <c r="C725" s="5" t="s">
        <v>533</v>
      </c>
      <c r="D725" s="5" t="s">
        <v>45</v>
      </c>
      <c r="E725" s="6" t="str">
        <f t="array" ref="E725">IFERROR(INDEX(Airlines!$B:$B,MATCH(D725,Airlines!$A:$A,0)),"")</f>
        <v>Air_India</v>
      </c>
      <c r="F725" s="6" t="str">
        <f>VLOOKUP(A725,Bookings!$A:$F,6,FALSE())</f>
        <v>Economy</v>
      </c>
      <c r="G725" s="6" t="str">
        <f t="array" ref="G725">IFERROR(INDEX(Flights!$E:$E,MATCH(B725,Flights!$A:$A,0)),"")</f>
        <v>Kolkata</v>
      </c>
      <c r="H725" s="6" t="str">
        <f>VLOOKUP(B725,Flights!A:H,6,FALSE())</f>
        <v>Hyderabad</v>
      </c>
      <c r="I725" s="6" t="str">
        <f t="array" ref="I725">IFERROR(INDEX(Bookings!$G:$G,MATCH(B725,Bookings!$B:$B,0)),"")</f>
        <v>2+</v>
      </c>
      <c r="J725" s="5">
        <f>VLOOKUP(B725,Bookings!B:H,7,FALSE())</f>
        <v>13.42</v>
      </c>
      <c r="K725" s="5" t="str">
        <f t="shared" si="1"/>
        <v>Long</v>
      </c>
      <c r="L725" s="11">
        <f t="array" ref="L725">IFERROR(INDEX(Bookings!$K:$K,MATCH(A725,Bookings!$A:$A,0)),"")</f>
        <v>12321</v>
      </c>
      <c r="M725" s="5" t="str">
        <f t="shared" si="2"/>
        <v>Medium</v>
      </c>
      <c r="N725" s="5">
        <f t="array" ref="N725">IFERROR(INDEX(Bookings!$I:$I,MATCH(A725,Bookings!$A:$A,0)),"")</f>
        <v>6</v>
      </c>
      <c r="O725" s="5" t="str">
        <f t="shared" si="3"/>
        <v>Last Minute</v>
      </c>
      <c r="P725" s="5" t="str">
        <f t="shared" si="4"/>
        <v>Kolkata -&gt; Hyderabad</v>
      </c>
    </row>
    <row r="726" ht="15.75" customHeight="1">
      <c r="A726" s="5" t="s">
        <v>2260</v>
      </c>
      <c r="B726" s="5" t="s">
        <v>1462</v>
      </c>
      <c r="C726" s="5" t="s">
        <v>533</v>
      </c>
      <c r="D726" s="5" t="s">
        <v>45</v>
      </c>
      <c r="E726" s="6" t="str">
        <f t="array" ref="E726">IFERROR(INDEX(Airlines!$B:$B,MATCH(D726,Airlines!$A:$A,0)),"")</f>
        <v>Air_India</v>
      </c>
      <c r="F726" s="6" t="str">
        <f>VLOOKUP(A726,Bookings!$A:$F,6,FALSE())</f>
        <v>Economy</v>
      </c>
      <c r="G726" s="6" t="str">
        <f t="array" ref="G726">IFERROR(INDEX(Flights!$E:$E,MATCH(B726,Flights!$A:$A,0)),"")</f>
        <v>Kolkata</v>
      </c>
      <c r="H726" s="6" t="str">
        <f>VLOOKUP(B726,Flights!A:H,6,FALSE())</f>
        <v>Hyderabad</v>
      </c>
      <c r="I726" s="6" t="str">
        <f t="array" ref="I726">IFERROR(INDEX(Bookings!$G:$G,MATCH(B726,Bookings!$B:$B,0)),"")</f>
        <v>2+</v>
      </c>
      <c r="J726" s="5">
        <f>VLOOKUP(B726,Bookings!B:H,7,FALSE())</f>
        <v>16.42</v>
      </c>
      <c r="K726" s="5" t="str">
        <f t="shared" si="1"/>
        <v>Long</v>
      </c>
      <c r="L726" s="11">
        <f t="array" ref="L726">IFERROR(INDEX(Bookings!$K:$K,MATCH(A726,Bookings!$A:$A,0)),"")</f>
        <v>12321</v>
      </c>
      <c r="M726" s="5" t="str">
        <f t="shared" si="2"/>
        <v>Medium</v>
      </c>
      <c r="N726" s="5">
        <f t="array" ref="N726">IFERROR(INDEX(Bookings!$I:$I,MATCH(A726,Bookings!$A:$A,0)),"")</f>
        <v>6</v>
      </c>
      <c r="O726" s="5" t="str">
        <f t="shared" si="3"/>
        <v>Last Minute</v>
      </c>
      <c r="P726" s="5" t="str">
        <f t="shared" si="4"/>
        <v>Kolkata -&gt; Hyderabad</v>
      </c>
    </row>
    <row r="727" ht="15.75" customHeight="1">
      <c r="A727" s="5" t="s">
        <v>2263</v>
      </c>
      <c r="B727" s="5" t="s">
        <v>1459</v>
      </c>
      <c r="C727" s="5" t="s">
        <v>533</v>
      </c>
      <c r="D727" s="5" t="s">
        <v>29</v>
      </c>
      <c r="E727" s="6" t="str">
        <f t="array" ref="E727">IFERROR(INDEX(Airlines!$B:$B,MATCH(D727,Airlines!$A:$A,0)),"")</f>
        <v>AirAsia</v>
      </c>
      <c r="F727" s="6" t="str">
        <f>VLOOKUP(A727,Bookings!$A:$F,6,FALSE())</f>
        <v>Economy</v>
      </c>
      <c r="G727" s="6" t="str">
        <f t="array" ref="G727">IFERROR(INDEX(Flights!$E:$E,MATCH(B727,Flights!$A:$A,0)),"")</f>
        <v>Kolkata</v>
      </c>
      <c r="H727" s="6" t="str">
        <f>VLOOKUP(B727,Flights!A:H,6,FALSE())</f>
        <v>Hyderabad</v>
      </c>
      <c r="I727" s="6" t="str">
        <f t="array" ref="I727">IFERROR(INDEX(Bookings!$G:$G,MATCH(B727,Bookings!$B:$B,0)),"")</f>
        <v>2+</v>
      </c>
      <c r="J727" s="5">
        <f>VLOOKUP(B727,Bookings!B:H,7,FALSE())</f>
        <v>12.42</v>
      </c>
      <c r="K727" s="5" t="str">
        <f t="shared" si="1"/>
        <v>Long</v>
      </c>
      <c r="L727" s="11">
        <f t="array" ref="L727">IFERROR(INDEX(Bookings!$K:$K,MATCH(A727,Bookings!$A:$A,0)),"")</f>
        <v>4589</v>
      </c>
      <c r="M727" s="5" t="str">
        <f t="shared" si="2"/>
        <v>Low</v>
      </c>
      <c r="N727" s="5">
        <f t="array" ref="N727">IFERROR(INDEX(Bookings!$I:$I,MATCH(A727,Bookings!$A:$A,0)),"")</f>
        <v>36</v>
      </c>
      <c r="O727" s="5" t="str">
        <f t="shared" si="3"/>
        <v>Advance</v>
      </c>
      <c r="P727" s="5" t="str">
        <f t="shared" si="4"/>
        <v>Kolkata -&gt; Hyderabad</v>
      </c>
    </row>
    <row r="728" ht="15.75" customHeight="1">
      <c r="A728" s="5" t="s">
        <v>2265</v>
      </c>
      <c r="B728" s="5" t="s">
        <v>1437</v>
      </c>
      <c r="C728" s="5" t="s">
        <v>533</v>
      </c>
      <c r="D728" s="5" t="s">
        <v>43</v>
      </c>
      <c r="E728" s="6" t="str">
        <f t="array" ref="E728">IFERROR(INDEX(Airlines!$B:$B,MATCH(D728,Airlines!$A:$A,0)),"")</f>
        <v>Indigo</v>
      </c>
      <c r="F728" s="6" t="str">
        <f>VLOOKUP(A728,Bookings!$A:$F,6,FALSE())</f>
        <v>Economy</v>
      </c>
      <c r="G728" s="6" t="str">
        <f t="array" ref="G728">IFERROR(INDEX(Flights!$E:$E,MATCH(B728,Flights!$A:$A,0)),"")</f>
        <v>Kolkata</v>
      </c>
      <c r="H728" s="6" t="str">
        <f>VLOOKUP(B728,Flights!A:H,6,FALSE())</f>
        <v>Hyderabad</v>
      </c>
      <c r="I728" s="6" t="str">
        <f t="array" ref="I728">IFERROR(INDEX(Bookings!$G:$G,MATCH(B728,Bookings!$B:$B,0)),"")</f>
        <v>1</v>
      </c>
      <c r="J728" s="5">
        <f>VLOOKUP(B728,Bookings!B:H,7,FALSE())</f>
        <v>6.67</v>
      </c>
      <c r="K728" s="5" t="str">
        <f t="shared" si="1"/>
        <v>Medium</v>
      </c>
      <c r="L728" s="11">
        <f t="array" ref="L728">IFERROR(INDEX(Bookings!$K:$K,MATCH(A728,Bookings!$A:$A,0)),"")</f>
        <v>6977</v>
      </c>
      <c r="M728" s="5" t="str">
        <f t="shared" si="2"/>
        <v>Medium</v>
      </c>
      <c r="N728" s="5">
        <f t="array" ref="N728">IFERROR(INDEX(Bookings!$I:$I,MATCH(A728,Bookings!$A:$A,0)),"")</f>
        <v>17</v>
      </c>
      <c r="O728" s="5" t="str">
        <f t="shared" si="3"/>
        <v>Moderate</v>
      </c>
      <c r="P728" s="5" t="str">
        <f t="shared" si="4"/>
        <v>Kolkata -&gt; Hyderabad</v>
      </c>
    </row>
    <row r="729" ht="15.75" customHeight="1">
      <c r="A729" s="5" t="s">
        <v>2268</v>
      </c>
      <c r="B729" s="5" t="s">
        <v>1418</v>
      </c>
      <c r="C729" s="5" t="s">
        <v>533</v>
      </c>
      <c r="D729" s="5" t="s">
        <v>58</v>
      </c>
      <c r="E729" s="6" t="str">
        <f t="array" ref="E729">IFERROR(INDEX(Airlines!$B:$B,MATCH(D729,Airlines!$A:$A,0)),"")</f>
        <v>Go_First</v>
      </c>
      <c r="F729" s="6" t="str">
        <f>VLOOKUP(A729,Bookings!$A:$F,6,FALSE())</f>
        <v>Economy</v>
      </c>
      <c r="G729" s="6" t="str">
        <f t="array" ref="G729">IFERROR(INDEX(Flights!$E:$E,MATCH(B729,Flights!$A:$A,0)),"")</f>
        <v>Kolkata</v>
      </c>
      <c r="H729" s="6" t="str">
        <f>VLOOKUP(B729,Flights!A:H,6,FALSE())</f>
        <v>Hyderabad</v>
      </c>
      <c r="I729" s="6" t="str">
        <f t="array" ref="I729">IFERROR(INDEX(Bookings!$G:$G,MATCH(B729,Bookings!$B:$B,0)),"")</f>
        <v>0</v>
      </c>
      <c r="J729" s="5">
        <f>VLOOKUP(B729,Bookings!B:H,7,FALSE())</f>
        <v>2.33</v>
      </c>
      <c r="K729" s="5" t="str">
        <f t="shared" si="1"/>
        <v>Short</v>
      </c>
      <c r="L729" s="11">
        <f t="array" ref="L729">IFERROR(INDEX(Bookings!$K:$K,MATCH(A729,Bookings!$A:$A,0)),"")</f>
        <v>2437</v>
      </c>
      <c r="M729" s="5" t="str">
        <f t="shared" si="2"/>
        <v>Low</v>
      </c>
      <c r="N729" s="5">
        <f t="array" ref="N729">IFERROR(INDEX(Bookings!$I:$I,MATCH(A729,Bookings!$A:$A,0)),"")</f>
        <v>26</v>
      </c>
      <c r="O729" s="5" t="str">
        <f t="shared" si="3"/>
        <v>Moderate</v>
      </c>
      <c r="P729" s="5" t="str">
        <f t="shared" si="4"/>
        <v>Kolkata -&gt; Hyderabad</v>
      </c>
    </row>
    <row r="730" ht="15.75" customHeight="1">
      <c r="A730" s="5" t="s">
        <v>2271</v>
      </c>
      <c r="B730" s="5" t="s">
        <v>1452</v>
      </c>
      <c r="C730" s="5" t="s">
        <v>533</v>
      </c>
      <c r="D730" s="5" t="s">
        <v>58</v>
      </c>
      <c r="E730" s="6" t="str">
        <f t="array" ref="E730">IFERROR(INDEX(Airlines!$B:$B,MATCH(D730,Airlines!$A:$A,0)),"")</f>
        <v>Go_First</v>
      </c>
      <c r="F730" s="6" t="str">
        <f>VLOOKUP(A730,Bookings!$A:$F,6,FALSE())</f>
        <v>Economy</v>
      </c>
      <c r="G730" s="6" t="str">
        <f t="array" ref="G730">IFERROR(INDEX(Flights!$E:$E,MATCH(B730,Flights!$A:$A,0)),"")</f>
        <v>Kolkata</v>
      </c>
      <c r="H730" s="6" t="str">
        <f>VLOOKUP(B730,Flights!A:H,6,FALSE())</f>
        <v>Hyderabad</v>
      </c>
      <c r="I730" s="6" t="str">
        <f t="array" ref="I730">IFERROR(INDEX(Bookings!$G:$G,MATCH(B730,Bookings!$B:$B,0)),"")</f>
        <v>1</v>
      </c>
      <c r="J730" s="5">
        <f>VLOOKUP(B730,Bookings!B:H,7,FALSE())</f>
        <v>14.92</v>
      </c>
      <c r="K730" s="5" t="str">
        <f t="shared" si="1"/>
        <v>Long</v>
      </c>
      <c r="L730" s="11">
        <f t="array" ref="L730">IFERROR(INDEX(Bookings!$K:$K,MATCH(A730,Bookings!$A:$A,0)),"")</f>
        <v>5018</v>
      </c>
      <c r="M730" s="5" t="str">
        <f t="shared" si="2"/>
        <v>Medium</v>
      </c>
      <c r="N730" s="5">
        <f t="array" ref="N730">IFERROR(INDEX(Bookings!$I:$I,MATCH(A730,Bookings!$A:$A,0)),"")</f>
        <v>32</v>
      </c>
      <c r="O730" s="5" t="str">
        <f t="shared" si="3"/>
        <v>Advance</v>
      </c>
      <c r="P730" s="5" t="str">
        <f t="shared" si="4"/>
        <v>Kolkata -&gt; Hyderabad</v>
      </c>
    </row>
    <row r="731" ht="15.75" customHeight="1">
      <c r="A731" s="5" t="s">
        <v>2273</v>
      </c>
      <c r="B731" s="5" t="s">
        <v>1400</v>
      </c>
      <c r="C731" s="5" t="s">
        <v>533</v>
      </c>
      <c r="D731" s="5" t="s">
        <v>58</v>
      </c>
      <c r="E731" s="6" t="str">
        <f t="array" ref="E731">IFERROR(INDEX(Airlines!$B:$B,MATCH(D731,Airlines!$A:$A,0)),"")</f>
        <v>Go_First</v>
      </c>
      <c r="F731" s="6" t="str">
        <f>VLOOKUP(A731,Bookings!$A:$F,6,FALSE())</f>
        <v>Economy</v>
      </c>
      <c r="G731" s="6" t="str">
        <f t="array" ref="G731">IFERROR(INDEX(Flights!$E:$E,MATCH(B731,Flights!$A:$A,0)),"")</f>
        <v>Kolkata</v>
      </c>
      <c r="H731" s="6" t="str">
        <f>VLOOKUP(B731,Flights!A:H,6,FALSE())</f>
        <v>Hyderabad</v>
      </c>
      <c r="I731" s="6" t="str">
        <f t="array" ref="I731">IFERROR(INDEX(Bookings!$G:$G,MATCH(B731,Bookings!$B:$B,0)),"")</f>
        <v>0</v>
      </c>
      <c r="J731" s="5">
        <f>VLOOKUP(B731,Bookings!B:H,7,FALSE())</f>
        <v>2.17</v>
      </c>
      <c r="K731" s="5" t="str">
        <f t="shared" si="1"/>
        <v>Short</v>
      </c>
      <c r="L731" s="11">
        <f t="array" ref="L731">IFERROR(INDEX(Bookings!$K:$K,MATCH(A731,Bookings!$A:$A,0)),"")</f>
        <v>2437</v>
      </c>
      <c r="M731" s="5" t="str">
        <f t="shared" si="2"/>
        <v>Low</v>
      </c>
      <c r="N731" s="5">
        <f t="array" ref="N731">IFERROR(INDEX(Bookings!$I:$I,MATCH(A731,Bookings!$A:$A,0)),"")</f>
        <v>26</v>
      </c>
      <c r="O731" s="5" t="str">
        <f t="shared" si="3"/>
        <v>Moderate</v>
      </c>
      <c r="P731" s="5" t="str">
        <f t="shared" si="4"/>
        <v>Kolkata -&gt; Hyderabad</v>
      </c>
    </row>
    <row r="732" ht="15.75" customHeight="1">
      <c r="A732" s="5" t="s">
        <v>2275</v>
      </c>
      <c r="B732" s="5" t="s">
        <v>1455</v>
      </c>
      <c r="C732" s="5" t="s">
        <v>533</v>
      </c>
      <c r="D732" s="5" t="s">
        <v>45</v>
      </c>
      <c r="E732" s="6" t="str">
        <f t="array" ref="E732">IFERROR(INDEX(Airlines!$B:$B,MATCH(D732,Airlines!$A:$A,0)),"")</f>
        <v>Air_India</v>
      </c>
      <c r="F732" s="6" t="str">
        <f>VLOOKUP(A732,Bookings!$A:$F,6,FALSE())</f>
        <v>Economy</v>
      </c>
      <c r="G732" s="6" t="str">
        <f t="array" ref="G732">IFERROR(INDEX(Flights!$E:$E,MATCH(B732,Flights!$A:$A,0)),"")</f>
        <v>Kolkata</v>
      </c>
      <c r="H732" s="6" t="str">
        <f>VLOOKUP(B732,Flights!A:H,6,FALSE())</f>
        <v>Hyderabad</v>
      </c>
      <c r="I732" s="6" t="str">
        <f t="array" ref="I732">IFERROR(INDEX(Bookings!$G:$G,MATCH(B732,Bookings!$B:$B,0)),"")</f>
        <v>1</v>
      </c>
      <c r="J732" s="5">
        <f>VLOOKUP(B732,Bookings!B:H,7,FALSE())</f>
        <v>21.5</v>
      </c>
      <c r="K732" s="5" t="str">
        <f t="shared" si="1"/>
        <v>Long</v>
      </c>
      <c r="L732" s="11">
        <f t="array" ref="L732">IFERROR(INDEX(Bookings!$K:$K,MATCH(A732,Bookings!$A:$A,0)),"")</f>
        <v>7176</v>
      </c>
      <c r="M732" s="5" t="str">
        <f t="shared" si="2"/>
        <v>Medium</v>
      </c>
      <c r="N732" s="5">
        <f t="array" ref="N732">IFERROR(INDEX(Bookings!$I:$I,MATCH(A732,Bookings!$A:$A,0)),"")</f>
        <v>40</v>
      </c>
      <c r="O732" s="5" t="str">
        <f t="shared" si="3"/>
        <v>Advance</v>
      </c>
      <c r="P732" s="5" t="str">
        <f t="shared" si="4"/>
        <v>Kolkata -&gt; Hyderabad</v>
      </c>
    </row>
    <row r="733" ht="15.75" customHeight="1">
      <c r="A733" s="5" t="s">
        <v>2277</v>
      </c>
      <c r="B733" s="5" t="s">
        <v>1432</v>
      </c>
      <c r="C733" s="5" t="s">
        <v>533</v>
      </c>
      <c r="D733" s="5" t="s">
        <v>45</v>
      </c>
      <c r="E733" s="6" t="str">
        <f t="array" ref="E733">IFERROR(INDEX(Airlines!$B:$B,MATCH(D733,Airlines!$A:$A,0)),"")</f>
        <v>Air_India</v>
      </c>
      <c r="F733" s="6" t="str">
        <f>VLOOKUP(A733,Bookings!$A:$F,6,FALSE())</f>
        <v>Economy</v>
      </c>
      <c r="G733" s="6" t="str">
        <f t="array" ref="G733">IFERROR(INDEX(Flights!$E:$E,MATCH(B733,Flights!$A:$A,0)),"")</f>
        <v>Kolkata</v>
      </c>
      <c r="H733" s="6" t="str">
        <f>VLOOKUP(B733,Flights!A:H,6,FALSE())</f>
        <v>Hyderabad</v>
      </c>
      <c r="I733" s="6" t="str">
        <f t="array" ref="I733">IFERROR(INDEX(Bookings!$G:$G,MATCH(B733,Bookings!$B:$B,0)),"")</f>
        <v>1</v>
      </c>
      <c r="J733" s="5">
        <f>VLOOKUP(B733,Bookings!B:H,7,FALSE())</f>
        <v>12.5</v>
      </c>
      <c r="K733" s="5" t="str">
        <f t="shared" si="1"/>
        <v>Long</v>
      </c>
      <c r="L733" s="11">
        <f t="array" ref="L733">IFERROR(INDEX(Bookings!$K:$K,MATCH(A733,Bookings!$A:$A,0)),"")</f>
        <v>5670</v>
      </c>
      <c r="M733" s="5" t="str">
        <f t="shared" si="2"/>
        <v>Medium</v>
      </c>
      <c r="N733" s="5">
        <f t="array" ref="N733">IFERROR(INDEX(Bookings!$I:$I,MATCH(A733,Bookings!$A:$A,0)),"")</f>
        <v>49</v>
      </c>
      <c r="O733" s="5" t="str">
        <f t="shared" si="3"/>
        <v>Advance</v>
      </c>
      <c r="P733" s="5" t="str">
        <f t="shared" si="4"/>
        <v>Kolkata -&gt; Hyderabad</v>
      </c>
    </row>
    <row r="734" ht="15.75" customHeight="1">
      <c r="A734" s="5" t="s">
        <v>2278</v>
      </c>
      <c r="B734" s="5" t="s">
        <v>1482</v>
      </c>
      <c r="C734" s="5" t="s">
        <v>533</v>
      </c>
      <c r="D734" s="5" t="s">
        <v>20</v>
      </c>
      <c r="E734" s="6" t="str">
        <f t="array" ref="E734">IFERROR(INDEX(Airlines!$B:$B,MATCH(D734,Airlines!$A:$A,0)),"")</f>
        <v>Vistara</v>
      </c>
      <c r="F734" s="6" t="str">
        <f>VLOOKUP(A734,Bookings!$A:$F,6,FALSE())</f>
        <v>Business</v>
      </c>
      <c r="G734" s="6" t="str">
        <f t="array" ref="G734">IFERROR(INDEX(Flights!$E:$E,MATCH(B734,Flights!$A:$A,0)),"")</f>
        <v>Kolkata</v>
      </c>
      <c r="H734" s="6" t="str">
        <f>VLOOKUP(B734,Flights!A:H,6,FALSE())</f>
        <v>Hyderabad</v>
      </c>
      <c r="I734" s="6" t="str">
        <f t="array" ref="I734">IFERROR(INDEX(Bookings!$G:$G,MATCH(B734,Bookings!$B:$B,0)),"")</f>
        <v>1</v>
      </c>
      <c r="J734" s="5">
        <f>VLOOKUP(B734,Bookings!B:H,7,FALSE())</f>
        <v>25.08</v>
      </c>
      <c r="K734" s="5" t="str">
        <f t="shared" si="1"/>
        <v>Long</v>
      </c>
      <c r="L734" s="11">
        <f t="array" ref="L734">IFERROR(INDEX(Bookings!$K:$K,MATCH(A734,Bookings!$A:$A,0)),"")</f>
        <v>52175</v>
      </c>
      <c r="M734" s="5" t="str">
        <f t="shared" si="2"/>
        <v>High</v>
      </c>
      <c r="N734" s="5">
        <f t="array" ref="N734">IFERROR(INDEX(Bookings!$I:$I,MATCH(A734,Bookings!$A:$A,0)),"")</f>
        <v>48</v>
      </c>
      <c r="O734" s="5" t="str">
        <f t="shared" si="3"/>
        <v>Advance</v>
      </c>
      <c r="P734" s="5" t="str">
        <f t="shared" si="4"/>
        <v>Kolkata -&gt; Hyderabad</v>
      </c>
    </row>
    <row r="735" ht="15.75" customHeight="1">
      <c r="A735" s="5" t="s">
        <v>2280</v>
      </c>
      <c r="B735" s="5" t="s">
        <v>1410</v>
      </c>
      <c r="C735" s="5" t="s">
        <v>533</v>
      </c>
      <c r="D735" s="5" t="s">
        <v>43</v>
      </c>
      <c r="E735" s="6" t="str">
        <f t="array" ref="E735">IFERROR(INDEX(Airlines!$B:$B,MATCH(D735,Airlines!$A:$A,0)),"")</f>
        <v>Indigo</v>
      </c>
      <c r="F735" s="6" t="str">
        <f>VLOOKUP(A735,Bookings!$A:$F,6,FALSE())</f>
        <v>Economy</v>
      </c>
      <c r="G735" s="6" t="str">
        <f t="array" ref="G735">IFERROR(INDEX(Flights!$E:$E,MATCH(B735,Flights!$A:$A,0)),"")</f>
        <v>Kolkata</v>
      </c>
      <c r="H735" s="6" t="str">
        <f>VLOOKUP(B735,Flights!A:H,6,FALSE())</f>
        <v>Hyderabad</v>
      </c>
      <c r="I735" s="6" t="str">
        <f t="array" ref="I735">IFERROR(INDEX(Bookings!$G:$G,MATCH(B735,Bookings!$B:$B,0)),"")</f>
        <v>1</v>
      </c>
      <c r="J735" s="5">
        <f>VLOOKUP(B735,Bookings!B:H,7,FALSE())</f>
        <v>5.75</v>
      </c>
      <c r="K735" s="5" t="str">
        <f t="shared" si="1"/>
        <v>Medium</v>
      </c>
      <c r="L735" s="11">
        <f t="array" ref="L735">IFERROR(INDEX(Bookings!$K:$K,MATCH(A735,Bookings!$A:$A,0)),"")</f>
        <v>3401</v>
      </c>
      <c r="M735" s="5" t="str">
        <f t="shared" si="2"/>
        <v>Low</v>
      </c>
      <c r="N735" s="5" t="str">
        <f t="array" ref="N735">IFERROR(INDEX(Bookings!$I:$I,MATCH(A735,Bookings!$A:$A,0)),"")</f>
        <v/>
      </c>
      <c r="O735" s="5" t="str">
        <f t="shared" si="3"/>
        <v>Last Minute</v>
      </c>
      <c r="P735" s="5" t="str">
        <f t="shared" si="4"/>
        <v>Kolkata -&gt; Hyderabad</v>
      </c>
    </row>
    <row r="736" ht="15.75" customHeight="1">
      <c r="A736" s="5" t="s">
        <v>2282</v>
      </c>
      <c r="B736" s="5" t="s">
        <v>1396</v>
      </c>
      <c r="C736" s="5" t="s">
        <v>533</v>
      </c>
      <c r="D736" s="5" t="s">
        <v>43</v>
      </c>
      <c r="E736" s="6" t="str">
        <f t="array" ref="E736">IFERROR(INDEX(Airlines!$B:$B,MATCH(D736,Airlines!$A:$A,0)),"")</f>
        <v>Indigo</v>
      </c>
      <c r="F736" s="6" t="str">
        <f>VLOOKUP(A736,Bookings!$A:$F,6,FALSE())</f>
        <v>Economy</v>
      </c>
      <c r="G736" s="6" t="str">
        <f t="array" ref="G736">IFERROR(INDEX(Flights!$E:$E,MATCH(B736,Flights!$A:$A,0)),"")</f>
        <v>Kolkata</v>
      </c>
      <c r="H736" s="6" t="str">
        <f>VLOOKUP(B736,Flights!A:H,6,FALSE())</f>
        <v>Hyderabad</v>
      </c>
      <c r="I736" s="6" t="str">
        <f t="array" ref="I736">IFERROR(INDEX(Bookings!$G:$G,MATCH(B736,Bookings!$B:$B,0)),"")</f>
        <v>1</v>
      </c>
      <c r="J736" s="5">
        <f>VLOOKUP(B736,Bookings!B:H,7,FALSE())</f>
        <v>4.33</v>
      </c>
      <c r="K736" s="5" t="str">
        <f t="shared" si="1"/>
        <v>Medium</v>
      </c>
      <c r="L736" s="11">
        <f t="array" ref="L736">IFERROR(INDEX(Bookings!$K:$K,MATCH(A736,Bookings!$A:$A,0)),"")</f>
        <v>4367</v>
      </c>
      <c r="M736" s="5" t="str">
        <f t="shared" si="2"/>
        <v>Low</v>
      </c>
      <c r="N736" s="5">
        <f t="array" ref="N736">IFERROR(INDEX(Bookings!$I:$I,MATCH(A736,Bookings!$A:$A,0)),"")</f>
        <v>46</v>
      </c>
      <c r="O736" s="5" t="str">
        <f t="shared" si="3"/>
        <v>Advance</v>
      </c>
      <c r="P736" s="5" t="str">
        <f t="shared" si="4"/>
        <v>Kolkata -&gt; Hyderabad</v>
      </c>
    </row>
    <row r="737" ht="15.75" customHeight="1">
      <c r="A737" s="5" t="s">
        <v>2283</v>
      </c>
      <c r="B737" s="5" t="s">
        <v>1389</v>
      </c>
      <c r="C737" s="5" t="s">
        <v>533</v>
      </c>
      <c r="D737" s="5" t="s">
        <v>45</v>
      </c>
      <c r="E737" s="6" t="str">
        <f t="array" ref="E737">IFERROR(INDEX(Airlines!$B:$B,MATCH(D737,Airlines!$A:$A,0)),"")</f>
        <v>Air_India</v>
      </c>
      <c r="F737" s="6" t="str">
        <f>VLOOKUP(A737,Bookings!$A:$F,6,FALSE())</f>
        <v>Business</v>
      </c>
      <c r="G737" s="6" t="str">
        <f t="array" ref="G737">IFERROR(INDEX(Flights!$E:$E,MATCH(B737,Flights!$A:$A,0)),"")</f>
        <v>Kolkata</v>
      </c>
      <c r="H737" s="6" t="str">
        <f>VLOOKUP(B737,Flights!A:H,6,FALSE())</f>
        <v>Hyderabad</v>
      </c>
      <c r="I737" s="6" t="str">
        <f t="array" ref="I737">IFERROR(INDEX(Bookings!$G:$G,MATCH(B737,Bookings!$B:$B,0)),"")</f>
        <v>1</v>
      </c>
      <c r="J737" s="5">
        <f>VLOOKUP(B737,Bookings!B:H,7,FALSE())</f>
        <v>26.08</v>
      </c>
      <c r="K737" s="5" t="str">
        <f t="shared" si="1"/>
        <v>Long</v>
      </c>
      <c r="L737" s="11">
        <f t="array" ref="L737">IFERROR(INDEX(Bookings!$K:$K,MATCH(A737,Bookings!$A:$A,0)),"")</f>
        <v>52063</v>
      </c>
      <c r="M737" s="5" t="str">
        <f t="shared" si="2"/>
        <v>High</v>
      </c>
      <c r="N737" s="5">
        <f t="array" ref="N737">IFERROR(INDEX(Bookings!$I:$I,MATCH(A737,Bookings!$A:$A,0)),"")</f>
        <v>48</v>
      </c>
      <c r="O737" s="5" t="str">
        <f t="shared" si="3"/>
        <v>Advance</v>
      </c>
      <c r="P737" s="5" t="str">
        <f t="shared" si="4"/>
        <v>Kolkata -&gt; Hyderabad</v>
      </c>
    </row>
    <row r="738" ht="15.75" customHeight="1">
      <c r="A738" s="5" t="s">
        <v>2286</v>
      </c>
      <c r="B738" s="5" t="s">
        <v>1439</v>
      </c>
      <c r="C738" s="5" t="s">
        <v>533</v>
      </c>
      <c r="D738" s="5" t="s">
        <v>20</v>
      </c>
      <c r="E738" s="6" t="str">
        <f t="array" ref="E738">IFERROR(INDEX(Airlines!$B:$B,MATCH(D738,Airlines!$A:$A,0)),"")</f>
        <v>Vistara</v>
      </c>
      <c r="F738" s="6" t="str">
        <f>VLOOKUP(A738,Bookings!$A:$F,6,FALSE())</f>
        <v>Business</v>
      </c>
      <c r="G738" s="6" t="str">
        <f t="array" ref="G738">IFERROR(INDEX(Flights!$E:$E,MATCH(B738,Flights!$A:$A,0)),"")</f>
        <v>Kolkata</v>
      </c>
      <c r="H738" s="6" t="str">
        <f>VLOOKUP(B738,Flights!A:H,6,FALSE())</f>
        <v>Hyderabad</v>
      </c>
      <c r="I738" s="6" t="str">
        <f t="array" ref="I738">IFERROR(INDEX(Bookings!$G:$G,MATCH(B738,Bookings!$B:$B,0)),"")</f>
        <v>1</v>
      </c>
      <c r="J738" s="5">
        <f>VLOOKUP(B738,Bookings!B:H,7,FALSE())</f>
        <v>26.58</v>
      </c>
      <c r="K738" s="5" t="str">
        <f t="shared" si="1"/>
        <v>Long</v>
      </c>
      <c r="L738" s="11">
        <f t="array" ref="L738">IFERROR(INDEX(Bookings!$K:$K,MATCH(A738,Bookings!$A:$A,0)),"")</f>
        <v>52175</v>
      </c>
      <c r="M738" s="5" t="str">
        <f t="shared" si="2"/>
        <v>High</v>
      </c>
      <c r="N738" s="5">
        <f t="array" ref="N738">IFERROR(INDEX(Bookings!$I:$I,MATCH(A738,Bookings!$A:$A,0)),"")</f>
        <v>48</v>
      </c>
      <c r="O738" s="5" t="str">
        <f t="shared" si="3"/>
        <v>Advance</v>
      </c>
      <c r="P738" s="5" t="str">
        <f t="shared" si="4"/>
        <v>Kolkata -&gt; Hyderabad</v>
      </c>
    </row>
    <row r="739" ht="15.75" customHeight="1">
      <c r="A739" s="5" t="s">
        <v>2288</v>
      </c>
      <c r="B739" s="5" t="s">
        <v>1481</v>
      </c>
      <c r="C739" s="5" t="s">
        <v>533</v>
      </c>
      <c r="D739" s="5" t="s">
        <v>45</v>
      </c>
      <c r="E739" s="6" t="str">
        <f t="array" ref="E739">IFERROR(INDEX(Airlines!$B:$B,MATCH(D739,Airlines!$A:$A,0)),"")</f>
        <v>Air_India</v>
      </c>
      <c r="F739" s="6" t="str">
        <f>VLOOKUP(A739,Bookings!$A:$F,6,FALSE())</f>
        <v>Economy</v>
      </c>
      <c r="G739" s="6" t="str">
        <f t="array" ref="G739">IFERROR(INDEX(Flights!$E:$E,MATCH(B739,Flights!$A:$A,0)),"")</f>
        <v>Kolkata</v>
      </c>
      <c r="H739" s="6" t="str">
        <f>VLOOKUP(B739,Flights!A:H,6,FALSE())</f>
        <v>Hyderabad</v>
      </c>
      <c r="I739" s="6" t="str">
        <f t="array" ref="I739">IFERROR(INDEX(Bookings!$G:$G,MATCH(B739,Bookings!$B:$B,0)),"")</f>
        <v>1</v>
      </c>
      <c r="J739" s="5">
        <f>VLOOKUP(B739,Bookings!B:H,7,FALSE())</f>
        <v>21.83</v>
      </c>
      <c r="K739" s="5" t="str">
        <f t="shared" si="1"/>
        <v>Long</v>
      </c>
      <c r="L739" s="11">
        <f t="array" ref="L739">IFERROR(INDEX(Bookings!$K:$K,MATCH(A739,Bookings!$A:$A,0)),"")</f>
        <v>5429</v>
      </c>
      <c r="M739" s="5" t="str">
        <f t="shared" si="2"/>
        <v>Medium</v>
      </c>
      <c r="N739" s="5">
        <f t="array" ref="N739">IFERROR(INDEX(Bookings!$I:$I,MATCH(A739,Bookings!$A:$A,0)),"")</f>
        <v>46</v>
      </c>
      <c r="O739" s="5" t="str">
        <f t="shared" si="3"/>
        <v>Advance</v>
      </c>
      <c r="P739" s="5" t="str">
        <f t="shared" si="4"/>
        <v>Kolkata -&gt; Hyderabad</v>
      </c>
    </row>
    <row r="740" ht="15.75" customHeight="1">
      <c r="A740" s="5" t="s">
        <v>2291</v>
      </c>
      <c r="B740" s="5" t="s">
        <v>1467</v>
      </c>
      <c r="C740" s="5" t="s">
        <v>533</v>
      </c>
      <c r="D740" s="5" t="s">
        <v>45</v>
      </c>
      <c r="E740" s="6" t="str">
        <f t="array" ref="E740">IFERROR(INDEX(Airlines!$B:$B,MATCH(D740,Airlines!$A:$A,0)),"")</f>
        <v>Air_India</v>
      </c>
      <c r="F740" s="6" t="str">
        <f>VLOOKUP(A740,Bookings!$A:$F,6,FALSE())</f>
        <v>Economy</v>
      </c>
      <c r="G740" s="6" t="str">
        <f t="array" ref="G740">IFERROR(INDEX(Flights!$E:$E,MATCH(B740,Flights!$A:$A,0)),"")</f>
        <v>Kolkata</v>
      </c>
      <c r="H740" s="6" t="str">
        <f>VLOOKUP(B740,Flights!A:H,6,FALSE())</f>
        <v>Hyderabad</v>
      </c>
      <c r="I740" s="6" t="str">
        <f t="array" ref="I740">IFERROR(INDEX(Bookings!$G:$G,MATCH(B740,Bookings!$B:$B,0)),"")</f>
        <v>2+</v>
      </c>
      <c r="J740" s="5">
        <f>VLOOKUP(B740,Bookings!B:H,7,FALSE())</f>
        <v>39.83</v>
      </c>
      <c r="K740" s="5" t="str">
        <f t="shared" si="1"/>
        <v>Long</v>
      </c>
      <c r="L740" s="11">
        <f t="array" ref="L740">IFERROR(INDEX(Bookings!$K:$K,MATCH(A740,Bookings!$A:$A,0)),"")</f>
        <v>6972</v>
      </c>
      <c r="M740" s="5" t="str">
        <f t="shared" si="2"/>
        <v>Medium</v>
      </c>
      <c r="N740" s="5">
        <f t="array" ref="N740">IFERROR(INDEX(Bookings!$I:$I,MATCH(A740,Bookings!$A:$A,0)),"")</f>
        <v>48</v>
      </c>
      <c r="O740" s="5" t="str">
        <f t="shared" si="3"/>
        <v>Advance</v>
      </c>
      <c r="P740" s="5" t="str">
        <f t="shared" si="4"/>
        <v>Kolkata -&gt; Hyderabad</v>
      </c>
    </row>
    <row r="741" ht="15.75" customHeight="1">
      <c r="A741" s="5" t="s">
        <v>2293</v>
      </c>
      <c r="B741" s="5" t="s">
        <v>1601</v>
      </c>
      <c r="C741" s="5" t="s">
        <v>549</v>
      </c>
      <c r="D741" s="5" t="s">
        <v>43</v>
      </c>
      <c r="E741" s="6" t="str">
        <f t="array" ref="E741">IFERROR(INDEX(Airlines!$B:$B,MATCH(D741,Airlines!$A:$A,0)),"")</f>
        <v>Indigo</v>
      </c>
      <c r="F741" s="6" t="str">
        <f>VLOOKUP(A741,Bookings!$A:$F,6,FALSE())</f>
        <v>Economy</v>
      </c>
      <c r="G741" s="6" t="str">
        <f t="array" ref="G741">IFERROR(INDEX(Flights!$E:$E,MATCH(B741,Flights!$A:$A,0)),"")</f>
        <v>Kolkata</v>
      </c>
      <c r="H741" s="6" t="str">
        <f>VLOOKUP(B741,Flights!A:H,6,FALSE())</f>
        <v>Chennai</v>
      </c>
      <c r="I741" s="6" t="str">
        <f t="array" ref="I741">IFERROR(INDEX(Bookings!$G:$G,MATCH(B741,Bookings!$B:$B,0)),"")</f>
        <v>0</v>
      </c>
      <c r="J741" s="5">
        <f>VLOOKUP(B741,Bookings!B:H,7,FALSE())</f>
        <v>2.33</v>
      </c>
      <c r="K741" s="5" t="str">
        <f t="shared" si="1"/>
        <v>Short</v>
      </c>
      <c r="L741" s="11">
        <f t="array" ref="L741">IFERROR(INDEX(Bookings!$K:$K,MATCH(A741,Bookings!$A:$A,0)),"")</f>
        <v>7329</v>
      </c>
      <c r="M741" s="5" t="str">
        <f t="shared" si="2"/>
        <v>Medium</v>
      </c>
      <c r="N741" s="5">
        <f t="array" ref="N741">IFERROR(INDEX(Bookings!$I:$I,MATCH(A741,Bookings!$A:$A,0)),"")</f>
        <v>28</v>
      </c>
      <c r="O741" s="5" t="str">
        <f t="shared" si="3"/>
        <v>Moderate</v>
      </c>
      <c r="P741" s="5" t="str">
        <f t="shared" si="4"/>
        <v>Kolkata -&gt; Chennai</v>
      </c>
    </row>
    <row r="742" ht="15.75" customHeight="1">
      <c r="A742" s="5" t="s">
        <v>2295</v>
      </c>
      <c r="B742" s="5" t="s">
        <v>1583</v>
      </c>
      <c r="C742" s="5" t="s">
        <v>549</v>
      </c>
      <c r="D742" s="5" t="s">
        <v>45</v>
      </c>
      <c r="E742" s="6" t="str">
        <f t="array" ref="E742">IFERROR(INDEX(Airlines!$B:$B,MATCH(D742,Airlines!$A:$A,0)),"")</f>
        <v>Air_India</v>
      </c>
      <c r="F742" s="6" t="str">
        <f>VLOOKUP(A742,Bookings!$A:$F,6,FALSE())</f>
        <v>Business</v>
      </c>
      <c r="G742" s="6" t="str">
        <f t="array" ref="G742">IFERROR(INDEX(Flights!$E:$E,MATCH(B742,Flights!$A:$A,0)),"")</f>
        <v>Kolkata</v>
      </c>
      <c r="H742" s="6" t="str">
        <f>VLOOKUP(B742,Flights!A:H,6,FALSE())</f>
        <v>Chennai</v>
      </c>
      <c r="I742" s="6" t="str">
        <f t="array" ref="I742">IFERROR(INDEX(Bookings!$G:$G,MATCH(B742,Bookings!$B:$B,0)),"")</f>
        <v>1</v>
      </c>
      <c r="J742" s="5">
        <f>VLOOKUP(B742,Bookings!B:H,7,FALSE())</f>
        <v>13.17</v>
      </c>
      <c r="K742" s="5" t="str">
        <f t="shared" si="1"/>
        <v>Long</v>
      </c>
      <c r="L742" s="11">
        <f t="array" ref="L742">IFERROR(INDEX(Bookings!$K:$K,MATCH(A742,Bookings!$A:$A,0)),"")</f>
        <v>55983</v>
      </c>
      <c r="M742" s="5" t="str">
        <f t="shared" si="2"/>
        <v>High</v>
      </c>
      <c r="N742" s="5">
        <f t="array" ref="N742">IFERROR(INDEX(Bookings!$I:$I,MATCH(A742,Bookings!$A:$A,0)),"")</f>
        <v>23</v>
      </c>
      <c r="O742" s="5" t="str">
        <f t="shared" si="3"/>
        <v>Moderate</v>
      </c>
      <c r="P742" s="5" t="str">
        <f t="shared" si="4"/>
        <v>Kolkata -&gt; Chennai</v>
      </c>
    </row>
    <row r="743" ht="15.75" customHeight="1">
      <c r="A743" s="5" t="s">
        <v>2298</v>
      </c>
      <c r="B743" s="5" t="s">
        <v>1645</v>
      </c>
      <c r="C743" s="5" t="s">
        <v>549</v>
      </c>
      <c r="D743" s="5" t="s">
        <v>45</v>
      </c>
      <c r="E743" s="6" t="str">
        <f t="array" ref="E743">IFERROR(INDEX(Airlines!$B:$B,MATCH(D743,Airlines!$A:$A,0)),"")</f>
        <v>Air_India</v>
      </c>
      <c r="F743" s="6" t="str">
        <f>VLOOKUP(A743,Bookings!$A:$F,6,FALSE())</f>
        <v>Economy</v>
      </c>
      <c r="G743" s="6" t="str">
        <f t="array" ref="G743">IFERROR(INDEX(Flights!$E:$E,MATCH(B743,Flights!$A:$A,0)),"")</f>
        <v>Kolkata</v>
      </c>
      <c r="H743" s="6" t="str">
        <f>VLOOKUP(B743,Flights!A:H,6,FALSE())</f>
        <v>Chennai</v>
      </c>
      <c r="I743" s="6" t="str">
        <f t="array" ref="I743">IFERROR(INDEX(Bookings!$G:$G,MATCH(B743,Bookings!$B:$B,0)),"")</f>
        <v>1</v>
      </c>
      <c r="J743" s="5">
        <f>VLOOKUP(B743,Bookings!B:H,7,FALSE())</f>
        <v>8.08</v>
      </c>
      <c r="K743" s="5" t="str">
        <f t="shared" si="1"/>
        <v>Medium</v>
      </c>
      <c r="L743" s="11">
        <f t="array" ref="L743">IFERROR(INDEX(Bookings!$K:$K,MATCH(A743,Bookings!$A:$A,0)),"")</f>
        <v>4969</v>
      </c>
      <c r="M743" s="5" t="str">
        <f t="shared" si="2"/>
        <v>Medium</v>
      </c>
      <c r="N743" s="5">
        <f t="array" ref="N743">IFERROR(INDEX(Bookings!$I:$I,MATCH(A743,Bookings!$A:$A,0)),"")</f>
        <v>36</v>
      </c>
      <c r="O743" s="5" t="str">
        <f t="shared" si="3"/>
        <v>Advance</v>
      </c>
      <c r="P743" s="5" t="str">
        <f t="shared" si="4"/>
        <v>Kolkata -&gt; Chennai</v>
      </c>
    </row>
    <row r="744" ht="15.75" customHeight="1">
      <c r="A744" s="5" t="s">
        <v>2299</v>
      </c>
      <c r="B744" s="5" t="s">
        <v>1627</v>
      </c>
      <c r="C744" s="5" t="s">
        <v>549</v>
      </c>
      <c r="D744" s="5" t="s">
        <v>20</v>
      </c>
      <c r="E744" s="6" t="str">
        <f t="array" ref="E744">IFERROR(INDEX(Airlines!$B:$B,MATCH(D744,Airlines!$A:$A,0)),"")</f>
        <v>Vistara</v>
      </c>
      <c r="F744" s="6" t="str">
        <f>VLOOKUP(A744,Bookings!$A:$F,6,FALSE())</f>
        <v>Economy</v>
      </c>
      <c r="G744" s="6" t="str">
        <f t="array" ref="G744">IFERROR(INDEX(Flights!$E:$E,MATCH(B744,Flights!$A:$A,0)),"")</f>
        <v>Kolkata</v>
      </c>
      <c r="H744" s="6" t="str">
        <f>VLOOKUP(B744,Flights!A:H,6,FALSE())</f>
        <v>Chennai</v>
      </c>
      <c r="I744" s="6" t="str">
        <f t="array" ref="I744">IFERROR(INDEX(Bookings!$G:$G,MATCH(B744,Bookings!$B:$B,0)),"")</f>
        <v>1</v>
      </c>
      <c r="J744" s="5">
        <f>VLOOKUP(B744,Bookings!B:H,7,FALSE())</f>
        <v>28.92</v>
      </c>
      <c r="K744" s="5" t="str">
        <f t="shared" si="1"/>
        <v>Long</v>
      </c>
      <c r="L744" s="11">
        <f t="array" ref="L744">IFERROR(INDEX(Bookings!$K:$K,MATCH(A744,Bookings!$A:$A,0)),"")</f>
        <v>17094</v>
      </c>
      <c r="M744" s="5" t="str">
        <f t="shared" si="2"/>
        <v>High</v>
      </c>
      <c r="N744" s="5">
        <f t="array" ref="N744">IFERROR(INDEX(Bookings!$I:$I,MATCH(A744,Bookings!$A:$A,0)),"")</f>
        <v>1</v>
      </c>
      <c r="O744" s="5" t="str">
        <f t="shared" si="3"/>
        <v>Last Minute</v>
      </c>
      <c r="P744" s="5" t="str">
        <f t="shared" si="4"/>
        <v>Kolkata -&gt; Chennai</v>
      </c>
    </row>
    <row r="745" ht="15.75" customHeight="1">
      <c r="A745" s="5" t="s">
        <v>2301</v>
      </c>
      <c r="B745" s="5" t="s">
        <v>1612</v>
      </c>
      <c r="C745" s="5" t="s">
        <v>549</v>
      </c>
      <c r="D745" s="5" t="s">
        <v>20</v>
      </c>
      <c r="E745" s="6" t="str">
        <f t="array" ref="E745">IFERROR(INDEX(Airlines!$B:$B,MATCH(D745,Airlines!$A:$A,0)),"")</f>
        <v>Vistara</v>
      </c>
      <c r="F745" s="6" t="str">
        <f>VLOOKUP(A745,Bookings!$A:$F,6,FALSE())</f>
        <v>Economy</v>
      </c>
      <c r="G745" s="6" t="str">
        <f t="array" ref="G745">IFERROR(INDEX(Flights!$E:$E,MATCH(B745,Flights!$A:$A,0)),"")</f>
        <v>Kolkata</v>
      </c>
      <c r="H745" s="6" t="str">
        <f>VLOOKUP(B745,Flights!A:H,6,FALSE())</f>
        <v>Chennai</v>
      </c>
      <c r="I745" s="6" t="str">
        <f t="array" ref="I745">IFERROR(INDEX(Bookings!$G:$G,MATCH(B745,Bookings!$B:$B,0)),"")</f>
        <v>1</v>
      </c>
      <c r="J745" s="5">
        <f>VLOOKUP(B745,Bookings!B:H,7,FALSE())</f>
        <v>26.33</v>
      </c>
      <c r="K745" s="5" t="str">
        <f t="shared" si="1"/>
        <v>Long</v>
      </c>
      <c r="L745" s="11">
        <f t="array" ref="L745">IFERROR(INDEX(Bookings!$K:$K,MATCH(A745,Bookings!$A:$A,0)),"")</f>
        <v>7021</v>
      </c>
      <c r="M745" s="5" t="str">
        <f t="shared" si="2"/>
        <v>Medium</v>
      </c>
      <c r="N745" s="5">
        <f t="array" ref="N745">IFERROR(INDEX(Bookings!$I:$I,MATCH(A745,Bookings!$A:$A,0)),"")</f>
        <v>42</v>
      </c>
      <c r="O745" s="5" t="str">
        <f t="shared" si="3"/>
        <v>Advance</v>
      </c>
      <c r="P745" s="5" t="str">
        <f t="shared" si="4"/>
        <v>Kolkata -&gt; Chennai</v>
      </c>
    </row>
    <row r="746" ht="15.75" customHeight="1">
      <c r="A746" s="5" t="s">
        <v>2304</v>
      </c>
      <c r="B746" s="5" t="s">
        <v>1586</v>
      </c>
      <c r="C746" s="5" t="s">
        <v>549</v>
      </c>
      <c r="D746" s="5" t="s">
        <v>45</v>
      </c>
      <c r="E746" s="6" t="str">
        <f t="array" ref="E746">IFERROR(INDEX(Airlines!$B:$B,MATCH(D746,Airlines!$A:$A,0)),"")</f>
        <v>Air_India</v>
      </c>
      <c r="F746" s="6" t="str">
        <f>VLOOKUP(A746,Bookings!$A:$F,6,FALSE())</f>
        <v>Business</v>
      </c>
      <c r="G746" s="6" t="str">
        <f t="array" ref="G746">IFERROR(INDEX(Flights!$E:$E,MATCH(B746,Flights!$A:$A,0)),"")</f>
        <v>Kolkata</v>
      </c>
      <c r="H746" s="6" t="str">
        <f>VLOOKUP(B746,Flights!A:H,6,FALSE())</f>
        <v>Chennai</v>
      </c>
      <c r="I746" s="6" t="str">
        <f t="array" ref="I746">IFERROR(INDEX(Bookings!$G:$G,MATCH(B746,Bookings!$B:$B,0)),"")</f>
        <v>1</v>
      </c>
      <c r="J746" s="5">
        <f>VLOOKUP(B746,Bookings!B:H,7,FALSE())</f>
        <v>26.25</v>
      </c>
      <c r="K746" s="5" t="str">
        <f t="shared" si="1"/>
        <v>Long</v>
      </c>
      <c r="L746" s="11">
        <f t="array" ref="L746">IFERROR(INDEX(Bookings!$K:$K,MATCH(A746,Bookings!$A:$A,0)),"")</f>
        <v>55983</v>
      </c>
      <c r="M746" s="5" t="str">
        <f t="shared" si="2"/>
        <v>High</v>
      </c>
      <c r="N746" s="5">
        <f t="array" ref="N746">IFERROR(INDEX(Bookings!$I:$I,MATCH(A746,Bookings!$A:$A,0)),"")</f>
        <v>9</v>
      </c>
      <c r="O746" s="5" t="str">
        <f t="shared" si="3"/>
        <v>Short Notice</v>
      </c>
      <c r="P746" s="5" t="str">
        <f t="shared" si="4"/>
        <v>Kolkata -&gt; Chennai</v>
      </c>
    </row>
    <row r="747" ht="15.75" customHeight="1">
      <c r="A747" s="5" t="s">
        <v>2307</v>
      </c>
      <c r="B747" s="5" t="s">
        <v>1629</v>
      </c>
      <c r="C747" s="5" t="s">
        <v>549</v>
      </c>
      <c r="D747" s="5" t="s">
        <v>20</v>
      </c>
      <c r="E747" s="6" t="str">
        <f t="array" ref="E747">IFERROR(INDEX(Airlines!$B:$B,MATCH(D747,Airlines!$A:$A,0)),"")</f>
        <v>Vistara</v>
      </c>
      <c r="F747" s="6" t="str">
        <f>VLOOKUP(A747,Bookings!$A:$F,6,FALSE())</f>
        <v>Economy</v>
      </c>
      <c r="G747" s="6" t="str">
        <f t="array" ref="G747">IFERROR(INDEX(Flights!$E:$E,MATCH(B747,Flights!$A:$A,0)),"")</f>
        <v>Kolkata</v>
      </c>
      <c r="H747" s="6" t="str">
        <f>VLOOKUP(B747,Flights!A:H,6,FALSE())</f>
        <v>Chennai</v>
      </c>
      <c r="I747" s="6" t="str">
        <f t="array" ref="I747">IFERROR(INDEX(Bookings!$G:$G,MATCH(B747,Bookings!$B:$B,0)),"")</f>
        <v>1</v>
      </c>
      <c r="J747" s="5">
        <f>VLOOKUP(B747,Bookings!B:H,7,FALSE())</f>
        <v>15.25</v>
      </c>
      <c r="K747" s="5" t="str">
        <f t="shared" si="1"/>
        <v>Long</v>
      </c>
      <c r="L747" s="11">
        <f t="array" ref="L747">IFERROR(INDEX(Bookings!$K:$K,MATCH(A747,Bookings!$A:$A,0)),"")</f>
        <v>7141</v>
      </c>
      <c r="M747" s="5" t="str">
        <f t="shared" si="2"/>
        <v>Medium</v>
      </c>
      <c r="N747" s="5">
        <f t="array" ref="N747">IFERROR(INDEX(Bookings!$I:$I,MATCH(A747,Bookings!$A:$A,0)),"")</f>
        <v>37</v>
      </c>
      <c r="O747" s="5" t="str">
        <f t="shared" si="3"/>
        <v>Advance</v>
      </c>
      <c r="P747" s="5" t="str">
        <f t="shared" si="4"/>
        <v>Kolkata -&gt; Chennai</v>
      </c>
    </row>
    <row r="748" ht="15.75" customHeight="1">
      <c r="A748" s="5" t="s">
        <v>2309</v>
      </c>
      <c r="B748" s="5" t="s">
        <v>1637</v>
      </c>
      <c r="C748" s="5" t="s">
        <v>549</v>
      </c>
      <c r="D748" s="5" t="s">
        <v>43</v>
      </c>
      <c r="E748" s="6" t="str">
        <f t="array" ref="E748">IFERROR(INDEX(Airlines!$B:$B,MATCH(D748,Airlines!$A:$A,0)),"")</f>
        <v>Indigo</v>
      </c>
      <c r="F748" s="6" t="str">
        <f>VLOOKUP(A748,Bookings!$A:$F,6,FALSE())</f>
        <v>Economy</v>
      </c>
      <c r="G748" s="6" t="str">
        <f t="array" ref="G748">IFERROR(INDEX(Flights!$E:$E,MATCH(B748,Flights!$A:$A,0)),"")</f>
        <v>Kolkata</v>
      </c>
      <c r="H748" s="6" t="str">
        <f>VLOOKUP(B748,Flights!A:H,6,FALSE())</f>
        <v>Chennai</v>
      </c>
      <c r="I748" s="6" t="str">
        <f t="array" ref="I748">IFERROR(INDEX(Bookings!$G:$G,MATCH(B748,Bookings!$B:$B,0)),"")</f>
        <v>1</v>
      </c>
      <c r="J748" s="5">
        <f>VLOOKUP(B748,Bookings!B:H,7,FALSE())</f>
        <v>9.67</v>
      </c>
      <c r="K748" s="5" t="str">
        <f t="shared" si="1"/>
        <v>Medium</v>
      </c>
      <c r="L748" s="11">
        <f t="array" ref="L748">IFERROR(INDEX(Bookings!$K:$K,MATCH(A748,Bookings!$A:$A,0)),"")</f>
        <v>6489</v>
      </c>
      <c r="M748" s="5" t="str">
        <f t="shared" si="2"/>
        <v>Medium</v>
      </c>
      <c r="N748" s="5">
        <f t="array" ref="N748">IFERROR(INDEX(Bookings!$I:$I,MATCH(A748,Bookings!$A:$A,0)),"")</f>
        <v>28</v>
      </c>
      <c r="O748" s="5" t="str">
        <f t="shared" si="3"/>
        <v>Moderate</v>
      </c>
      <c r="P748" s="5" t="str">
        <f t="shared" si="4"/>
        <v>Kolkata -&gt; Chennai</v>
      </c>
    </row>
    <row r="749" ht="15.75" customHeight="1">
      <c r="A749" s="5" t="s">
        <v>2311</v>
      </c>
      <c r="B749" s="5" t="s">
        <v>1590</v>
      </c>
      <c r="C749" s="5" t="s">
        <v>549</v>
      </c>
      <c r="D749" s="5" t="s">
        <v>43</v>
      </c>
      <c r="E749" s="6" t="str">
        <f t="array" ref="E749">IFERROR(INDEX(Airlines!$B:$B,MATCH(D749,Airlines!$A:$A,0)),"")</f>
        <v>Indigo</v>
      </c>
      <c r="F749" s="6" t="str">
        <f>VLOOKUP(A749,Bookings!$A:$F,6,FALSE())</f>
        <v>Economy</v>
      </c>
      <c r="G749" s="6" t="str">
        <f t="array" ref="G749">IFERROR(INDEX(Flights!$E:$E,MATCH(B749,Flights!$A:$A,0)),"")</f>
        <v>Kolkata</v>
      </c>
      <c r="H749" s="6" t="str">
        <f>VLOOKUP(B749,Flights!A:H,6,FALSE())</f>
        <v>Chennai</v>
      </c>
      <c r="I749" s="6">
        <f t="array" ref="I749">IFERROR(INDEX(Bookings!$G:$G,MATCH(B749,Bookings!$B:$B,0)),"")</f>
        <v>1</v>
      </c>
      <c r="J749" s="5">
        <f>VLOOKUP(B749,Bookings!B:H,7,FALSE())</f>
        <v>8.67</v>
      </c>
      <c r="K749" s="5" t="str">
        <f t="shared" si="1"/>
        <v>Medium</v>
      </c>
      <c r="L749" s="11">
        <f t="array" ref="L749">IFERROR(INDEX(Bookings!$K:$K,MATCH(A749,Bookings!$A:$A,0)),"")</f>
        <v>10936</v>
      </c>
      <c r="M749" s="5" t="str">
        <f t="shared" si="2"/>
        <v>Medium</v>
      </c>
      <c r="N749" s="5">
        <f t="array" ref="N749">IFERROR(INDEX(Bookings!$I:$I,MATCH(A749,Bookings!$A:$A,0)),"")</f>
        <v>9</v>
      </c>
      <c r="O749" s="5" t="str">
        <f t="shared" si="3"/>
        <v>Short Notice</v>
      </c>
      <c r="P749" s="5" t="str">
        <f t="shared" si="4"/>
        <v>Kolkata -&gt; Chennai</v>
      </c>
    </row>
    <row r="750" ht="15.75" customHeight="1">
      <c r="A750" s="5" t="s">
        <v>2313</v>
      </c>
      <c r="B750" s="5" t="s">
        <v>1574</v>
      </c>
      <c r="C750" s="5" t="s">
        <v>549</v>
      </c>
      <c r="D750" s="5" t="s">
        <v>43</v>
      </c>
      <c r="E750" s="6" t="str">
        <f t="array" ref="E750">IFERROR(INDEX(Airlines!$B:$B,MATCH(D750,Airlines!$A:$A,0)),"")</f>
        <v>Indigo</v>
      </c>
      <c r="F750" s="6" t="str">
        <f>VLOOKUP(A750,Bookings!$A:$F,6,FALSE())</f>
        <v>Economy</v>
      </c>
      <c r="G750" s="6" t="str">
        <f t="array" ref="G750">IFERROR(INDEX(Flights!$E:$E,MATCH(B750,Flights!$A:$A,0)),"")</f>
        <v>Kolkata</v>
      </c>
      <c r="H750" s="6" t="str">
        <f>VLOOKUP(B750,Flights!A:H,6,FALSE())</f>
        <v>Chennai</v>
      </c>
      <c r="I750" s="6" t="str">
        <f t="array" ref="I750">IFERROR(INDEX(Bookings!$G:$G,MATCH(B750,Bookings!$B:$B,0)),"")</f>
        <v>1</v>
      </c>
      <c r="J750" s="5">
        <f>VLOOKUP(B750,Bookings!B:H,7,FALSE())</f>
        <v>7.67</v>
      </c>
      <c r="K750" s="5" t="str">
        <f t="shared" si="1"/>
        <v>Medium</v>
      </c>
      <c r="L750" s="11">
        <f t="array" ref="L750">IFERROR(INDEX(Bookings!$K:$K,MATCH(A750,Bookings!$A:$A,0)),"")</f>
        <v>5120</v>
      </c>
      <c r="M750" s="5" t="str">
        <f t="shared" si="2"/>
        <v>Medium</v>
      </c>
      <c r="N750" s="5">
        <f t="array" ref="N750">IFERROR(INDEX(Bookings!$I:$I,MATCH(A750,Bookings!$A:$A,0)),"")</f>
        <v>39</v>
      </c>
      <c r="O750" s="5" t="str">
        <f t="shared" si="3"/>
        <v>Advance</v>
      </c>
      <c r="P750" s="5" t="str">
        <f t="shared" si="4"/>
        <v>Kolkata -&gt; Chennai</v>
      </c>
    </row>
    <row r="751" ht="15.75" customHeight="1">
      <c r="A751" s="5" t="s">
        <v>2314</v>
      </c>
      <c r="B751" s="5" t="s">
        <v>1605</v>
      </c>
      <c r="C751" s="5" t="s">
        <v>549</v>
      </c>
      <c r="D751" s="5" t="s">
        <v>43</v>
      </c>
      <c r="E751" s="6" t="str">
        <f t="array" ref="E751">IFERROR(INDEX(Airlines!$B:$B,MATCH(D751,Airlines!$A:$A,0)),"")</f>
        <v>Indigo</v>
      </c>
      <c r="F751" s="6" t="str">
        <f>VLOOKUP(A751,Bookings!$A:$F,6,FALSE())</f>
        <v>Economy</v>
      </c>
      <c r="G751" s="6" t="str">
        <f t="array" ref="G751">IFERROR(INDEX(Flights!$E:$E,MATCH(B751,Flights!$A:$A,0)),"")</f>
        <v>Kolkata</v>
      </c>
      <c r="H751" s="6" t="str">
        <f>VLOOKUP(B751,Flights!A:H,6,FALSE())</f>
        <v>Chennai</v>
      </c>
      <c r="I751" s="6" t="str">
        <f t="array" ref="I751">IFERROR(INDEX(Bookings!$G:$G,MATCH(B751,Bookings!$B:$B,0)),"")</f>
        <v>1</v>
      </c>
      <c r="J751" s="5">
        <f>VLOOKUP(B751,Bookings!B:H,7,FALSE())</f>
        <v>10</v>
      </c>
      <c r="K751" s="5" t="str">
        <f t="shared" si="1"/>
        <v>Medium</v>
      </c>
      <c r="L751" s="11">
        <f t="array" ref="L751">IFERROR(INDEX(Bookings!$K:$K,MATCH(A751,Bookings!$A:$A,0)),"")</f>
        <v>6207</v>
      </c>
      <c r="M751" s="5" t="str">
        <f t="shared" si="2"/>
        <v>Medium</v>
      </c>
      <c r="N751" s="5">
        <f t="array" ref="N751">IFERROR(INDEX(Bookings!$I:$I,MATCH(A751,Bookings!$A:$A,0)),"")</f>
        <v>28</v>
      </c>
      <c r="O751" s="5" t="str">
        <f t="shared" si="3"/>
        <v>Moderate</v>
      </c>
      <c r="P751" s="5" t="str">
        <f t="shared" si="4"/>
        <v>Kolkata -&gt; Chennai</v>
      </c>
    </row>
    <row r="752" ht="15.75" customHeight="1">
      <c r="A752" s="5" t="s">
        <v>2317</v>
      </c>
      <c r="B752" s="5" t="s">
        <v>1624</v>
      </c>
      <c r="C752" s="5" t="s">
        <v>549</v>
      </c>
      <c r="D752" s="5" t="s">
        <v>45</v>
      </c>
      <c r="E752" s="6" t="str">
        <f t="array" ref="E752">IFERROR(INDEX(Airlines!$B:$B,MATCH(D752,Airlines!$A:$A,0)),"")</f>
        <v>Air_India</v>
      </c>
      <c r="F752" s="6" t="str">
        <f>VLOOKUP(A752,Bookings!$A:$F,6,FALSE())</f>
        <v>Economy</v>
      </c>
      <c r="G752" s="6" t="str">
        <f t="array" ref="G752">IFERROR(INDEX(Flights!$E:$E,MATCH(B752,Flights!$A:$A,0)),"")</f>
        <v>Kolkata</v>
      </c>
      <c r="H752" s="6" t="str">
        <f>VLOOKUP(B752,Flights!A:H,6,FALSE())</f>
        <v>Chennai</v>
      </c>
      <c r="I752" s="6" t="str">
        <f t="array" ref="I752">IFERROR(INDEX(Bookings!$G:$G,MATCH(B752,Bookings!$B:$B,0)),"")</f>
        <v>1</v>
      </c>
      <c r="J752" s="5">
        <f>VLOOKUP(B752,Bookings!B:H,7,FALSE())</f>
        <v>17.67</v>
      </c>
      <c r="K752" s="5" t="str">
        <f t="shared" si="1"/>
        <v>Long</v>
      </c>
      <c r="L752" s="11">
        <f t="array" ref="L752">IFERROR(INDEX(Bookings!$K:$K,MATCH(A752,Bookings!$A:$A,0)),"")</f>
        <v>13944</v>
      </c>
      <c r="M752" s="5" t="str">
        <f t="shared" si="2"/>
        <v>Medium</v>
      </c>
      <c r="N752" s="5">
        <f t="array" ref="N752">IFERROR(INDEX(Bookings!$I:$I,MATCH(A752,Bookings!$A:$A,0)),"")</f>
        <v>12</v>
      </c>
      <c r="O752" s="5" t="str">
        <f t="shared" si="3"/>
        <v>Short Notice</v>
      </c>
      <c r="P752" s="5" t="str">
        <f t="shared" si="4"/>
        <v>Kolkata -&gt; Chennai</v>
      </c>
    </row>
    <row r="753" ht="15.75" customHeight="1">
      <c r="A753" s="5" t="s">
        <v>2319</v>
      </c>
      <c r="B753" s="5" t="s">
        <v>1640</v>
      </c>
      <c r="C753" s="5" t="s">
        <v>549</v>
      </c>
      <c r="D753" s="5" t="s">
        <v>45</v>
      </c>
      <c r="E753" s="6" t="str">
        <f t="array" ref="E753">IFERROR(INDEX(Airlines!$B:$B,MATCH(D753,Airlines!$A:$A,0)),"")</f>
        <v>Air_India</v>
      </c>
      <c r="F753" s="6" t="str">
        <f>VLOOKUP(A753,Bookings!$A:$F,6,FALSE())</f>
        <v>Economy</v>
      </c>
      <c r="G753" s="6" t="str">
        <f t="array" ref="G753">IFERROR(INDEX(Flights!$E:$E,MATCH(B753,Flights!$A:$A,0)),"")</f>
        <v>Kolkata</v>
      </c>
      <c r="H753" s="6" t="str">
        <f>VLOOKUP(B753,Flights!A:H,6,FALSE())</f>
        <v>Chennai</v>
      </c>
      <c r="I753" s="6" t="str">
        <f t="array" ref="I753">IFERROR(INDEX(Bookings!$G:$G,MATCH(B753,Bookings!$B:$B,0)),"")</f>
        <v>2+</v>
      </c>
      <c r="J753" s="5">
        <f>VLOOKUP(B753,Bookings!B:H,7,FALSE())</f>
        <v>34.58</v>
      </c>
      <c r="K753" s="5" t="str">
        <f t="shared" si="1"/>
        <v>Long</v>
      </c>
      <c r="L753" s="11">
        <f t="array" ref="L753">IFERROR(INDEX(Bookings!$K:$K,MATCH(A753,Bookings!$A:$A,0)),"")</f>
        <v>7543</v>
      </c>
      <c r="M753" s="5" t="str">
        <f t="shared" si="2"/>
        <v>Medium</v>
      </c>
      <c r="N753" s="5">
        <f t="array" ref="N753">IFERROR(INDEX(Bookings!$I:$I,MATCH(A753,Bookings!$A:$A,0)),"")</f>
        <v>17</v>
      </c>
      <c r="O753" s="5" t="str">
        <f t="shared" si="3"/>
        <v>Moderate</v>
      </c>
      <c r="P753" s="5" t="str">
        <f t="shared" si="4"/>
        <v>Kolkata -&gt; Chennai</v>
      </c>
    </row>
    <row r="754" ht="15.75" customHeight="1">
      <c r="A754" s="5" t="s">
        <v>2322</v>
      </c>
      <c r="B754" s="5" t="s">
        <v>1620</v>
      </c>
      <c r="C754" s="5" t="s">
        <v>549</v>
      </c>
      <c r="D754" s="5" t="s">
        <v>45</v>
      </c>
      <c r="E754" s="6" t="str">
        <f t="array" ref="E754">IFERROR(INDEX(Airlines!$B:$B,MATCH(D754,Airlines!$A:$A,0)),"")</f>
        <v>Air_India</v>
      </c>
      <c r="F754" s="6" t="str">
        <f>VLOOKUP(A754,Bookings!$A:$F,6,FALSE())</f>
        <v>Economy</v>
      </c>
      <c r="G754" s="6" t="str">
        <f t="array" ref="G754">IFERROR(INDEX(Flights!$E:$E,MATCH(B754,Flights!$A:$A,0)),"")</f>
        <v>Kolkata</v>
      </c>
      <c r="H754" s="6" t="str">
        <f>VLOOKUP(B754,Flights!A:H,6,FALSE())</f>
        <v>Chennai</v>
      </c>
      <c r="I754" s="6" t="str">
        <f t="array" ref="I754">IFERROR(INDEX(Bookings!$G:$G,MATCH(B754,Bookings!$B:$B,0)),"")</f>
        <v>2+</v>
      </c>
      <c r="J754" s="5">
        <f>VLOOKUP(B754,Bookings!B:H,7,FALSE())</f>
        <v>33.33</v>
      </c>
      <c r="K754" s="5" t="str">
        <f t="shared" si="1"/>
        <v>Long</v>
      </c>
      <c r="L754" s="11">
        <f t="array" ref="L754">IFERROR(INDEX(Bookings!$K:$K,MATCH(A754,Bookings!$A:$A,0)),"")</f>
        <v>16782</v>
      </c>
      <c r="M754" s="5" t="str">
        <f t="shared" si="2"/>
        <v>High</v>
      </c>
      <c r="N754" s="5">
        <f t="array" ref="N754">IFERROR(INDEX(Bookings!$I:$I,MATCH(A754,Bookings!$A:$A,0)),"")</f>
        <v>3</v>
      </c>
      <c r="O754" s="5" t="str">
        <f t="shared" si="3"/>
        <v>Last Minute</v>
      </c>
      <c r="P754" s="5" t="str">
        <f t="shared" si="4"/>
        <v>Kolkata -&gt; Chennai</v>
      </c>
    </row>
    <row r="755" ht="15.75" customHeight="1">
      <c r="A755" s="5" t="s">
        <v>2323</v>
      </c>
      <c r="B755" s="5" t="s">
        <v>1599</v>
      </c>
      <c r="C755" s="5" t="s">
        <v>549</v>
      </c>
      <c r="D755" s="5" t="s">
        <v>20</v>
      </c>
      <c r="E755" s="6" t="str">
        <f t="array" ref="E755">IFERROR(INDEX(Airlines!$B:$B,MATCH(D755,Airlines!$A:$A,0)),"")</f>
        <v>Vistara</v>
      </c>
      <c r="F755" s="6" t="str">
        <f>VLOOKUP(A755,Bookings!$A:$F,6,FALSE())</f>
        <v>Economy</v>
      </c>
      <c r="G755" s="6" t="str">
        <f t="array" ref="G755">IFERROR(INDEX(Flights!$E:$E,MATCH(B755,Flights!$A:$A,0)),"")</f>
        <v>Kolkata</v>
      </c>
      <c r="H755" s="6" t="str">
        <f>VLOOKUP(B755,Flights!A:H,6,FALSE())</f>
        <v>Chennai</v>
      </c>
      <c r="I755" s="6" t="str">
        <f t="array" ref="I755">IFERROR(INDEX(Bookings!$G:$G,MATCH(B755,Bookings!$B:$B,0)),"")</f>
        <v>1</v>
      </c>
      <c r="J755" s="5">
        <f>VLOOKUP(B755,Bookings!B:H,7,FALSE())</f>
        <v>12.75</v>
      </c>
      <c r="K755" s="5" t="str">
        <f t="shared" si="1"/>
        <v>Long</v>
      </c>
      <c r="L755" s="11">
        <f t="array" ref="L755">IFERROR(INDEX(Bookings!$K:$K,MATCH(A755,Bookings!$A:$A,0)),"")</f>
        <v>8589</v>
      </c>
      <c r="M755" s="5" t="str">
        <f t="shared" si="2"/>
        <v>Medium</v>
      </c>
      <c r="N755" s="5">
        <f t="array" ref="N755">IFERROR(INDEX(Bookings!$I:$I,MATCH(A755,Bookings!$A:$A,0)),"")</f>
        <v>28</v>
      </c>
      <c r="O755" s="5" t="str">
        <f t="shared" si="3"/>
        <v>Moderate</v>
      </c>
      <c r="P755" s="5" t="str">
        <f t="shared" si="4"/>
        <v>Kolkata -&gt; Chennai</v>
      </c>
    </row>
    <row r="756" ht="15.75" customHeight="1">
      <c r="A756" s="5" t="s">
        <v>2325</v>
      </c>
      <c r="B756" s="5" t="s">
        <v>1626</v>
      </c>
      <c r="C756" s="5" t="s">
        <v>549</v>
      </c>
      <c r="D756" s="5" t="s">
        <v>45</v>
      </c>
      <c r="E756" s="6" t="str">
        <f t="array" ref="E756">IFERROR(INDEX(Airlines!$B:$B,MATCH(D756,Airlines!$A:$A,0)),"")</f>
        <v>Air_India</v>
      </c>
      <c r="F756" s="6" t="str">
        <f>VLOOKUP(A756,Bookings!$A:$F,6,FALSE())</f>
        <v>Economy</v>
      </c>
      <c r="G756" s="6" t="str">
        <f t="array" ref="G756">IFERROR(INDEX(Flights!$E:$E,MATCH(B756,Flights!$A:$A,0)),"")</f>
        <v>Kolkata</v>
      </c>
      <c r="H756" s="6" t="str">
        <f>VLOOKUP(B756,Flights!A:H,6,FALSE())</f>
        <v>Chennai</v>
      </c>
      <c r="I756" s="6" t="str">
        <f t="array" ref="I756">IFERROR(INDEX(Bookings!$G:$G,MATCH(B756,Bookings!$B:$B,0)),"")</f>
        <v>2+</v>
      </c>
      <c r="J756" s="5">
        <f>VLOOKUP(B756,Bookings!B:H,7,FALSE())</f>
        <v>19.42</v>
      </c>
      <c r="K756" s="5" t="str">
        <f t="shared" si="1"/>
        <v>Long</v>
      </c>
      <c r="L756" s="11">
        <f t="array" ref="L756">IFERROR(INDEX(Bookings!$K:$K,MATCH(A756,Bookings!$A:$A,0)),"")</f>
        <v>12792</v>
      </c>
      <c r="M756" s="5" t="str">
        <f t="shared" si="2"/>
        <v>Medium</v>
      </c>
      <c r="N756" s="5">
        <f t="array" ref="N756">IFERROR(INDEX(Bookings!$I:$I,MATCH(A756,Bookings!$A:$A,0)),"")</f>
        <v>6</v>
      </c>
      <c r="O756" s="5" t="str">
        <f t="shared" si="3"/>
        <v>Last Minute</v>
      </c>
      <c r="P756" s="5" t="str">
        <f t="shared" si="4"/>
        <v>Kolkata -&gt; Chennai</v>
      </c>
    </row>
    <row r="757" ht="15.75" customHeight="1">
      <c r="A757" s="5" t="s">
        <v>2327</v>
      </c>
      <c r="B757" s="5" t="s">
        <v>1635</v>
      </c>
      <c r="C757" s="5" t="s">
        <v>549</v>
      </c>
      <c r="D757" s="5" t="s">
        <v>20</v>
      </c>
      <c r="E757" s="6" t="str">
        <f t="array" ref="E757">IFERROR(INDEX(Airlines!$B:$B,MATCH(D757,Airlines!$A:$A,0)),"")</f>
        <v>Vistara</v>
      </c>
      <c r="F757" s="6" t="str">
        <f>VLOOKUP(A757,Bookings!$A:$F,6,FALSE())</f>
        <v>Business</v>
      </c>
      <c r="G757" s="6" t="str">
        <f t="array" ref="G757">IFERROR(INDEX(Flights!$E:$E,MATCH(B757,Flights!$A:$A,0)),"")</f>
        <v>Kolkata</v>
      </c>
      <c r="H757" s="6" t="str">
        <f>VLOOKUP(B757,Flights!A:H,6,FALSE())</f>
        <v>Chennai</v>
      </c>
      <c r="I757" s="6" t="str">
        <f t="array" ref="I757">IFERROR(INDEX(Bookings!$G:$G,MATCH(B757,Bookings!$B:$B,0)),"")</f>
        <v>1</v>
      </c>
      <c r="J757" s="5">
        <f>VLOOKUP(B757,Bookings!B:H,7,FALSE())</f>
        <v>26.33</v>
      </c>
      <c r="K757" s="5" t="str">
        <f t="shared" si="1"/>
        <v>Long</v>
      </c>
      <c r="L757" s="11">
        <f t="array" ref="L757">IFERROR(INDEX(Bookings!$K:$K,MATCH(A757,Bookings!$A:$A,0)),"")</f>
        <v>55983</v>
      </c>
      <c r="M757" s="5" t="str">
        <f t="shared" si="2"/>
        <v>High</v>
      </c>
      <c r="N757" s="5">
        <f t="array" ref="N757">IFERROR(INDEX(Bookings!$I:$I,MATCH(A757,Bookings!$A:$A,0)),"")</f>
        <v>37</v>
      </c>
      <c r="O757" s="5" t="str">
        <f t="shared" si="3"/>
        <v>Advance</v>
      </c>
      <c r="P757" s="5" t="str">
        <f t="shared" si="4"/>
        <v>Kolkata -&gt; Chennai</v>
      </c>
    </row>
    <row r="758" ht="15.75" customHeight="1">
      <c r="A758" s="5" t="s">
        <v>2329</v>
      </c>
      <c r="B758" s="5" t="s">
        <v>1616</v>
      </c>
      <c r="C758" s="5" t="s">
        <v>549</v>
      </c>
      <c r="D758" s="5" t="s">
        <v>45</v>
      </c>
      <c r="E758" s="6" t="str">
        <f t="array" ref="E758">IFERROR(INDEX(Airlines!$B:$B,MATCH(D758,Airlines!$A:$A,0)),"")</f>
        <v>Air_India</v>
      </c>
      <c r="F758" s="6" t="str">
        <f>VLOOKUP(A758,Bookings!$A:$F,6,FALSE())</f>
        <v>Economy</v>
      </c>
      <c r="G758" s="6" t="str">
        <f t="array" ref="G758">IFERROR(INDEX(Flights!$E:$E,MATCH(B758,Flights!$A:$A,0)),"")</f>
        <v>Kolkata</v>
      </c>
      <c r="H758" s="6" t="str">
        <f>VLOOKUP(B758,Flights!A:H,6,FALSE())</f>
        <v>Chennai</v>
      </c>
      <c r="I758" s="6" t="str">
        <f t="array" ref="I758">IFERROR(INDEX(Bookings!$G:$G,MATCH(B758,Bookings!$B:$B,0)),"")</f>
        <v>2+</v>
      </c>
      <c r="J758" s="5">
        <f>VLOOKUP(B758,Bookings!B:H,7,FALSE())</f>
        <v>21.33</v>
      </c>
      <c r="K758" s="5" t="str">
        <f t="shared" si="1"/>
        <v>Long</v>
      </c>
      <c r="L758" s="11">
        <f t="array" ref="L758">IFERROR(INDEX(Bookings!$K:$K,MATCH(A758,Bookings!$A:$A,0)),"")</f>
        <v>12792</v>
      </c>
      <c r="M758" s="5" t="str">
        <f t="shared" si="2"/>
        <v>Medium</v>
      </c>
      <c r="N758" s="5">
        <f t="array" ref="N758">IFERROR(INDEX(Bookings!$I:$I,MATCH(A758,Bookings!$A:$A,0)),"")</f>
        <v>14</v>
      </c>
      <c r="O758" s="5" t="str">
        <f t="shared" si="3"/>
        <v>Short Notice</v>
      </c>
      <c r="P758" s="5" t="str">
        <f t="shared" si="4"/>
        <v>Kolkata -&gt; Chennai</v>
      </c>
    </row>
    <row r="759" ht="15.75" customHeight="1">
      <c r="A759" s="5" t="s">
        <v>2332</v>
      </c>
      <c r="B759" s="5" t="s">
        <v>1584</v>
      </c>
      <c r="C759" s="5" t="s">
        <v>549</v>
      </c>
      <c r="D759" s="5" t="s">
        <v>20</v>
      </c>
      <c r="E759" s="6" t="str">
        <f t="array" ref="E759">IFERROR(INDEX(Airlines!$B:$B,MATCH(D759,Airlines!$A:$A,0)),"")</f>
        <v>Vistara</v>
      </c>
      <c r="F759" s="6" t="str">
        <f>VLOOKUP(A759,Bookings!$A:$F,6,FALSE())</f>
        <v>Business</v>
      </c>
      <c r="G759" s="6" t="str">
        <f t="array" ref="G759">IFERROR(INDEX(Flights!$E:$E,MATCH(B759,Flights!$A:$A,0)),"")</f>
        <v>Kolkata</v>
      </c>
      <c r="H759" s="6" t="str">
        <f>VLOOKUP(B759,Flights!A:H,6,FALSE())</f>
        <v>Chennai</v>
      </c>
      <c r="I759" s="6" t="str">
        <f t="array" ref="I759">IFERROR(INDEX(Bookings!$G:$G,MATCH(B759,Bookings!$B:$B,0)),"")</f>
        <v>1</v>
      </c>
      <c r="J759" s="5">
        <f>VLOOKUP(B759,Bookings!B:H,7,FALSE())</f>
        <v>5.5</v>
      </c>
      <c r="K759" s="5" t="str">
        <f t="shared" si="1"/>
        <v>Medium</v>
      </c>
      <c r="L759" s="11">
        <f t="array" ref="L759">IFERROR(INDEX(Bookings!$K:$K,MATCH(A759,Bookings!$A:$A,0)),"")</f>
        <v>55502</v>
      </c>
      <c r="M759" s="5" t="str">
        <f t="shared" si="2"/>
        <v>High</v>
      </c>
      <c r="N759" s="5">
        <f t="array" ref="N759">IFERROR(INDEX(Bookings!$I:$I,MATCH(A759,Bookings!$A:$A,0)),"")</f>
        <v>5</v>
      </c>
      <c r="O759" s="5" t="str">
        <f t="shared" si="3"/>
        <v>Last Minute</v>
      </c>
      <c r="P759" s="5" t="str">
        <f t="shared" si="4"/>
        <v>Kolkata -&gt; Chennai</v>
      </c>
    </row>
    <row r="760" ht="15.75" customHeight="1">
      <c r="A760" s="5" t="s">
        <v>2334</v>
      </c>
      <c r="B760" s="5" t="s">
        <v>1576</v>
      </c>
      <c r="C760" s="5" t="s">
        <v>549</v>
      </c>
      <c r="D760" s="5" t="s">
        <v>45</v>
      </c>
      <c r="E760" s="6" t="str">
        <f t="array" ref="E760">IFERROR(INDEX(Airlines!$B:$B,MATCH(D760,Airlines!$A:$A,0)),"")</f>
        <v>Air_India</v>
      </c>
      <c r="F760" s="6" t="str">
        <f>VLOOKUP(A760,Bookings!$A:$F,6,FALSE())</f>
        <v>Economy</v>
      </c>
      <c r="G760" s="6" t="str">
        <f t="array" ref="G760">IFERROR(INDEX(Flights!$E:$E,MATCH(B760,Flights!$A:$A,0)),"")</f>
        <v>Kolkata</v>
      </c>
      <c r="H760" s="6" t="str">
        <f>VLOOKUP(B760,Flights!A:H,6,FALSE())</f>
        <v>Chennai</v>
      </c>
      <c r="I760" s="6" t="str">
        <f t="array" ref="I760">IFERROR(INDEX(Bookings!$G:$G,MATCH(B760,Bookings!$B:$B,0)),"")</f>
        <v>2+</v>
      </c>
      <c r="J760" s="5">
        <f>VLOOKUP(B760,Bookings!B:H,7,FALSE())</f>
        <v>13.75</v>
      </c>
      <c r="K760" s="5" t="str">
        <f t="shared" si="1"/>
        <v>Long</v>
      </c>
      <c r="L760" s="11">
        <f t="array" ref="L760">IFERROR(INDEX(Bookings!$K:$K,MATCH(A760,Bookings!$A:$A,0)),"")</f>
        <v>18879</v>
      </c>
      <c r="M760" s="5" t="str">
        <f t="shared" si="2"/>
        <v>High</v>
      </c>
      <c r="N760" s="5">
        <f t="array" ref="N760">IFERROR(INDEX(Bookings!$I:$I,MATCH(A760,Bookings!$A:$A,0)),"")</f>
        <v>7</v>
      </c>
      <c r="O760" s="5" t="str">
        <f t="shared" si="3"/>
        <v>Last Minute</v>
      </c>
      <c r="P760" s="5" t="str">
        <f t="shared" si="4"/>
        <v>Kolkata -&gt; Chennai</v>
      </c>
    </row>
    <row r="761" ht="15.75" customHeight="1">
      <c r="A761" s="5" t="s">
        <v>2336</v>
      </c>
      <c r="B761" s="5" t="s">
        <v>1608</v>
      </c>
      <c r="C761" s="5" t="s">
        <v>549</v>
      </c>
      <c r="D761" s="5" t="s">
        <v>20</v>
      </c>
      <c r="E761" s="6" t="str">
        <f t="array" ref="E761">IFERROR(INDEX(Airlines!$B:$B,MATCH(D761,Airlines!$A:$A,0)),"")</f>
        <v>Vistara</v>
      </c>
      <c r="F761" s="6" t="str">
        <f>VLOOKUP(A761,Bookings!$A:$F,6,FALSE())</f>
        <v>Economy</v>
      </c>
      <c r="G761" s="6" t="str">
        <f t="array" ref="G761">IFERROR(INDEX(Flights!$E:$E,MATCH(B761,Flights!$A:$A,0)),"")</f>
        <v>Kolkata</v>
      </c>
      <c r="H761" s="6" t="str">
        <f>VLOOKUP(B761,Flights!A:H,6,FALSE())</f>
        <v>Chennai</v>
      </c>
      <c r="I761" s="6" t="str">
        <f t="array" ref="I761">IFERROR(INDEX(Bookings!$G:$G,MATCH(B761,Bookings!$B:$B,0)),"")</f>
        <v>1</v>
      </c>
      <c r="J761" s="5">
        <f>VLOOKUP(B761,Bookings!B:H,7,FALSE())</f>
        <v>15.92</v>
      </c>
      <c r="K761" s="5" t="str">
        <f t="shared" si="1"/>
        <v>Long</v>
      </c>
      <c r="L761" s="11">
        <f t="array" ref="L761">IFERROR(INDEX(Bookings!$K:$K,MATCH(A761,Bookings!$A:$A,0)),"")</f>
        <v>8799</v>
      </c>
      <c r="M761" s="5" t="str">
        <f t="shared" si="2"/>
        <v>Medium</v>
      </c>
      <c r="N761" s="5">
        <f t="array" ref="N761">IFERROR(INDEX(Bookings!$I:$I,MATCH(A761,Bookings!$A:$A,0)),"")</f>
        <v>17</v>
      </c>
      <c r="O761" s="5" t="str">
        <f t="shared" si="3"/>
        <v>Moderate</v>
      </c>
      <c r="P761" s="5" t="str">
        <f t="shared" si="4"/>
        <v>Kolkata -&gt; Chennai</v>
      </c>
    </row>
    <row r="762" ht="15.75" customHeight="1">
      <c r="A762" s="5" t="s">
        <v>2338</v>
      </c>
      <c r="B762" s="5" t="s">
        <v>1610</v>
      </c>
      <c r="C762" s="5" t="s">
        <v>549</v>
      </c>
      <c r="D762" s="5" t="s">
        <v>43</v>
      </c>
      <c r="E762" s="6" t="str">
        <f t="array" ref="E762">IFERROR(INDEX(Airlines!$B:$B,MATCH(D762,Airlines!$A:$A,0)),"")</f>
        <v>Indigo</v>
      </c>
      <c r="F762" s="6" t="str">
        <f>VLOOKUP(A762,Bookings!$A:$F,6,FALSE())</f>
        <v>Economy</v>
      </c>
      <c r="G762" s="6" t="str">
        <f t="array" ref="G762">IFERROR(INDEX(Flights!$E:$E,MATCH(B762,Flights!$A:$A,0)),"")</f>
        <v>Kolkata</v>
      </c>
      <c r="H762" s="6" t="str">
        <f>VLOOKUP(B762,Flights!A:H,6,FALSE())</f>
        <v>Chennai</v>
      </c>
      <c r="I762" s="6" t="str">
        <f t="array" ref="I762">IFERROR(INDEX(Bookings!$G:$G,MATCH(B762,Bookings!$B:$B,0)),"")</f>
        <v>1</v>
      </c>
      <c r="J762" s="5">
        <f>VLOOKUP(B762,Bookings!B:H,7,FALSE())</f>
        <v>10.17</v>
      </c>
      <c r="K762" s="5" t="str">
        <f t="shared" si="1"/>
        <v>Long</v>
      </c>
      <c r="L762" s="11">
        <f t="array" ref="L762">IFERROR(INDEX(Bookings!$K:$K,MATCH(A762,Bookings!$A:$A,0)),"")</f>
        <v>8495</v>
      </c>
      <c r="M762" s="5" t="str">
        <f t="shared" si="2"/>
        <v>Medium</v>
      </c>
      <c r="N762" s="5">
        <f t="array" ref="N762">IFERROR(INDEX(Bookings!$I:$I,MATCH(A762,Bookings!$A:$A,0)),"")</f>
        <v>10</v>
      </c>
      <c r="O762" s="5" t="str">
        <f t="shared" si="3"/>
        <v>Short Notice</v>
      </c>
      <c r="P762" s="5" t="str">
        <f t="shared" si="4"/>
        <v>Kolkata -&gt; Chennai</v>
      </c>
    </row>
    <row r="763" ht="15.75" customHeight="1">
      <c r="A763" s="5" t="s">
        <v>2340</v>
      </c>
      <c r="B763" s="5" t="s">
        <v>1617</v>
      </c>
      <c r="C763" s="5" t="s">
        <v>549</v>
      </c>
      <c r="D763" s="5" t="s">
        <v>29</v>
      </c>
      <c r="E763" s="6" t="str">
        <f t="array" ref="E763">IFERROR(INDEX(Airlines!$B:$B,MATCH(D763,Airlines!$A:$A,0)),"")</f>
        <v>AirAsia</v>
      </c>
      <c r="F763" s="6" t="str">
        <f>VLOOKUP(A763,Bookings!$A:$F,6,FALSE())</f>
        <v>Economy</v>
      </c>
      <c r="G763" s="6" t="str">
        <f t="array" ref="G763">IFERROR(INDEX(Flights!$E:$E,MATCH(B763,Flights!$A:$A,0)),"")</f>
        <v>Kolkata</v>
      </c>
      <c r="H763" s="6" t="str">
        <f>VLOOKUP(B763,Flights!A:H,6,FALSE())</f>
        <v>Chennai</v>
      </c>
      <c r="I763" s="6" t="str">
        <f t="array" ref="I763">IFERROR(INDEX(Bookings!$G:$G,MATCH(B763,Bookings!$B:$B,0)),"")</f>
        <v>0</v>
      </c>
      <c r="J763" s="5">
        <f>VLOOKUP(B763,Bookings!B:H,7,FALSE())</f>
        <v>2.67</v>
      </c>
      <c r="K763" s="5" t="str">
        <f t="shared" si="1"/>
        <v>Short</v>
      </c>
      <c r="L763" s="11">
        <f t="array" ref="L763">IFERROR(INDEX(Bookings!$K:$K,MATCH(A763,Bookings!$A:$A,0)),"")</f>
        <v>5465</v>
      </c>
      <c r="M763" s="5" t="str">
        <f t="shared" si="2"/>
        <v>Medium</v>
      </c>
      <c r="N763" s="5">
        <f t="array" ref="N763">IFERROR(INDEX(Bookings!$I:$I,MATCH(A763,Bookings!$A:$A,0)),"")</f>
        <v>26</v>
      </c>
      <c r="O763" s="5" t="str">
        <f t="shared" si="3"/>
        <v>Moderate</v>
      </c>
      <c r="P763" s="5" t="str">
        <f t="shared" si="4"/>
        <v>Kolkata -&gt; Chennai</v>
      </c>
    </row>
    <row r="764" ht="15.75" customHeight="1">
      <c r="A764" s="5" t="s">
        <v>2342</v>
      </c>
      <c r="B764" s="5" t="s">
        <v>1570</v>
      </c>
      <c r="C764" s="5" t="s">
        <v>549</v>
      </c>
      <c r="D764" s="5" t="s">
        <v>29</v>
      </c>
      <c r="E764" s="6" t="str">
        <f t="array" ref="E764">IFERROR(INDEX(Airlines!$B:$B,MATCH(D764,Airlines!$A:$A,0)),"")</f>
        <v>AirAsia</v>
      </c>
      <c r="F764" s="6" t="str">
        <f>VLOOKUP(A764,Bookings!$A:$F,6,FALSE())</f>
        <v>Economy</v>
      </c>
      <c r="G764" s="6" t="str">
        <f t="array" ref="G764">IFERROR(INDEX(Flights!$E:$E,MATCH(B764,Flights!$A:$A,0)),"")</f>
        <v>Kolkata</v>
      </c>
      <c r="H764" s="6" t="str">
        <f>VLOOKUP(B764,Flights!A:H,6,FALSE())</f>
        <v>Chennai</v>
      </c>
      <c r="I764" s="6" t="str">
        <f t="array" ref="I764">IFERROR(INDEX(Bookings!$G:$G,MATCH(B764,Bookings!$B:$B,0)),"")</f>
        <v>1</v>
      </c>
      <c r="J764" s="5">
        <f>VLOOKUP(B764,Bookings!B:H,7,FALSE())</f>
        <v>10</v>
      </c>
      <c r="K764" s="5" t="str">
        <f t="shared" si="1"/>
        <v>Medium</v>
      </c>
      <c r="L764" s="11">
        <f t="array" ref="L764">IFERROR(INDEX(Bookings!$K:$K,MATCH(A764,Bookings!$A:$A,0)),"")</f>
        <v>3961</v>
      </c>
      <c r="M764" s="5" t="str">
        <f t="shared" si="2"/>
        <v>Low</v>
      </c>
      <c r="N764" s="5">
        <f t="array" ref="N764">IFERROR(INDEX(Bookings!$I:$I,MATCH(A764,Bookings!$A:$A,0)),"")</f>
        <v>16</v>
      </c>
      <c r="O764" s="5" t="str">
        <f t="shared" si="3"/>
        <v>Moderate</v>
      </c>
      <c r="P764" s="5" t="str">
        <f t="shared" si="4"/>
        <v>Kolkata -&gt; Chennai</v>
      </c>
    </row>
    <row r="765" ht="15.75" customHeight="1">
      <c r="A765" s="5" t="s">
        <v>2345</v>
      </c>
      <c r="B765" s="5" t="s">
        <v>1579</v>
      </c>
      <c r="C765" s="5" t="s">
        <v>549</v>
      </c>
      <c r="D765" s="5" t="s">
        <v>45</v>
      </c>
      <c r="E765" s="6" t="str">
        <f t="array" ref="E765">IFERROR(INDEX(Airlines!$B:$B,MATCH(D765,Airlines!$A:$A,0)),"")</f>
        <v>Air_India</v>
      </c>
      <c r="F765" s="6" t="str">
        <f>VLOOKUP(A765,Bookings!$A:$F,6,FALSE())</f>
        <v>Economy</v>
      </c>
      <c r="G765" s="6" t="str">
        <f t="array" ref="G765">IFERROR(INDEX(Flights!$E:$E,MATCH(B765,Flights!$A:$A,0)),"")</f>
        <v>Kolkata</v>
      </c>
      <c r="H765" s="6" t="str">
        <f>VLOOKUP(B765,Flights!A:H,6,FALSE())</f>
        <v>Chennai</v>
      </c>
      <c r="I765" s="6" t="str">
        <f t="array" ref="I765">IFERROR(INDEX(Bookings!$G:$G,MATCH(B765,Bookings!$B:$B,0)),"")</f>
        <v>1</v>
      </c>
      <c r="J765" s="5">
        <f>VLOOKUP(B765,Bookings!B:H,7,FALSE())</f>
        <v>19.92</v>
      </c>
      <c r="K765" s="5" t="str">
        <f t="shared" si="1"/>
        <v>Long</v>
      </c>
      <c r="L765" s="11">
        <f t="array" ref="L765">IFERROR(INDEX(Bookings!$K:$K,MATCH(A765,Bookings!$A:$A,0)),"")</f>
        <v>7763</v>
      </c>
      <c r="M765" s="5" t="str">
        <f t="shared" si="2"/>
        <v>Medium</v>
      </c>
      <c r="N765" s="5">
        <f t="array" ref="N765">IFERROR(INDEX(Bookings!$I:$I,MATCH(A765,Bookings!$A:$A,0)),"")</f>
        <v>24</v>
      </c>
      <c r="O765" s="5" t="str">
        <f t="shared" si="3"/>
        <v>Moderate</v>
      </c>
      <c r="P765" s="5" t="str">
        <f t="shared" si="4"/>
        <v>Kolkata -&gt; Chennai</v>
      </c>
    </row>
    <row r="766" ht="15.75" customHeight="1">
      <c r="A766" s="5" t="s">
        <v>2349</v>
      </c>
      <c r="B766" s="5" t="s">
        <v>1638</v>
      </c>
      <c r="C766" s="5" t="s">
        <v>549</v>
      </c>
      <c r="D766" s="5" t="s">
        <v>45</v>
      </c>
      <c r="E766" s="6" t="str">
        <f t="array" ref="E766">IFERROR(INDEX(Airlines!$B:$B,MATCH(D766,Airlines!$A:$A,0)),"")</f>
        <v>Air_India</v>
      </c>
      <c r="F766" s="6" t="str">
        <f>VLOOKUP(A766,Bookings!$A:$F,6,FALSE())</f>
        <v>Economy</v>
      </c>
      <c r="G766" s="6" t="str">
        <f t="array" ref="G766">IFERROR(INDEX(Flights!$E:$E,MATCH(B766,Flights!$A:$A,0)),"")</f>
        <v>Kolkata</v>
      </c>
      <c r="H766" s="6" t="str">
        <f>VLOOKUP(B766,Flights!A:H,6,FALSE())</f>
        <v>Chennai</v>
      </c>
      <c r="I766" s="6" t="str">
        <f t="array" ref="I766">IFERROR(INDEX(Bookings!$G:$G,MATCH(B766,Bookings!$B:$B,0)),"")</f>
        <v>1</v>
      </c>
      <c r="J766" s="5">
        <f>VLOOKUP(B766,Bookings!B:H,7,FALSE())</f>
        <v>15.67</v>
      </c>
      <c r="K766" s="5" t="str">
        <f t="shared" si="1"/>
        <v>Long</v>
      </c>
      <c r="L766" s="11">
        <f t="array" ref="L766">IFERROR(INDEX(Bookings!$K:$K,MATCH(A766,Bookings!$A:$A,0)),"")</f>
        <v>7763</v>
      </c>
      <c r="M766" s="5" t="str">
        <f t="shared" si="2"/>
        <v>Medium</v>
      </c>
      <c r="N766" s="5">
        <f t="array" ref="N766">IFERROR(INDEX(Bookings!$I:$I,MATCH(A766,Bookings!$A:$A,0)),"")</f>
        <v>43</v>
      </c>
      <c r="O766" s="5" t="str">
        <f t="shared" si="3"/>
        <v>Advance</v>
      </c>
      <c r="P766" s="5" t="str">
        <f t="shared" si="4"/>
        <v>Kolkata -&gt; Chennai</v>
      </c>
    </row>
    <row r="767" ht="15.75" customHeight="1">
      <c r="A767" s="5" t="s">
        <v>2351</v>
      </c>
      <c r="B767" s="5" t="s">
        <v>1593</v>
      </c>
      <c r="C767" s="5" t="s">
        <v>549</v>
      </c>
      <c r="D767" s="5" t="s">
        <v>43</v>
      </c>
      <c r="E767" s="6" t="str">
        <f t="array" ref="E767">IFERROR(INDEX(Airlines!$B:$B,MATCH(D767,Airlines!$A:$A,0)),"")</f>
        <v>Indigo</v>
      </c>
      <c r="F767" s="6" t="str">
        <f>VLOOKUP(A767,Bookings!$A:$F,6,FALSE())</f>
        <v>Economy</v>
      </c>
      <c r="G767" s="6" t="str">
        <f t="array" ref="G767">IFERROR(INDEX(Flights!$E:$E,MATCH(B767,Flights!$A:$A,0)),"")</f>
        <v>Kolkata</v>
      </c>
      <c r="H767" s="6" t="str">
        <f>VLOOKUP(B767,Flights!A:H,6,FALSE())</f>
        <v>Chennai</v>
      </c>
      <c r="I767" s="6" t="str">
        <f t="array" ref="I767">IFERROR(INDEX(Bookings!$G:$G,MATCH(B767,Bookings!$B:$B,0)),"")</f>
        <v>1</v>
      </c>
      <c r="J767" s="5">
        <f>VLOOKUP(B767,Bookings!B:H,7,FALSE())</f>
        <v>8</v>
      </c>
      <c r="K767" s="5" t="str">
        <f t="shared" si="1"/>
        <v>Medium</v>
      </c>
      <c r="L767" s="11">
        <f t="array" ref="L767">IFERROR(INDEX(Bookings!$K:$K,MATCH(A767,Bookings!$A:$A,0)),"")</f>
        <v>3015</v>
      </c>
      <c r="M767" s="5" t="str">
        <f t="shared" si="2"/>
        <v>Low</v>
      </c>
      <c r="N767" s="5">
        <f t="array" ref="N767">IFERROR(INDEX(Bookings!$I:$I,MATCH(A767,Bookings!$A:$A,0)),"")</f>
        <v>44</v>
      </c>
      <c r="O767" s="5" t="str">
        <f t="shared" si="3"/>
        <v>Advance</v>
      </c>
      <c r="P767" s="5" t="str">
        <f t="shared" si="4"/>
        <v>Kolkata -&gt; Chennai</v>
      </c>
    </row>
    <row r="768" ht="15.75" customHeight="1">
      <c r="A768" s="5" t="s">
        <v>2354</v>
      </c>
      <c r="B768" s="5" t="s">
        <v>1631</v>
      </c>
      <c r="C768" s="5" t="s">
        <v>549</v>
      </c>
      <c r="D768" s="5" t="s">
        <v>43</v>
      </c>
      <c r="E768" s="6" t="str">
        <f t="array" ref="E768">IFERROR(INDEX(Airlines!$B:$B,MATCH(D768,Airlines!$A:$A,0)),"")</f>
        <v>Indigo</v>
      </c>
      <c r="F768" s="6" t="str">
        <f>VLOOKUP(A768,Bookings!$A:$F,6,FALSE())</f>
        <v>Economy</v>
      </c>
      <c r="G768" s="6" t="str">
        <f t="array" ref="G768">IFERROR(INDEX(Flights!$E:$E,MATCH(B768,Flights!$A:$A,0)),"")</f>
        <v>Kolkata</v>
      </c>
      <c r="H768" s="6" t="str">
        <f>VLOOKUP(B768,Flights!A:H,6,FALSE())</f>
        <v>Chennai</v>
      </c>
      <c r="I768" s="6" t="str">
        <f t="array" ref="I768">IFERROR(INDEX(Bookings!$G:$G,MATCH(B768,Bookings!$B:$B,0)),"")</f>
        <v>1</v>
      </c>
      <c r="J768" s="5">
        <f>VLOOKUP(B768,Bookings!B:H,7,FALSE())</f>
        <v>8.75</v>
      </c>
      <c r="K768" s="5" t="str">
        <f t="shared" si="1"/>
        <v>Medium</v>
      </c>
      <c r="L768" s="11">
        <f t="array" ref="L768">IFERROR(INDEX(Bookings!$K:$K,MATCH(A768,Bookings!$A:$A,0)),"")</f>
        <v>3015</v>
      </c>
      <c r="M768" s="5" t="str">
        <f t="shared" si="2"/>
        <v>Low</v>
      </c>
      <c r="N768" s="5">
        <f t="array" ref="N768">IFERROR(INDEX(Bookings!$I:$I,MATCH(A768,Bookings!$A:$A,0)),"")</f>
        <v>44</v>
      </c>
      <c r="O768" s="5" t="str">
        <f t="shared" si="3"/>
        <v>Advance</v>
      </c>
      <c r="P768" s="5" t="str">
        <f t="shared" si="4"/>
        <v>Kolkata -&gt; Chennai</v>
      </c>
    </row>
    <row r="769" ht="15.75" customHeight="1">
      <c r="A769" s="5" t="s">
        <v>2356</v>
      </c>
      <c r="B769" s="5" t="s">
        <v>1568</v>
      </c>
      <c r="C769" s="5" t="s">
        <v>549</v>
      </c>
      <c r="D769" s="5" t="s">
        <v>45</v>
      </c>
      <c r="E769" s="6" t="str">
        <f t="array" ref="E769">IFERROR(INDEX(Airlines!$B:$B,MATCH(D769,Airlines!$A:$A,0)),"")</f>
        <v>Air_India</v>
      </c>
      <c r="F769" s="6" t="str">
        <f>VLOOKUP(A769,Bookings!$A:$F,6,FALSE())</f>
        <v>Economy</v>
      </c>
      <c r="G769" s="6" t="str">
        <f t="array" ref="G769">IFERROR(INDEX(Flights!$E:$E,MATCH(B769,Flights!$A:$A,0)),"")</f>
        <v>Kolkata</v>
      </c>
      <c r="H769" s="6" t="str">
        <f>VLOOKUP(B769,Flights!A:H,6,FALSE())</f>
        <v>Chennai</v>
      </c>
      <c r="I769" s="6">
        <f t="array" ref="I769">IFERROR(INDEX(Bookings!$G:$G,MATCH(B769,Bookings!$B:$B,0)),"")</f>
        <v>1</v>
      </c>
      <c r="J769" s="5">
        <f>VLOOKUP(B769,Bookings!B:H,7,FALSE())</f>
        <v>27.58</v>
      </c>
      <c r="K769" s="5" t="str">
        <f t="shared" si="1"/>
        <v>Long</v>
      </c>
      <c r="L769" s="11">
        <f t="array" ref="L769">IFERROR(INDEX(Bookings!$K:$K,MATCH(A769,Bookings!$A:$A,0)),"")</f>
        <v>3948</v>
      </c>
      <c r="M769" s="5" t="str">
        <f t="shared" si="2"/>
        <v>Low</v>
      </c>
      <c r="N769" s="5">
        <f t="array" ref="N769">IFERROR(INDEX(Bookings!$I:$I,MATCH(A769,Bookings!$A:$A,0)),"")</f>
        <v>44</v>
      </c>
      <c r="O769" s="5" t="str">
        <f t="shared" si="3"/>
        <v>Advance</v>
      </c>
      <c r="P769" s="5" t="str">
        <f t="shared" si="4"/>
        <v>Kolkata -&gt; Chennai</v>
      </c>
    </row>
    <row r="770" ht="15.75" customHeight="1">
      <c r="A770" s="5" t="s">
        <v>2359</v>
      </c>
      <c r="B770" s="5" t="s">
        <v>1592</v>
      </c>
      <c r="C770" s="5" t="s">
        <v>549</v>
      </c>
      <c r="D770" s="5" t="s">
        <v>29</v>
      </c>
      <c r="E770" s="6" t="str">
        <f t="array" ref="E770">IFERROR(INDEX(Airlines!$B:$B,MATCH(D770,Airlines!$A:$A,0)),"")</f>
        <v>AirAsia</v>
      </c>
      <c r="F770" s="6" t="str">
        <f>VLOOKUP(A770,Bookings!$A:$F,6,FALSE())</f>
        <v>Economy</v>
      </c>
      <c r="G770" s="6" t="str">
        <f t="array" ref="G770">IFERROR(INDEX(Flights!$E:$E,MATCH(B770,Flights!$A:$A,0)),"")</f>
        <v>Kolkata</v>
      </c>
      <c r="H770" s="6" t="str">
        <f>VLOOKUP(B770,Flights!A:H,6,FALSE())</f>
        <v>Chennai</v>
      </c>
      <c r="I770" s="6" t="str">
        <f t="array" ref="I770">IFERROR(INDEX(Bookings!$G:$G,MATCH(B770,Bookings!$B:$B,0)),"")</f>
        <v>0</v>
      </c>
      <c r="J770" s="5">
        <f>VLOOKUP(B770,Bookings!B:H,7,FALSE())</f>
        <v>2.33</v>
      </c>
      <c r="K770" s="5" t="str">
        <f t="shared" si="1"/>
        <v>Short</v>
      </c>
      <c r="L770" s="11">
        <f t="array" ref="L770">IFERROR(INDEX(Bookings!$K:$K,MATCH(A770,Bookings!$A:$A,0)),"")</f>
        <v>2966</v>
      </c>
      <c r="M770" s="5" t="str">
        <f t="shared" si="2"/>
        <v>Low</v>
      </c>
      <c r="N770" s="5">
        <f t="array" ref="N770">IFERROR(INDEX(Bookings!$I:$I,MATCH(A770,Bookings!$A:$A,0)),"")</f>
        <v>47</v>
      </c>
      <c r="O770" s="5" t="str">
        <f t="shared" si="3"/>
        <v>Advance</v>
      </c>
      <c r="P770" s="5" t="str">
        <f t="shared" si="4"/>
        <v>Kolkata -&gt; Chennai</v>
      </c>
    </row>
    <row r="771" ht="15.75" customHeight="1">
      <c r="A771" s="5" t="s">
        <v>2361</v>
      </c>
      <c r="B771" s="5" t="s">
        <v>1643</v>
      </c>
      <c r="C771" s="5" t="s">
        <v>549</v>
      </c>
      <c r="D771" s="5" t="s">
        <v>43</v>
      </c>
      <c r="E771" s="6" t="str">
        <f t="array" ref="E771">IFERROR(INDEX(Airlines!$B:$B,MATCH(D771,Airlines!$A:$A,0)),"")</f>
        <v>Indigo</v>
      </c>
      <c r="F771" s="6" t="str">
        <f>VLOOKUP(A771,Bookings!$A:$F,6,FALSE())</f>
        <v>Economy</v>
      </c>
      <c r="G771" s="6" t="str">
        <f t="array" ref="G771">IFERROR(INDEX(Flights!$E:$E,MATCH(B771,Flights!$A:$A,0)),"")</f>
        <v>Kolkata</v>
      </c>
      <c r="H771" s="6" t="str">
        <f>VLOOKUP(B771,Flights!A:H,6,FALSE())</f>
        <v>Chennai</v>
      </c>
      <c r="I771" s="6" t="str">
        <f t="array" ref="I771">IFERROR(INDEX(Bookings!$G:$G,MATCH(B771,Bookings!$B:$B,0)),"")</f>
        <v>1</v>
      </c>
      <c r="J771" s="5">
        <f>VLOOKUP(B771,Bookings!B:H,7,FALSE())</f>
        <v>5.92</v>
      </c>
      <c r="K771" s="5" t="str">
        <f t="shared" si="1"/>
        <v>Medium</v>
      </c>
      <c r="L771" s="11">
        <f t="array" ref="L771">IFERROR(INDEX(Bookings!$K:$K,MATCH(A771,Bookings!$A:$A,0)),"")</f>
        <v>3015</v>
      </c>
      <c r="M771" s="5" t="str">
        <f t="shared" si="2"/>
        <v>Low</v>
      </c>
      <c r="N771" s="5">
        <f t="array" ref="N771">IFERROR(INDEX(Bookings!$I:$I,MATCH(A771,Bookings!$A:$A,0)),"")</f>
        <v>47</v>
      </c>
      <c r="O771" s="5" t="str">
        <f t="shared" si="3"/>
        <v>Advance</v>
      </c>
      <c r="P771" s="5" t="str">
        <f t="shared" si="4"/>
        <v>Kolkata -&gt; Chennai</v>
      </c>
    </row>
    <row r="772" ht="15.75" customHeight="1">
      <c r="A772" s="5" t="s">
        <v>2366</v>
      </c>
      <c r="B772" s="5" t="s">
        <v>1603</v>
      </c>
      <c r="C772" s="5" t="s">
        <v>549</v>
      </c>
      <c r="D772" s="5" t="s">
        <v>43</v>
      </c>
      <c r="E772" s="6" t="str">
        <f t="array" ref="E772">IFERROR(INDEX(Airlines!$B:$B,MATCH(D772,Airlines!$A:$A,0)),"")</f>
        <v>Indigo</v>
      </c>
      <c r="F772" s="6" t="str">
        <f>VLOOKUP(A772,Bookings!$A:$F,6,FALSE())</f>
        <v>Economy</v>
      </c>
      <c r="G772" s="6" t="str">
        <f t="array" ref="G772">IFERROR(INDEX(Flights!$E:$E,MATCH(B772,Flights!$A:$A,0)),"")</f>
        <v>Kolkata</v>
      </c>
      <c r="H772" s="6" t="str">
        <f>VLOOKUP(B772,Flights!A:H,6,FALSE())</f>
        <v>Chennai</v>
      </c>
      <c r="I772" s="6" t="str">
        <f t="array" ref="I772">IFERROR(INDEX(Bookings!$G:$G,MATCH(B772,Bookings!$B:$B,0)),"")</f>
        <v>1</v>
      </c>
      <c r="J772" s="5">
        <f>VLOOKUP(B772,Bookings!B:H,7,FALSE())</f>
        <v>6.33</v>
      </c>
      <c r="K772" s="5" t="str">
        <f t="shared" si="1"/>
        <v>Medium</v>
      </c>
      <c r="L772" s="11">
        <f t="array" ref="L772">IFERROR(INDEX(Bookings!$K:$K,MATCH(A772,Bookings!$A:$A,0)),"")</f>
        <v>3015</v>
      </c>
      <c r="M772" s="5" t="str">
        <f t="shared" si="2"/>
        <v>Low</v>
      </c>
      <c r="N772" s="5">
        <f t="array" ref="N772">IFERROR(INDEX(Bookings!$I:$I,MATCH(A772,Bookings!$A:$A,0)),"")</f>
        <v>47</v>
      </c>
      <c r="O772" s="5" t="str">
        <f t="shared" si="3"/>
        <v>Advance</v>
      </c>
      <c r="P772" s="5" t="str">
        <f t="shared" si="4"/>
        <v>Kolkata -&gt; Chennai</v>
      </c>
    </row>
    <row r="773" ht="15.75" customHeight="1">
      <c r="A773" s="5" t="s">
        <v>2368</v>
      </c>
      <c r="B773" s="5" t="s">
        <v>1614</v>
      </c>
      <c r="C773" s="5" t="s">
        <v>549</v>
      </c>
      <c r="D773" s="5" t="s">
        <v>43</v>
      </c>
      <c r="E773" s="6" t="str">
        <f t="array" ref="E773">IFERROR(INDEX(Airlines!$B:$B,MATCH(D773,Airlines!$A:$A,0)),"")</f>
        <v>Indigo</v>
      </c>
      <c r="F773" s="6" t="str">
        <f>VLOOKUP(A773,Bookings!$A:$F,6,FALSE())</f>
        <v>Economy</v>
      </c>
      <c r="G773" s="6" t="str">
        <f t="array" ref="G773">IFERROR(INDEX(Flights!$E:$E,MATCH(B773,Flights!$A:$A,0)),"")</f>
        <v>Kolkata</v>
      </c>
      <c r="H773" s="6" t="str">
        <f>VLOOKUP(B773,Flights!A:H,6,FALSE())</f>
        <v>Chennai</v>
      </c>
      <c r="I773" s="6" t="str">
        <f t="array" ref="I773">IFERROR(INDEX(Bookings!$G:$G,MATCH(B773,Bookings!$B:$B,0)),"")</f>
        <v>1</v>
      </c>
      <c r="J773" s="5">
        <f>VLOOKUP(B773,Bookings!B:H,7,FALSE())</f>
        <v>8.5</v>
      </c>
      <c r="K773" s="5" t="str">
        <f t="shared" si="1"/>
        <v>Medium</v>
      </c>
      <c r="L773" s="11">
        <f t="array" ref="L773">IFERROR(INDEX(Bookings!$K:$K,MATCH(A773,Bookings!$A:$A,0)),"")</f>
        <v>3015</v>
      </c>
      <c r="M773" s="5" t="str">
        <f t="shared" si="2"/>
        <v>Low</v>
      </c>
      <c r="N773" s="5">
        <f t="array" ref="N773">IFERROR(INDEX(Bookings!$I:$I,MATCH(A773,Bookings!$A:$A,0)),"")</f>
        <v>47</v>
      </c>
      <c r="O773" s="5" t="str">
        <f t="shared" si="3"/>
        <v>Advance</v>
      </c>
      <c r="P773" s="5" t="str">
        <f t="shared" si="4"/>
        <v>Kolkata -&gt; Chennai</v>
      </c>
    </row>
    <row r="774" ht="15.75" customHeight="1">
      <c r="A774" s="5" t="s">
        <v>2369</v>
      </c>
      <c r="B774" s="5" t="s">
        <v>1566</v>
      </c>
      <c r="C774" s="5" t="s">
        <v>549</v>
      </c>
      <c r="D774" s="5" t="s">
        <v>43</v>
      </c>
      <c r="E774" s="6" t="str">
        <f t="array" ref="E774">IFERROR(INDEX(Airlines!$B:$B,MATCH(D774,Airlines!$A:$A,0)),"")</f>
        <v>Indigo</v>
      </c>
      <c r="F774" s="6" t="str">
        <f>VLOOKUP(A774,Bookings!$A:$F,6,FALSE())</f>
        <v>Economy</v>
      </c>
      <c r="G774" s="6" t="str">
        <f t="array" ref="G774">IFERROR(INDEX(Flights!$E:$E,MATCH(B774,Flights!$A:$A,0)),"")</f>
        <v>Kolkata</v>
      </c>
      <c r="H774" s="6" t="str">
        <f>VLOOKUP(B774,Flights!A:H,6,FALSE())</f>
        <v>Chennai</v>
      </c>
      <c r="I774" s="6" t="str">
        <f t="array" ref="I774">IFERROR(INDEX(Bookings!$G:$G,MATCH(B774,Bookings!$B:$B,0)),"")</f>
        <v>1</v>
      </c>
      <c r="J774" s="5">
        <f>VLOOKUP(B774,Bookings!B:H,7,FALSE())</f>
        <v>9.75</v>
      </c>
      <c r="K774" s="5" t="str">
        <f t="shared" si="1"/>
        <v>Medium</v>
      </c>
      <c r="L774" s="11">
        <f t="array" ref="L774">IFERROR(INDEX(Bookings!$K:$K,MATCH(A774,Bookings!$A:$A,0)),"")</f>
        <v>3015</v>
      </c>
      <c r="M774" s="5" t="str">
        <f t="shared" si="2"/>
        <v>Low</v>
      </c>
      <c r="N774" s="5">
        <f t="array" ref="N774">IFERROR(INDEX(Bookings!$I:$I,MATCH(A774,Bookings!$A:$A,0)),"")</f>
        <v>47</v>
      </c>
      <c r="O774" s="5" t="str">
        <f t="shared" si="3"/>
        <v>Advance</v>
      </c>
      <c r="P774" s="5" t="str">
        <f t="shared" si="4"/>
        <v>Kolkata -&gt; Chennai</v>
      </c>
    </row>
    <row r="775" ht="15.75" customHeight="1">
      <c r="A775" s="5" t="s">
        <v>2371</v>
      </c>
      <c r="B775" s="5" t="s">
        <v>1588</v>
      </c>
      <c r="C775" s="5" t="s">
        <v>549</v>
      </c>
      <c r="D775" s="5" t="s">
        <v>43</v>
      </c>
      <c r="E775" s="6" t="str">
        <f t="array" ref="E775">IFERROR(INDEX(Airlines!$B:$B,MATCH(D775,Airlines!$A:$A,0)),"")</f>
        <v>Indigo</v>
      </c>
      <c r="F775" s="6" t="str">
        <f>VLOOKUP(A775,Bookings!$A:$F,6,FALSE())</f>
        <v>Economy</v>
      </c>
      <c r="G775" s="6" t="str">
        <f t="array" ref="G775">IFERROR(INDEX(Flights!$E:$E,MATCH(B775,Flights!$A:$A,0)),"")</f>
        <v>Kolkata</v>
      </c>
      <c r="H775" s="6" t="str">
        <f>VLOOKUP(B775,Flights!A:H,6,FALSE())</f>
        <v>Chennai</v>
      </c>
      <c r="I775" s="6" t="str">
        <f t="array" ref="I775">IFERROR(INDEX(Bookings!$G:$G,MATCH(B775,Bookings!$B:$B,0)),"")</f>
        <v>1</v>
      </c>
      <c r="J775" s="5">
        <f>VLOOKUP(B775,Bookings!B:H,7,FALSE())</f>
        <v>5.92</v>
      </c>
      <c r="K775" s="5" t="str">
        <f t="shared" si="1"/>
        <v>Medium</v>
      </c>
      <c r="L775" s="11">
        <f t="array" ref="L775">IFERROR(INDEX(Bookings!$K:$K,MATCH(A775,Bookings!$A:$A,0)),"")</f>
        <v>4170</v>
      </c>
      <c r="M775" s="5" t="str">
        <f t="shared" si="2"/>
        <v>Low</v>
      </c>
      <c r="N775" s="5">
        <f t="array" ref="N775">IFERROR(INDEX(Bookings!$I:$I,MATCH(A775,Bookings!$A:$A,0)),"")</f>
        <v>47</v>
      </c>
      <c r="O775" s="5" t="str">
        <f t="shared" si="3"/>
        <v>Advance</v>
      </c>
      <c r="P775" s="5" t="str">
        <f t="shared" si="4"/>
        <v>Kolkata -&gt; Chennai</v>
      </c>
    </row>
    <row r="776" ht="15.75" customHeight="1">
      <c r="A776" s="5" t="s">
        <v>2372</v>
      </c>
      <c r="B776" s="5" t="s">
        <v>1633</v>
      </c>
      <c r="C776" s="5" t="s">
        <v>549</v>
      </c>
      <c r="D776" s="5" t="s">
        <v>45</v>
      </c>
      <c r="E776" s="6" t="str">
        <f t="array" ref="E776">IFERROR(INDEX(Airlines!$B:$B,MATCH(D776,Airlines!$A:$A,0)),"")</f>
        <v>Air_India</v>
      </c>
      <c r="F776" s="6" t="str">
        <f>VLOOKUP(A776,Bookings!$A:$F,6,FALSE())</f>
        <v>Economy</v>
      </c>
      <c r="G776" s="6" t="str">
        <f t="array" ref="G776">IFERROR(INDEX(Flights!$E:$E,MATCH(B776,Flights!$A:$A,0)),"")</f>
        <v>Kolkata</v>
      </c>
      <c r="H776" s="6" t="str">
        <f>VLOOKUP(B776,Flights!A:H,6,FALSE())</f>
        <v>Chennai</v>
      </c>
      <c r="I776" s="6" t="str">
        <f t="array" ref="I776">IFERROR(INDEX(Bookings!$G:$G,MATCH(B776,Bookings!$B:$B,0)),"")</f>
        <v>1</v>
      </c>
      <c r="J776" s="5">
        <f>VLOOKUP(B776,Bookings!B:H,7,FALSE())</f>
        <v>18.25</v>
      </c>
      <c r="K776" s="5" t="str">
        <f t="shared" si="1"/>
        <v>Long</v>
      </c>
      <c r="L776" s="11">
        <f t="array" ref="L776">IFERROR(INDEX(Bookings!$K:$K,MATCH(A776,Bookings!$A:$A,0)),"")</f>
        <v>4893</v>
      </c>
      <c r="M776" s="5" t="str">
        <f t="shared" si="2"/>
        <v>Medium</v>
      </c>
      <c r="N776" s="5">
        <f t="array" ref="N776">IFERROR(INDEX(Bookings!$I:$I,MATCH(A776,Bookings!$A:$A,0)),"")</f>
        <v>45</v>
      </c>
      <c r="O776" s="5" t="str">
        <f t="shared" si="3"/>
        <v>Advance</v>
      </c>
      <c r="P776" s="5" t="str">
        <f t="shared" si="4"/>
        <v>Kolkata -&gt; Chennai</v>
      </c>
    </row>
    <row r="777" ht="15.75" customHeight="1">
      <c r="A777" s="5" t="s">
        <v>2374</v>
      </c>
      <c r="B777" s="5" t="s">
        <v>1642</v>
      </c>
      <c r="C777" s="5" t="s">
        <v>549</v>
      </c>
      <c r="D777" s="5" t="s">
        <v>20</v>
      </c>
      <c r="E777" s="6" t="str">
        <f t="array" ref="E777">IFERROR(INDEX(Airlines!$B:$B,MATCH(D777,Airlines!$A:$A,0)),"")</f>
        <v>Vistara</v>
      </c>
      <c r="F777" s="6" t="str">
        <f>VLOOKUP(A777,Bookings!$A:$F,6,FALSE())</f>
        <v>Business</v>
      </c>
      <c r="G777" s="6" t="str">
        <f t="array" ref="G777">IFERROR(INDEX(Flights!$E:$E,MATCH(B777,Flights!$A:$A,0)),"")</f>
        <v>Kolkata</v>
      </c>
      <c r="H777" s="6" t="str">
        <f>VLOOKUP(B777,Flights!A:H,6,FALSE())</f>
        <v>Chennai</v>
      </c>
      <c r="I777" s="6" t="str">
        <f t="array" ref="I777">IFERROR(INDEX(Bookings!$G:$G,MATCH(B777,Bookings!$B:$B,0)),"")</f>
        <v>1</v>
      </c>
      <c r="J777" s="5">
        <f>VLOOKUP(B777,Bookings!B:H,7,FALSE())</f>
        <v>23.92</v>
      </c>
      <c r="K777" s="5" t="str">
        <f t="shared" si="1"/>
        <v>Long</v>
      </c>
      <c r="L777" s="11">
        <f t="array" ref="L777">IFERROR(INDEX(Bookings!$K:$K,MATCH(A777,Bookings!$A:$A,0)),"")</f>
        <v>7336</v>
      </c>
      <c r="M777" s="5" t="str">
        <f t="shared" si="2"/>
        <v>Medium</v>
      </c>
      <c r="N777" s="5">
        <f t="array" ref="N777">IFERROR(INDEX(Bookings!$I:$I,MATCH(A777,Bookings!$A:$A,0)),"")</f>
        <v>48</v>
      </c>
      <c r="O777" s="5" t="str">
        <f t="shared" si="3"/>
        <v>Advance</v>
      </c>
      <c r="P777" s="5" t="str">
        <f t="shared" si="4"/>
        <v>Kolkata -&gt; Chennai</v>
      </c>
    </row>
    <row r="778" ht="15.75" customHeight="1">
      <c r="A778" s="5" t="s">
        <v>2376</v>
      </c>
      <c r="B778" s="5" t="s">
        <v>1564</v>
      </c>
      <c r="C778" s="5" t="s">
        <v>549</v>
      </c>
      <c r="D778" s="5" t="s">
        <v>58</v>
      </c>
      <c r="E778" s="6" t="str">
        <f t="array" ref="E778">IFERROR(INDEX(Airlines!$B:$B,MATCH(D778,Airlines!$A:$A,0)),"")</f>
        <v>Go_First</v>
      </c>
      <c r="F778" s="6" t="str">
        <f>VLOOKUP(A778,Bookings!$A:$F,6,FALSE())</f>
        <v>Economy</v>
      </c>
      <c r="G778" s="6" t="str">
        <f t="array" ref="G778">IFERROR(INDEX(Flights!$E:$E,MATCH(B778,Flights!$A:$A,0)),"")</f>
        <v>Kolkata</v>
      </c>
      <c r="H778" s="6" t="str">
        <f>VLOOKUP(B778,Flights!A:H,6,FALSE())</f>
        <v>Chennai</v>
      </c>
      <c r="I778" s="6" t="str">
        <f t="array" ref="I778">IFERROR(INDEX(Bookings!$G:$G,MATCH(B778,Bookings!$B:$B,0)),"")</f>
        <v>1</v>
      </c>
      <c r="J778" s="5">
        <f>VLOOKUP(B778,Bookings!B:H,7,FALSE())</f>
        <v>8.33</v>
      </c>
      <c r="K778" s="5" t="str">
        <f t="shared" si="1"/>
        <v>Medium</v>
      </c>
      <c r="L778" s="11">
        <f t="array" ref="L778">IFERROR(INDEX(Bookings!$K:$K,MATCH(A778,Bookings!$A:$A,0)),"")</f>
        <v>7336</v>
      </c>
      <c r="M778" s="5" t="str">
        <f t="shared" si="2"/>
        <v>Medium</v>
      </c>
      <c r="N778" s="5">
        <f t="array" ref="N778">IFERROR(INDEX(Bookings!$I:$I,MATCH(A778,Bookings!$A:$A,0)),"")</f>
        <v>47</v>
      </c>
      <c r="O778" s="5" t="str">
        <f t="shared" si="3"/>
        <v>Advance</v>
      </c>
      <c r="P778" s="5" t="str">
        <f t="shared" si="4"/>
        <v>Kolkata -&gt; Chennai</v>
      </c>
    </row>
    <row r="779" ht="15.75" customHeight="1">
      <c r="A779" s="5" t="s">
        <v>2378</v>
      </c>
      <c r="B779" s="5" t="s">
        <v>1596</v>
      </c>
      <c r="C779" s="5" t="s">
        <v>549</v>
      </c>
      <c r="D779" s="5" t="s">
        <v>72</v>
      </c>
      <c r="E779" s="6" t="str">
        <f t="array" ref="E779">IFERROR(INDEX(Airlines!$B:$B,MATCH(D779,Airlines!$A:$A,0)),"")</f>
        <v>Spicejet</v>
      </c>
      <c r="F779" s="6" t="str">
        <f>VLOOKUP(A779,Bookings!$A:$F,6,FALSE())</f>
        <v>Economy</v>
      </c>
      <c r="G779" s="6" t="str">
        <f t="array" ref="G779">IFERROR(INDEX(Flights!$E:$E,MATCH(B779,Flights!$A:$A,0)),"")</f>
        <v>Kolkata</v>
      </c>
      <c r="H779" s="6" t="str">
        <f>VLOOKUP(B779,Flights!A:H,6,FALSE())</f>
        <v>Chennai</v>
      </c>
      <c r="I779" s="6" t="str">
        <f t="array" ref="I779">IFERROR(INDEX(Bookings!$G:$G,MATCH(B779,Bookings!$B:$B,0)),"")</f>
        <v>0</v>
      </c>
      <c r="J779" s="5">
        <f>VLOOKUP(B779,Bookings!B:H,7,FALSE())</f>
        <v>2.33</v>
      </c>
      <c r="K779" s="5" t="str">
        <f t="shared" si="1"/>
        <v>Short</v>
      </c>
      <c r="L779" s="11">
        <f t="array" ref="L779">IFERROR(INDEX(Bookings!$K:$K,MATCH(A779,Bookings!$A:$A,0)),"")</f>
        <v>3453</v>
      </c>
      <c r="M779" s="5" t="str">
        <f t="shared" si="2"/>
        <v>Low</v>
      </c>
      <c r="N779" s="5">
        <f t="array" ref="N779">IFERROR(INDEX(Bookings!$I:$I,MATCH(A779,Bookings!$A:$A,0)),"")</f>
        <v>48</v>
      </c>
      <c r="O779" s="5" t="str">
        <f t="shared" si="3"/>
        <v>Advance</v>
      </c>
      <c r="P779" s="5" t="str">
        <f t="shared" si="4"/>
        <v>Kolkata -&gt; Chennai</v>
      </c>
    </row>
    <row r="780" ht="15.75" customHeight="1">
      <c r="A780" s="5" t="s">
        <v>2380</v>
      </c>
      <c r="B780" s="5" t="s">
        <v>1743</v>
      </c>
      <c r="C780" s="5" t="s">
        <v>564</v>
      </c>
      <c r="D780" s="5" t="s">
        <v>29</v>
      </c>
      <c r="E780" s="6" t="str">
        <f t="array" ref="E780">IFERROR(INDEX(Airlines!$B:$B,MATCH(D780,Airlines!$A:$A,0)),"")</f>
        <v>AirAsia</v>
      </c>
      <c r="F780" s="6" t="str">
        <f>VLOOKUP(A780,Bookings!$A:$F,6,FALSE())</f>
        <v>Economy</v>
      </c>
      <c r="G780" s="6" t="str">
        <f t="array" ref="G780">IFERROR(INDEX(Flights!$E:$E,MATCH(B780,Flights!$A:$A,0)),"")</f>
        <v>Hyderabad</v>
      </c>
      <c r="H780" s="6" t="str">
        <f>VLOOKUP(B780,Flights!A:H,6,FALSE())</f>
        <v>Delhi</v>
      </c>
      <c r="I780" s="6" t="str">
        <f t="array" ref="I780">IFERROR(INDEX(Bookings!$G:$G,MATCH(B780,Bookings!$B:$B,0)),"")</f>
        <v>1</v>
      </c>
      <c r="J780" s="5">
        <f>VLOOKUP(B780,Bookings!B:H,7,FALSE())</f>
        <v>9.58</v>
      </c>
      <c r="K780" s="5" t="str">
        <f t="shared" si="1"/>
        <v>Medium</v>
      </c>
      <c r="L780" s="11">
        <f t="array" ref="L780">IFERROR(INDEX(Bookings!$K:$K,MATCH(A780,Bookings!$A:$A,0)),"")</f>
        <v>2695</v>
      </c>
      <c r="M780" s="5" t="str">
        <f t="shared" si="2"/>
        <v>Low</v>
      </c>
      <c r="N780" s="5">
        <f t="array" ref="N780">IFERROR(INDEX(Bookings!$I:$I,MATCH(A780,Bookings!$A:$A,0)),"")</f>
        <v>43</v>
      </c>
      <c r="O780" s="5" t="str">
        <f t="shared" si="3"/>
        <v>Advance</v>
      </c>
      <c r="P780" s="5" t="str">
        <f t="shared" si="4"/>
        <v>Hyderabad -&gt; Delhi</v>
      </c>
    </row>
    <row r="781" ht="15.75" customHeight="1">
      <c r="A781" s="5" t="s">
        <v>2381</v>
      </c>
      <c r="B781" s="5" t="s">
        <v>1727</v>
      </c>
      <c r="C781" s="5" t="s">
        <v>564</v>
      </c>
      <c r="D781" s="5" t="s">
        <v>43</v>
      </c>
      <c r="E781" s="6" t="str">
        <f t="array" ref="E781">IFERROR(INDEX(Airlines!$B:$B,MATCH(D781,Airlines!$A:$A,0)),"")</f>
        <v>Indigo</v>
      </c>
      <c r="F781" s="6" t="str">
        <f>VLOOKUP(A781,Bookings!$A:$F,6,FALSE())</f>
        <v>Economy</v>
      </c>
      <c r="G781" s="6" t="str">
        <f t="array" ref="G781">IFERROR(INDEX(Flights!$E:$E,MATCH(B781,Flights!$A:$A,0)),"")</f>
        <v>Hyderabad</v>
      </c>
      <c r="H781" s="6" t="str">
        <f>VLOOKUP(B781,Flights!A:H,6,FALSE())</f>
        <v>Delhi</v>
      </c>
      <c r="I781" s="6" t="str">
        <f t="array" ref="I781">IFERROR(INDEX(Bookings!$G:$G,MATCH(B781,Bookings!$B:$B,0)),"")</f>
        <v>0</v>
      </c>
      <c r="J781" s="5">
        <f>VLOOKUP(B781,Bookings!B:H,7,FALSE())</f>
        <v>2.42</v>
      </c>
      <c r="K781" s="5" t="str">
        <f t="shared" si="1"/>
        <v>Short</v>
      </c>
      <c r="L781" s="11">
        <f t="array" ref="L781">IFERROR(INDEX(Bookings!$K:$K,MATCH(A781,Bookings!$A:$A,0)),"")</f>
        <v>12853</v>
      </c>
      <c r="M781" s="5" t="str">
        <f t="shared" si="2"/>
        <v>Medium</v>
      </c>
      <c r="N781" s="5">
        <f t="array" ref="N781">IFERROR(INDEX(Bookings!$I:$I,MATCH(A781,Bookings!$A:$A,0)),"")</f>
        <v>1</v>
      </c>
      <c r="O781" s="5" t="str">
        <f t="shared" si="3"/>
        <v>Last Minute</v>
      </c>
      <c r="P781" s="5" t="str">
        <f t="shared" si="4"/>
        <v>Hyderabad -&gt; Delhi</v>
      </c>
    </row>
    <row r="782" ht="15.75" customHeight="1">
      <c r="A782" s="5" t="s">
        <v>2384</v>
      </c>
      <c r="B782" s="5" t="s">
        <v>1693</v>
      </c>
      <c r="C782" s="5" t="s">
        <v>564</v>
      </c>
      <c r="D782" s="5" t="s">
        <v>43</v>
      </c>
      <c r="E782" s="6" t="str">
        <f t="array" ref="E782">IFERROR(INDEX(Airlines!$B:$B,MATCH(D782,Airlines!$A:$A,0)),"")</f>
        <v>Indigo</v>
      </c>
      <c r="F782" s="6" t="str">
        <f>VLOOKUP(A782,Bookings!$A:$F,6,FALSE())</f>
        <v>Economy</v>
      </c>
      <c r="G782" s="6" t="str">
        <f t="array" ref="G782">IFERROR(INDEX(Flights!$E:$E,MATCH(B782,Flights!$A:$A,0)),"")</f>
        <v>Hyderabad</v>
      </c>
      <c r="H782" s="6" t="str">
        <f>VLOOKUP(B782,Flights!A:H,6,FALSE())</f>
        <v>Delhi</v>
      </c>
      <c r="I782" s="6" t="str">
        <f t="array" ref="I782">IFERROR(INDEX(Bookings!$G:$G,MATCH(B782,Bookings!$B:$B,0)),"")</f>
        <v>1</v>
      </c>
      <c r="J782" s="5">
        <f>VLOOKUP(B782,Bookings!B:H,7,FALSE())</f>
        <v>6.92</v>
      </c>
      <c r="K782" s="5" t="str">
        <f t="shared" si="1"/>
        <v>Medium</v>
      </c>
      <c r="L782" s="11">
        <f t="array" ref="L782">IFERROR(INDEX(Bookings!$K:$K,MATCH(A782,Bookings!$A:$A,0)),"")</f>
        <v>17578</v>
      </c>
      <c r="M782" s="5" t="str">
        <f t="shared" si="2"/>
        <v>High</v>
      </c>
      <c r="N782" s="5">
        <f t="array" ref="N782">IFERROR(INDEX(Bookings!$I:$I,MATCH(A782,Bookings!$A:$A,0)),"")</f>
        <v>1</v>
      </c>
      <c r="O782" s="5" t="str">
        <f t="shared" si="3"/>
        <v>Last Minute</v>
      </c>
      <c r="P782" s="5" t="str">
        <f t="shared" si="4"/>
        <v>Hyderabad -&gt; Delhi</v>
      </c>
    </row>
    <row r="783" ht="15.75" customHeight="1">
      <c r="A783" s="5" t="s">
        <v>2386</v>
      </c>
      <c r="B783" s="5" t="s">
        <v>1669</v>
      </c>
      <c r="C783" s="5" t="s">
        <v>564</v>
      </c>
      <c r="D783" s="5" t="s">
        <v>20</v>
      </c>
      <c r="E783" s="6" t="str">
        <f t="array" ref="E783">IFERROR(INDEX(Airlines!$B:$B,MATCH(D783,Airlines!$A:$A,0)),"")</f>
        <v>Vistara</v>
      </c>
      <c r="F783" s="6" t="str">
        <f>VLOOKUP(A783,Bookings!$A:$F,6,FALSE())</f>
        <v>Business</v>
      </c>
      <c r="G783" s="6" t="str">
        <f t="array" ref="G783">IFERROR(INDEX(Flights!$E:$E,MATCH(B783,Flights!$A:$A,0)),"")</f>
        <v>Hyderabad</v>
      </c>
      <c r="H783" s="6" t="str">
        <f>VLOOKUP(B783,Flights!A:H,6,FALSE())</f>
        <v>Delhi</v>
      </c>
      <c r="I783" s="6" t="str">
        <f t="array" ref="I783">IFERROR(INDEX(Bookings!$G:$G,MATCH(B783,Bookings!$B:$B,0)),"")</f>
        <v>0</v>
      </c>
      <c r="J783" s="5">
        <f>VLOOKUP(B783,Bookings!B:H,7,FALSE())</f>
        <v>2.17</v>
      </c>
      <c r="K783" s="5" t="str">
        <f t="shared" si="1"/>
        <v>Short</v>
      </c>
      <c r="L783" s="11">
        <f t="array" ref="L783">IFERROR(INDEX(Bookings!$K:$K,MATCH(A783,Bookings!$A:$A,0)),"")</f>
        <v>30808</v>
      </c>
      <c r="M783" s="5" t="str">
        <f t="shared" si="2"/>
        <v>High</v>
      </c>
      <c r="N783" s="5" t="str">
        <f t="array" ref="N783">IFERROR(INDEX(Bookings!$I:$I,MATCH(A783,Bookings!$A:$A,0)),"")</f>
        <v/>
      </c>
      <c r="O783" s="5" t="str">
        <f t="shared" si="3"/>
        <v>Last Minute</v>
      </c>
      <c r="P783" s="5" t="str">
        <f t="shared" si="4"/>
        <v>Hyderabad -&gt; Delhi</v>
      </c>
    </row>
    <row r="784" ht="15.75" customHeight="1">
      <c r="A784" s="5" t="s">
        <v>2389</v>
      </c>
      <c r="B784" s="5" t="s">
        <v>1662</v>
      </c>
      <c r="C784" s="5" t="s">
        <v>564</v>
      </c>
      <c r="D784" s="5" t="s">
        <v>20</v>
      </c>
      <c r="E784" s="6" t="str">
        <f t="array" ref="E784">IFERROR(INDEX(Airlines!$B:$B,MATCH(D784,Airlines!$A:$A,0)),"")</f>
        <v>Vistara</v>
      </c>
      <c r="F784" s="6" t="str">
        <f>VLOOKUP(A784,Bookings!$A:$F,6,FALSE())</f>
        <v>Economy</v>
      </c>
      <c r="G784" s="6" t="str">
        <f t="array" ref="G784">IFERROR(INDEX(Flights!$E:$E,MATCH(B784,Flights!$A:$A,0)),"")</f>
        <v>Hyderabad</v>
      </c>
      <c r="H784" s="6" t="str">
        <f>VLOOKUP(B784,Flights!A:H,6,FALSE())</f>
        <v>Delhi</v>
      </c>
      <c r="I784" s="6">
        <f t="array" ref="I784">IFERROR(INDEX(Bookings!$G:$G,MATCH(B784,Bookings!$B:$B,0)),"")</f>
        <v>0</v>
      </c>
      <c r="J784" s="5">
        <f>VLOOKUP(B784,Bookings!B:H,7,FALSE())</f>
        <v>16.5</v>
      </c>
      <c r="K784" s="5" t="str">
        <f t="shared" si="1"/>
        <v>Long</v>
      </c>
      <c r="L784" s="11">
        <f t="array" ref="L784">IFERROR(INDEX(Bookings!$K:$K,MATCH(A784,Bookings!$A:$A,0)),"")</f>
        <v>5892</v>
      </c>
      <c r="M784" s="5" t="str">
        <f t="shared" si="2"/>
        <v>Medium</v>
      </c>
      <c r="N784" s="5">
        <f t="array" ref="N784">IFERROR(INDEX(Bookings!$I:$I,MATCH(A784,Bookings!$A:$A,0)),"")</f>
        <v>44</v>
      </c>
      <c r="O784" s="5" t="str">
        <f t="shared" si="3"/>
        <v>Advance</v>
      </c>
      <c r="P784" s="5" t="str">
        <f t="shared" si="4"/>
        <v>Hyderabad -&gt; Delhi</v>
      </c>
    </row>
    <row r="785" ht="15.75" customHeight="1">
      <c r="A785" s="5" t="s">
        <v>2391</v>
      </c>
      <c r="B785" s="5" t="s">
        <v>1713</v>
      </c>
      <c r="C785" s="5" t="s">
        <v>564</v>
      </c>
      <c r="D785" s="5" t="s">
        <v>20</v>
      </c>
      <c r="E785" s="6" t="str">
        <f t="array" ref="E785">IFERROR(INDEX(Airlines!$B:$B,MATCH(D785,Airlines!$A:$A,0)),"")</f>
        <v>Vistara</v>
      </c>
      <c r="F785" s="6" t="str">
        <f>VLOOKUP(A785,Bookings!$A:$F,6,FALSE())</f>
        <v>Economy</v>
      </c>
      <c r="G785" s="6" t="str">
        <f t="array" ref="G785">IFERROR(INDEX(Flights!$E:$E,MATCH(B785,Flights!$A:$A,0)),"")</f>
        <v>Hyderabad</v>
      </c>
      <c r="H785" s="6" t="str">
        <f>VLOOKUP(B785,Flights!A:H,6,FALSE())</f>
        <v>Delhi</v>
      </c>
      <c r="I785" s="6" t="str">
        <f t="array" ref="I785">IFERROR(INDEX(Bookings!$G:$G,MATCH(B785,Bookings!$B:$B,0)),"")</f>
        <v>1</v>
      </c>
      <c r="J785" s="5">
        <f>VLOOKUP(B785,Bookings!B:H,7,FALSE())</f>
        <v>25.42</v>
      </c>
      <c r="K785" s="5" t="str">
        <f t="shared" si="1"/>
        <v>Long</v>
      </c>
      <c r="L785" s="11">
        <f t="array" ref="L785">IFERROR(INDEX(Bookings!$K:$K,MATCH(A785,Bookings!$A:$A,0)),"")</f>
        <v>12276</v>
      </c>
      <c r="M785" s="5" t="str">
        <f t="shared" si="2"/>
        <v>Medium</v>
      </c>
      <c r="N785" s="5">
        <f t="array" ref="N785">IFERROR(INDEX(Bookings!$I:$I,MATCH(A785,Bookings!$A:$A,0)),"")</f>
        <v>2</v>
      </c>
      <c r="O785" s="5" t="str">
        <f t="shared" si="3"/>
        <v>Last Minute</v>
      </c>
      <c r="P785" s="5" t="str">
        <f t="shared" si="4"/>
        <v>Hyderabad -&gt; Delhi</v>
      </c>
    </row>
    <row r="786" ht="15.75" customHeight="1">
      <c r="A786" s="5" t="s">
        <v>2393</v>
      </c>
      <c r="B786" s="5" t="s">
        <v>1691</v>
      </c>
      <c r="C786" s="5" t="s">
        <v>564</v>
      </c>
      <c r="D786" s="5" t="s">
        <v>43</v>
      </c>
      <c r="E786" s="6" t="str">
        <f t="array" ref="E786">IFERROR(INDEX(Airlines!$B:$B,MATCH(D786,Airlines!$A:$A,0)),"")</f>
        <v>Indigo</v>
      </c>
      <c r="F786" s="6" t="str">
        <f>VLOOKUP(A786,Bookings!$A:$F,6,FALSE())</f>
        <v>Economy</v>
      </c>
      <c r="G786" s="6" t="str">
        <f t="array" ref="G786">IFERROR(INDEX(Flights!$E:$E,MATCH(B786,Flights!$A:$A,0)),"")</f>
        <v>Hyderabad</v>
      </c>
      <c r="H786" s="6" t="str">
        <f>VLOOKUP(B786,Flights!A:H,6,FALSE())</f>
        <v>Delhi</v>
      </c>
      <c r="I786" s="6" t="str">
        <f t="array" ref="I786">IFERROR(INDEX(Bookings!$G:$G,MATCH(B786,Bookings!$B:$B,0)),"")</f>
        <v>1</v>
      </c>
      <c r="J786" s="5">
        <f>VLOOKUP(B786,Bookings!B:H,7,FALSE())</f>
        <v>5</v>
      </c>
      <c r="K786" s="5" t="str">
        <f t="shared" si="1"/>
        <v>Medium</v>
      </c>
      <c r="L786" s="11">
        <f t="array" ref="L786">IFERROR(INDEX(Bookings!$K:$K,MATCH(A786,Bookings!$A:$A,0)),"")</f>
        <v>3397</v>
      </c>
      <c r="M786" s="5" t="str">
        <f t="shared" si="2"/>
        <v>Low</v>
      </c>
      <c r="N786" s="5">
        <f t="array" ref="N786">IFERROR(INDEX(Bookings!$I:$I,MATCH(A786,Bookings!$A:$A,0)),"")</f>
        <v>43</v>
      </c>
      <c r="O786" s="5" t="str">
        <f t="shared" si="3"/>
        <v>Advance</v>
      </c>
      <c r="P786" s="5" t="str">
        <f t="shared" si="4"/>
        <v>Hyderabad -&gt; Delhi</v>
      </c>
    </row>
    <row r="787" ht="15.75" customHeight="1">
      <c r="A787" s="5" t="s">
        <v>2394</v>
      </c>
      <c r="B787" s="5" t="s">
        <v>1680</v>
      </c>
      <c r="C787" s="5" t="s">
        <v>564</v>
      </c>
      <c r="D787" s="5" t="s">
        <v>58</v>
      </c>
      <c r="E787" s="6" t="str">
        <f t="array" ref="E787">IFERROR(INDEX(Airlines!$B:$B,MATCH(D787,Airlines!$A:$A,0)),"")</f>
        <v>Go_First</v>
      </c>
      <c r="F787" s="6" t="str">
        <f>VLOOKUP(A787,Bookings!$A:$F,6,FALSE())</f>
        <v>Economy</v>
      </c>
      <c r="G787" s="6" t="str">
        <f t="array" ref="G787">IFERROR(INDEX(Flights!$E:$E,MATCH(B787,Flights!$A:$A,0)),"")</f>
        <v>Hyderabad</v>
      </c>
      <c r="H787" s="6" t="str">
        <f>VLOOKUP(B787,Flights!A:H,6,FALSE())</f>
        <v>Delhi</v>
      </c>
      <c r="I787" s="6" t="str">
        <f t="array" ref="I787">IFERROR(INDEX(Bookings!$G:$G,MATCH(B787,Bookings!$B:$B,0)),"")</f>
        <v>1</v>
      </c>
      <c r="J787" s="5">
        <f>VLOOKUP(B787,Bookings!B:H,7,FALSE())</f>
        <v>10.83</v>
      </c>
      <c r="K787" s="5" t="str">
        <f t="shared" si="1"/>
        <v>Long</v>
      </c>
      <c r="L787" s="11">
        <f t="array" ref="L787">IFERROR(INDEX(Bookings!$K:$K,MATCH(A787,Bookings!$A:$A,0)),"")</f>
        <v>5029</v>
      </c>
      <c r="M787" s="5" t="str">
        <f t="shared" si="2"/>
        <v>Medium</v>
      </c>
      <c r="N787" s="5">
        <f t="array" ref="N787">IFERROR(INDEX(Bookings!$I:$I,MATCH(A787,Bookings!$A:$A,0)),"")</f>
        <v>39</v>
      </c>
      <c r="O787" s="5" t="str">
        <f t="shared" si="3"/>
        <v>Advance</v>
      </c>
      <c r="P787" s="5" t="str">
        <f t="shared" si="4"/>
        <v>Hyderabad -&gt; Delhi</v>
      </c>
    </row>
    <row r="788" ht="15.75" customHeight="1">
      <c r="A788" s="5" t="s">
        <v>2396</v>
      </c>
      <c r="B788" s="5" t="s">
        <v>1716</v>
      </c>
      <c r="C788" s="5" t="s">
        <v>564</v>
      </c>
      <c r="D788" s="5" t="s">
        <v>45</v>
      </c>
      <c r="E788" s="6" t="str">
        <f t="array" ref="E788">IFERROR(INDEX(Airlines!$B:$B,MATCH(D788,Airlines!$A:$A,0)),"")</f>
        <v>Air_India</v>
      </c>
      <c r="F788" s="6" t="str">
        <f>VLOOKUP(A788,Bookings!$A:$F,6,FALSE())</f>
        <v>Economy</v>
      </c>
      <c r="G788" s="6" t="str">
        <f t="array" ref="G788">IFERROR(INDEX(Flights!$E:$E,MATCH(B788,Flights!$A:$A,0)),"")</f>
        <v>Hyderabad</v>
      </c>
      <c r="H788" s="6" t="str">
        <f>VLOOKUP(B788,Flights!A:H,6,FALSE())</f>
        <v>Delhi</v>
      </c>
      <c r="I788" s="6" t="str">
        <f t="array" ref="I788">IFERROR(INDEX(Bookings!$G:$G,MATCH(B788,Bookings!$B:$B,0)),"")</f>
        <v>1</v>
      </c>
      <c r="J788" s="5">
        <f>VLOOKUP(B788,Bookings!B:H,7,FALSE())</f>
        <v>19.83</v>
      </c>
      <c r="K788" s="5" t="str">
        <f t="shared" si="1"/>
        <v>Long</v>
      </c>
      <c r="L788" s="11">
        <f t="array" ref="L788">IFERROR(INDEX(Bookings!$K:$K,MATCH(A788,Bookings!$A:$A,0)),"")</f>
        <v>11488</v>
      </c>
      <c r="M788" s="5" t="str">
        <f t="shared" si="2"/>
        <v>Medium</v>
      </c>
      <c r="N788" s="5">
        <f t="array" ref="N788">IFERROR(INDEX(Bookings!$I:$I,MATCH(A788,Bookings!$A:$A,0)),"")</f>
        <v>3</v>
      </c>
      <c r="O788" s="5" t="str">
        <f t="shared" si="3"/>
        <v>Last Minute</v>
      </c>
      <c r="P788" s="5" t="str">
        <f t="shared" si="4"/>
        <v>Hyderabad -&gt; Delhi</v>
      </c>
    </row>
    <row r="789" ht="15.75" customHeight="1">
      <c r="A789" s="5" t="s">
        <v>2398</v>
      </c>
      <c r="B789" s="5" t="s">
        <v>1656</v>
      </c>
      <c r="C789" s="5" t="s">
        <v>564</v>
      </c>
      <c r="D789" s="5" t="s">
        <v>43</v>
      </c>
      <c r="E789" s="6" t="str">
        <f t="array" ref="E789">IFERROR(INDEX(Airlines!$B:$B,MATCH(D789,Airlines!$A:$A,0)),"")</f>
        <v>Indigo</v>
      </c>
      <c r="F789" s="6" t="str">
        <f>VLOOKUP(A789,Bookings!$A:$F,6,FALSE())</f>
        <v>Economy</v>
      </c>
      <c r="G789" s="6" t="str">
        <f t="array" ref="G789">IFERROR(INDEX(Flights!$E:$E,MATCH(B789,Flights!$A:$A,0)),"")</f>
        <v>Hyderabad</v>
      </c>
      <c r="H789" s="6" t="str">
        <f>VLOOKUP(B789,Flights!A:H,6,FALSE())</f>
        <v>Delhi</v>
      </c>
      <c r="I789" s="6" t="str">
        <f t="array" ref="I789">IFERROR(INDEX(Bookings!$G:$G,MATCH(B789,Bookings!$B:$B,0)),"")</f>
        <v>1</v>
      </c>
      <c r="J789" s="5">
        <f>VLOOKUP(B789,Bookings!B:H,7,FALSE())</f>
        <v>6.75</v>
      </c>
      <c r="K789" s="5" t="str">
        <f t="shared" si="1"/>
        <v>Medium</v>
      </c>
      <c r="L789" s="11">
        <f t="array" ref="L789">IFERROR(INDEX(Bookings!$K:$K,MATCH(A789,Bookings!$A:$A,0)),"")</f>
        <v>12447</v>
      </c>
      <c r="M789" s="5" t="str">
        <f t="shared" si="2"/>
        <v>Medium</v>
      </c>
      <c r="N789" s="5">
        <f t="array" ref="N789">IFERROR(INDEX(Bookings!$I:$I,MATCH(A789,Bookings!$A:$A,0)),"")</f>
        <v>3</v>
      </c>
      <c r="O789" s="5" t="str">
        <f t="shared" si="3"/>
        <v>Last Minute</v>
      </c>
      <c r="P789" s="5" t="str">
        <f t="shared" si="4"/>
        <v>Hyderabad -&gt; Delhi</v>
      </c>
    </row>
    <row r="790" ht="15.75" customHeight="1">
      <c r="A790" s="5" t="s">
        <v>2399</v>
      </c>
      <c r="B790" s="5" t="s">
        <v>1741</v>
      </c>
      <c r="C790" s="5" t="s">
        <v>564</v>
      </c>
      <c r="D790" s="5" t="s">
        <v>45</v>
      </c>
      <c r="E790" s="6" t="str">
        <f t="array" ref="E790">IFERROR(INDEX(Airlines!$B:$B,MATCH(D790,Airlines!$A:$A,0)),"")</f>
        <v>Air_India</v>
      </c>
      <c r="F790" s="6" t="str">
        <f>VLOOKUP(A790,Bookings!$A:$F,6,FALSE())</f>
        <v>Business</v>
      </c>
      <c r="G790" s="6" t="str">
        <f t="array" ref="G790">IFERROR(INDEX(Flights!$E:$E,MATCH(B790,Flights!$A:$A,0)),"")</f>
        <v>Hyderabad</v>
      </c>
      <c r="H790" s="6" t="str">
        <f>VLOOKUP(B790,Flights!A:H,6,FALSE())</f>
        <v>Delhi</v>
      </c>
      <c r="I790" s="6" t="str">
        <f t="array" ref="I790">IFERROR(INDEX(Bookings!$G:$G,MATCH(B790,Bookings!$B:$B,0)),"")</f>
        <v>1</v>
      </c>
      <c r="J790" s="5">
        <f>VLOOKUP(B790,Bookings!B:H,7,FALSE())</f>
        <v>17</v>
      </c>
      <c r="K790" s="5" t="str">
        <f t="shared" si="1"/>
        <v>Long</v>
      </c>
      <c r="L790" s="11">
        <f t="array" ref="L790">IFERROR(INDEX(Bookings!$K:$K,MATCH(A790,Bookings!$A:$A,0)),"")</f>
        <v>56546</v>
      </c>
      <c r="M790" s="5" t="str">
        <f t="shared" si="2"/>
        <v>High</v>
      </c>
      <c r="N790" s="5">
        <f t="array" ref="N790">IFERROR(INDEX(Bookings!$I:$I,MATCH(A790,Bookings!$A:$A,0)),"")</f>
        <v>34</v>
      </c>
      <c r="O790" s="5" t="str">
        <f t="shared" si="3"/>
        <v>Advance</v>
      </c>
      <c r="P790" s="5" t="str">
        <f t="shared" si="4"/>
        <v>Hyderabad -&gt; Delhi</v>
      </c>
    </row>
    <row r="791" ht="15.75" customHeight="1">
      <c r="A791" s="5" t="s">
        <v>2401</v>
      </c>
      <c r="B791" s="5" t="s">
        <v>1684</v>
      </c>
      <c r="C791" s="5" t="s">
        <v>564</v>
      </c>
      <c r="D791" s="5" t="s">
        <v>45</v>
      </c>
      <c r="E791" s="6" t="str">
        <f t="array" ref="E791">IFERROR(INDEX(Airlines!$B:$B,MATCH(D791,Airlines!$A:$A,0)),"")</f>
        <v>Air_India</v>
      </c>
      <c r="F791" s="6" t="str">
        <f>VLOOKUP(A791,Bookings!$A:$F,6,FALSE())</f>
        <v>Economy</v>
      </c>
      <c r="G791" s="6" t="str">
        <f t="array" ref="G791">IFERROR(INDEX(Flights!$E:$E,MATCH(B791,Flights!$A:$A,0)),"")</f>
        <v>Hyderabad</v>
      </c>
      <c r="H791" s="6" t="str">
        <f>VLOOKUP(B791,Flights!A:H,6,FALSE())</f>
        <v>Delhi</v>
      </c>
      <c r="I791" s="6" t="str">
        <f t="array" ref="I791">IFERROR(INDEX(Bookings!$G:$G,MATCH(B791,Bookings!$B:$B,0)),"")</f>
        <v>1</v>
      </c>
      <c r="J791" s="5">
        <f>VLOOKUP(B791,Bookings!B:H,7,FALSE())</f>
        <v>20.42</v>
      </c>
      <c r="K791" s="5" t="str">
        <f t="shared" si="1"/>
        <v>Long</v>
      </c>
      <c r="L791" s="11">
        <f t="array" ref="L791">IFERROR(INDEX(Bookings!$K:$K,MATCH(A791,Bookings!$A:$A,0)),"")</f>
        <v>14533</v>
      </c>
      <c r="M791" s="5" t="str">
        <f t="shared" si="2"/>
        <v>Medium</v>
      </c>
      <c r="N791" s="5">
        <f t="array" ref="N791">IFERROR(INDEX(Bookings!$I:$I,MATCH(A791,Bookings!$A:$A,0)),"")</f>
        <v>8</v>
      </c>
      <c r="O791" s="5" t="str">
        <f t="shared" si="3"/>
        <v>Short Notice</v>
      </c>
      <c r="P791" s="5" t="str">
        <f t="shared" si="4"/>
        <v>Hyderabad -&gt; Delhi</v>
      </c>
    </row>
    <row r="792" ht="15.75" customHeight="1">
      <c r="A792" s="5" t="s">
        <v>2403</v>
      </c>
      <c r="B792" s="5" t="s">
        <v>1719</v>
      </c>
      <c r="C792" s="5" t="s">
        <v>564</v>
      </c>
      <c r="D792" s="5" t="s">
        <v>20</v>
      </c>
      <c r="E792" s="6" t="str">
        <f t="array" ref="E792">IFERROR(INDEX(Airlines!$B:$B,MATCH(D792,Airlines!$A:$A,0)),"")</f>
        <v>Vistara</v>
      </c>
      <c r="F792" s="6" t="str">
        <f>VLOOKUP(A792,Bookings!$A:$F,6,FALSE())</f>
        <v>Economy</v>
      </c>
      <c r="G792" s="6" t="str">
        <f t="array" ref="G792">IFERROR(INDEX(Flights!$E:$E,MATCH(B792,Flights!$A:$A,0)),"")</f>
        <v>Hyderabad</v>
      </c>
      <c r="H792" s="6" t="str">
        <f>VLOOKUP(B792,Flights!A:H,6,FALSE())</f>
        <v>Delhi</v>
      </c>
      <c r="I792" s="6" t="str">
        <f t="array" ref="I792">IFERROR(INDEX(Bookings!$G:$G,MATCH(B792,Bookings!$B:$B,0)),"")</f>
        <v>1</v>
      </c>
      <c r="J792" s="5">
        <f>VLOOKUP(B792,Bookings!B:H,7,FALSE())</f>
        <v>6.83</v>
      </c>
      <c r="K792" s="5" t="str">
        <f t="shared" si="1"/>
        <v>Medium</v>
      </c>
      <c r="L792" s="11">
        <f t="array" ref="L792">IFERROR(INDEX(Bookings!$K:$K,MATCH(A792,Bookings!$A:$A,0)),"")</f>
        <v>6292</v>
      </c>
      <c r="M792" s="5" t="str">
        <f t="shared" si="2"/>
        <v>Medium</v>
      </c>
      <c r="N792" s="5">
        <f t="array" ref="N792">IFERROR(INDEX(Bookings!$I:$I,MATCH(A792,Bookings!$A:$A,0)),"")</f>
        <v>45</v>
      </c>
      <c r="O792" s="5" t="str">
        <f t="shared" si="3"/>
        <v>Advance</v>
      </c>
      <c r="P792" s="5" t="str">
        <f t="shared" si="4"/>
        <v>Hyderabad -&gt; Delhi</v>
      </c>
    </row>
    <row r="793" ht="15.75" customHeight="1">
      <c r="A793" s="5" t="s">
        <v>2404</v>
      </c>
      <c r="B793" s="5" t="s">
        <v>1705</v>
      </c>
      <c r="C793" s="5" t="s">
        <v>564</v>
      </c>
      <c r="D793" s="5" t="s">
        <v>45</v>
      </c>
      <c r="E793" s="6" t="str">
        <f t="array" ref="E793">IFERROR(INDEX(Airlines!$B:$B,MATCH(D793,Airlines!$A:$A,0)),"")</f>
        <v>Air_India</v>
      </c>
      <c r="F793" s="6" t="str">
        <f>VLOOKUP(A793,Bookings!$A:$F,6,FALSE())</f>
        <v>Economy</v>
      </c>
      <c r="G793" s="6" t="str">
        <f t="array" ref="G793">IFERROR(INDEX(Flights!$E:$E,MATCH(B793,Flights!$A:$A,0)),"")</f>
        <v>Hyderabad</v>
      </c>
      <c r="H793" s="6" t="str">
        <f>VLOOKUP(B793,Flights!A:H,6,FALSE())</f>
        <v>Delhi</v>
      </c>
      <c r="I793" s="6" t="str">
        <f t="array" ref="I793">IFERROR(INDEX(Bookings!$G:$G,MATCH(B793,Bookings!$B:$B,0)),"")</f>
        <v>1</v>
      </c>
      <c r="J793" s="5">
        <f>VLOOKUP(B793,Bookings!B:H,7,FALSE())</f>
        <v>6.33</v>
      </c>
      <c r="K793" s="5" t="str">
        <f t="shared" si="1"/>
        <v>Medium</v>
      </c>
      <c r="L793" s="11">
        <f t="array" ref="L793">IFERROR(INDEX(Bookings!$K:$K,MATCH(A793,Bookings!$A:$A,0)),"")</f>
        <v>6117</v>
      </c>
      <c r="M793" s="5" t="str">
        <f t="shared" si="2"/>
        <v>Medium</v>
      </c>
      <c r="N793" s="5">
        <f t="array" ref="N793">IFERROR(INDEX(Bookings!$I:$I,MATCH(A793,Bookings!$A:$A,0)),"")</f>
        <v>32</v>
      </c>
      <c r="O793" s="5" t="str">
        <f t="shared" si="3"/>
        <v>Advance</v>
      </c>
      <c r="P793" s="5" t="str">
        <f t="shared" si="4"/>
        <v>Hyderabad -&gt; Delhi</v>
      </c>
    </row>
    <row r="794" ht="15.75" customHeight="1">
      <c r="A794" s="5" t="s">
        <v>2406</v>
      </c>
      <c r="B794" s="5" t="s">
        <v>1647</v>
      </c>
      <c r="C794" s="5" t="s">
        <v>564</v>
      </c>
      <c r="D794" s="5" t="s">
        <v>45</v>
      </c>
      <c r="E794" s="6" t="str">
        <f t="array" ref="E794">IFERROR(INDEX(Airlines!$B:$B,MATCH(D794,Airlines!$A:$A,0)),"")</f>
        <v>Air_India</v>
      </c>
      <c r="F794" s="6" t="str">
        <f>VLOOKUP(A794,Bookings!$A:$F,6,FALSE())</f>
        <v>Economy</v>
      </c>
      <c r="G794" s="6" t="str">
        <f t="array" ref="G794">IFERROR(INDEX(Flights!$E:$E,MATCH(B794,Flights!$A:$A,0)),"")</f>
        <v>Hyderabad</v>
      </c>
      <c r="H794" s="6" t="str">
        <f>VLOOKUP(B794,Flights!A:H,6,FALSE())</f>
        <v>Delhi</v>
      </c>
      <c r="I794" s="6" t="str">
        <f t="array" ref="I794">IFERROR(INDEX(Bookings!$G:$G,MATCH(B794,Bookings!$B:$B,0)),"")</f>
        <v>1</v>
      </c>
      <c r="J794" s="5">
        <f>VLOOKUP(B794,Bookings!B:H,7,FALSE())</f>
        <v>11</v>
      </c>
      <c r="K794" s="5" t="str">
        <f t="shared" si="1"/>
        <v>Long</v>
      </c>
      <c r="L794" s="11">
        <f t="array" ref="L794">IFERROR(INDEX(Bookings!$K:$K,MATCH(A794,Bookings!$A:$A,0)),"")</f>
        <v>5697</v>
      </c>
      <c r="M794" s="5" t="str">
        <f t="shared" si="2"/>
        <v>Medium</v>
      </c>
      <c r="N794" s="5">
        <f t="array" ref="N794">IFERROR(INDEX(Bookings!$I:$I,MATCH(A794,Bookings!$A:$A,0)),"")</f>
        <v>32</v>
      </c>
      <c r="O794" s="5" t="str">
        <f t="shared" si="3"/>
        <v>Advance</v>
      </c>
      <c r="P794" s="5" t="str">
        <f t="shared" si="4"/>
        <v>Hyderabad -&gt; Delhi</v>
      </c>
    </row>
    <row r="795" ht="15.75" customHeight="1">
      <c r="A795" s="5" t="s">
        <v>2409</v>
      </c>
      <c r="B795" s="5" t="s">
        <v>1710</v>
      </c>
      <c r="C795" s="5" t="s">
        <v>564</v>
      </c>
      <c r="D795" s="5" t="s">
        <v>45</v>
      </c>
      <c r="E795" s="6" t="str">
        <f t="array" ref="E795">IFERROR(INDEX(Airlines!$B:$B,MATCH(D795,Airlines!$A:$A,0)),"")</f>
        <v>Air_India</v>
      </c>
      <c r="F795" s="6" t="str">
        <f>VLOOKUP(A795,Bookings!$A:$F,6,FALSE())</f>
        <v>Economy</v>
      </c>
      <c r="G795" s="6" t="str">
        <f t="array" ref="G795">IFERROR(INDEX(Flights!$E:$E,MATCH(B795,Flights!$A:$A,0)),"")</f>
        <v>Hyderabad</v>
      </c>
      <c r="H795" s="6" t="str">
        <f>VLOOKUP(B795,Flights!A:H,6,FALSE())</f>
        <v>Delhi</v>
      </c>
      <c r="I795" s="6" t="str">
        <f t="array" ref="I795">IFERROR(INDEX(Bookings!$G:$G,MATCH(B795,Bookings!$B:$B,0)),"")</f>
        <v>1</v>
      </c>
      <c r="J795" s="5">
        <f>VLOOKUP(B795,Bookings!B:H,7,FALSE())</f>
        <v>12</v>
      </c>
      <c r="K795" s="5" t="str">
        <f t="shared" si="1"/>
        <v>Long</v>
      </c>
      <c r="L795" s="11">
        <f t="array" ref="L795">IFERROR(INDEX(Bookings!$K:$K,MATCH(A795,Bookings!$A:$A,0)),"")</f>
        <v>11488</v>
      </c>
      <c r="M795" s="5" t="str">
        <f t="shared" si="2"/>
        <v>Medium</v>
      </c>
      <c r="N795" s="5">
        <f t="array" ref="N795">IFERROR(INDEX(Bookings!$I:$I,MATCH(A795,Bookings!$A:$A,0)),"")</f>
        <v>4</v>
      </c>
      <c r="O795" s="5" t="str">
        <f t="shared" si="3"/>
        <v>Last Minute</v>
      </c>
      <c r="P795" s="5" t="str">
        <f t="shared" si="4"/>
        <v>Hyderabad -&gt; Delhi</v>
      </c>
    </row>
    <row r="796" ht="15.75" customHeight="1">
      <c r="A796" s="5" t="s">
        <v>2410</v>
      </c>
      <c r="B796" s="5" t="s">
        <v>1704</v>
      </c>
      <c r="C796" s="5" t="s">
        <v>564</v>
      </c>
      <c r="D796" s="5" t="s">
        <v>45</v>
      </c>
      <c r="E796" s="6" t="str">
        <f t="array" ref="E796">IFERROR(INDEX(Airlines!$B:$B,MATCH(D796,Airlines!$A:$A,0)),"")</f>
        <v>Air_India</v>
      </c>
      <c r="F796" s="6" t="str">
        <f>VLOOKUP(A796,Bookings!$A:$F,6,FALSE())</f>
        <v>Economy</v>
      </c>
      <c r="G796" s="6" t="str">
        <f t="array" ref="G796">IFERROR(INDEX(Flights!$E:$E,MATCH(B796,Flights!$A:$A,0)),"")</f>
        <v>Hyderabad</v>
      </c>
      <c r="H796" s="6" t="str">
        <f>VLOOKUP(B796,Flights!A:H,6,FALSE())</f>
        <v>Delhi</v>
      </c>
      <c r="I796" s="6" t="str">
        <f t="array" ref="I796">IFERROR(INDEX(Bookings!$G:$G,MATCH(B796,Bookings!$B:$B,0)),"")</f>
        <v>1</v>
      </c>
      <c r="J796" s="5">
        <f>VLOOKUP(B796,Bookings!B:H,7,FALSE())</f>
        <v>23.17</v>
      </c>
      <c r="K796" s="5" t="str">
        <f t="shared" si="1"/>
        <v>Long</v>
      </c>
      <c r="L796" s="11">
        <f t="array" ref="L796">IFERROR(INDEX(Bookings!$K:$K,MATCH(A796,Bookings!$A:$A,0)),"")</f>
        <v>11488</v>
      </c>
      <c r="M796" s="5" t="str">
        <f t="shared" si="2"/>
        <v>Medium</v>
      </c>
      <c r="N796" s="5">
        <f t="array" ref="N796">IFERROR(INDEX(Bookings!$I:$I,MATCH(A796,Bookings!$A:$A,0)),"")</f>
        <v>11</v>
      </c>
      <c r="O796" s="5" t="str">
        <f t="shared" si="3"/>
        <v>Short Notice</v>
      </c>
      <c r="P796" s="5" t="str">
        <f t="shared" si="4"/>
        <v>Hyderabad -&gt; Delhi</v>
      </c>
    </row>
    <row r="797" ht="15.75" customHeight="1">
      <c r="A797" s="5" t="s">
        <v>2412</v>
      </c>
      <c r="B797" s="5" t="s">
        <v>1733</v>
      </c>
      <c r="C797" s="5" t="s">
        <v>564</v>
      </c>
      <c r="D797" s="5" t="s">
        <v>45</v>
      </c>
      <c r="E797" s="6" t="str">
        <f t="array" ref="E797">IFERROR(INDEX(Airlines!$B:$B,MATCH(D797,Airlines!$A:$A,0)),"")</f>
        <v>Air_India</v>
      </c>
      <c r="F797" s="6" t="str">
        <f>VLOOKUP(A797,Bookings!$A:$F,6,FALSE())</f>
        <v>Economy</v>
      </c>
      <c r="G797" s="6" t="str">
        <f t="array" ref="G797">IFERROR(INDEX(Flights!$E:$E,MATCH(B797,Flights!$A:$A,0)),"")</f>
        <v>Hyderabad</v>
      </c>
      <c r="H797" s="6" t="str">
        <f>VLOOKUP(B797,Flights!A:H,6,FALSE())</f>
        <v>Delhi</v>
      </c>
      <c r="I797" s="6" t="str">
        <f t="array" ref="I797">IFERROR(INDEX(Bookings!$G:$G,MATCH(B797,Bookings!$B:$B,0)),"")</f>
        <v>1</v>
      </c>
      <c r="J797" s="5">
        <f>VLOOKUP(B797,Bookings!B:H,7,FALSE())</f>
        <v>6.17</v>
      </c>
      <c r="K797" s="5" t="str">
        <f t="shared" si="1"/>
        <v>Medium</v>
      </c>
      <c r="L797" s="11">
        <f t="array" ref="L797">IFERROR(INDEX(Bookings!$K:$K,MATCH(A797,Bookings!$A:$A,0)),"")</f>
        <v>10586</v>
      </c>
      <c r="M797" s="5" t="str">
        <f t="shared" si="2"/>
        <v>Medium</v>
      </c>
      <c r="N797" s="5">
        <f t="array" ref="N797">IFERROR(INDEX(Bookings!$I:$I,MATCH(A797,Bookings!$A:$A,0)),"")</f>
        <v>8</v>
      </c>
      <c r="O797" s="5" t="str">
        <f t="shared" si="3"/>
        <v>Short Notice</v>
      </c>
      <c r="P797" s="5" t="str">
        <f t="shared" si="4"/>
        <v>Hyderabad -&gt; Delhi</v>
      </c>
    </row>
    <row r="798" ht="15.75" customHeight="1">
      <c r="A798" s="5" t="s">
        <v>2414</v>
      </c>
      <c r="B798" s="5" t="s">
        <v>1672</v>
      </c>
      <c r="C798" s="5" t="s">
        <v>564</v>
      </c>
      <c r="D798" s="5" t="s">
        <v>20</v>
      </c>
      <c r="E798" s="6" t="str">
        <f t="array" ref="E798">IFERROR(INDEX(Airlines!$B:$B,MATCH(D798,Airlines!$A:$A,0)),"")</f>
        <v>Vistara</v>
      </c>
      <c r="F798" s="6" t="str">
        <f>VLOOKUP(A798,Bookings!$A:$F,6,FALSE())</f>
        <v>Economy</v>
      </c>
      <c r="G798" s="6" t="str">
        <f t="array" ref="G798">IFERROR(INDEX(Flights!$E:$E,MATCH(B798,Flights!$A:$A,0)),"")</f>
        <v>Hyderabad</v>
      </c>
      <c r="H798" s="6" t="str">
        <f>VLOOKUP(B798,Flights!A:H,6,FALSE())</f>
        <v>Delhi</v>
      </c>
      <c r="I798" s="6" t="str">
        <f t="array" ref="I798">IFERROR(INDEX(Bookings!$G:$G,MATCH(B798,Bookings!$B:$B,0)),"")</f>
        <v>1</v>
      </c>
      <c r="J798" s="5">
        <f>VLOOKUP(B798,Bookings!B:H,7,FALSE())</f>
        <v>22.25</v>
      </c>
      <c r="K798" s="5" t="str">
        <f t="shared" si="1"/>
        <v>Long</v>
      </c>
      <c r="L798" s="11">
        <f t="array" ref="L798">IFERROR(INDEX(Bookings!$K:$K,MATCH(A798,Bookings!$A:$A,0)),"")</f>
        <v>12668</v>
      </c>
      <c r="M798" s="5" t="str">
        <f t="shared" si="2"/>
        <v>Medium</v>
      </c>
      <c r="N798" s="5">
        <f t="array" ref="N798">IFERROR(INDEX(Bookings!$I:$I,MATCH(A798,Bookings!$A:$A,0)),"")</f>
        <v>4</v>
      </c>
      <c r="O798" s="5" t="str">
        <f t="shared" si="3"/>
        <v>Last Minute</v>
      </c>
      <c r="P798" s="5" t="str">
        <f t="shared" si="4"/>
        <v>Hyderabad -&gt; Delhi</v>
      </c>
    </row>
    <row r="799" ht="15.75" customHeight="1">
      <c r="A799" s="5" t="s">
        <v>2416</v>
      </c>
      <c r="B799" s="5" t="s">
        <v>1688</v>
      </c>
      <c r="C799" s="5" t="s">
        <v>564</v>
      </c>
      <c r="D799" s="5" t="s">
        <v>45</v>
      </c>
      <c r="E799" s="6" t="str">
        <f t="array" ref="E799">IFERROR(INDEX(Airlines!$B:$B,MATCH(D799,Airlines!$A:$A,0)),"")</f>
        <v>Air_India</v>
      </c>
      <c r="F799" s="6" t="str">
        <f>VLOOKUP(A799,Bookings!$A:$F,6,FALSE())</f>
        <v>Economy</v>
      </c>
      <c r="G799" s="6" t="str">
        <f t="array" ref="G799">IFERROR(INDEX(Flights!$E:$E,MATCH(B799,Flights!$A:$A,0)),"")</f>
        <v>Hyderabad</v>
      </c>
      <c r="H799" s="6" t="str">
        <f>VLOOKUP(B799,Flights!A:H,6,FALSE())</f>
        <v>Delhi</v>
      </c>
      <c r="I799" s="6" t="str">
        <f t="array" ref="I799">IFERROR(INDEX(Bookings!$G:$G,MATCH(B799,Bookings!$B:$B,0)),"")</f>
        <v>1</v>
      </c>
      <c r="J799" s="5">
        <f>VLOOKUP(B799,Bookings!B:H,7,FALSE())</f>
        <v>14.92</v>
      </c>
      <c r="K799" s="5" t="str">
        <f t="shared" si="1"/>
        <v>Long</v>
      </c>
      <c r="L799" s="11">
        <f t="array" ref="L799">IFERROR(INDEX(Bookings!$K:$K,MATCH(A799,Bookings!$A:$A,0)),"")</f>
        <v>4487</v>
      </c>
      <c r="M799" s="5" t="str">
        <f t="shared" si="2"/>
        <v>Low</v>
      </c>
      <c r="N799" s="5">
        <f t="array" ref="N799">IFERROR(INDEX(Bookings!$I:$I,MATCH(A799,Bookings!$A:$A,0)),"")</f>
        <v>32</v>
      </c>
      <c r="O799" s="5" t="str">
        <f t="shared" si="3"/>
        <v>Advance</v>
      </c>
      <c r="P799" s="5" t="str">
        <f t="shared" si="4"/>
        <v>Hyderabad -&gt; Delhi</v>
      </c>
    </row>
    <row r="800" ht="15.75" customHeight="1">
      <c r="A800" s="5" t="s">
        <v>2417</v>
      </c>
      <c r="B800" s="5" t="s">
        <v>1706</v>
      </c>
      <c r="C800" s="5" t="s">
        <v>564</v>
      </c>
      <c r="D800" s="5" t="s">
        <v>29</v>
      </c>
      <c r="E800" s="6" t="str">
        <f t="array" ref="E800">IFERROR(INDEX(Airlines!$B:$B,MATCH(D800,Airlines!$A:$A,0)),"")</f>
        <v>AirAsia</v>
      </c>
      <c r="F800" s="6" t="str">
        <f>VLOOKUP(A800,Bookings!$A:$F,6,FALSE())</f>
        <v>Economy</v>
      </c>
      <c r="G800" s="6" t="str">
        <f t="array" ref="G800">IFERROR(INDEX(Flights!$E:$E,MATCH(B800,Flights!$A:$A,0)),"")</f>
        <v>Hyderabad</v>
      </c>
      <c r="H800" s="6" t="str">
        <f>VLOOKUP(B800,Flights!A:H,6,FALSE())</f>
        <v>Delhi</v>
      </c>
      <c r="I800" s="6" t="str">
        <f t="array" ref="I800">IFERROR(INDEX(Bookings!$G:$G,MATCH(B800,Bookings!$B:$B,0)),"")</f>
        <v>1</v>
      </c>
      <c r="J800" s="5">
        <f>VLOOKUP(B800,Bookings!B:H,7,FALSE())</f>
        <v>7.58</v>
      </c>
      <c r="K800" s="5" t="str">
        <f t="shared" si="1"/>
        <v>Medium</v>
      </c>
      <c r="L800" s="11">
        <f t="array" ref="L800">IFERROR(INDEX(Bookings!$K:$K,MATCH(A800,Bookings!$A:$A,0)),"")</f>
        <v>2228</v>
      </c>
      <c r="M800" s="5" t="str">
        <f t="shared" si="2"/>
        <v>Low</v>
      </c>
      <c r="N800" s="5" t="str">
        <f t="array" ref="N800">IFERROR(INDEX(Bookings!$I:$I,MATCH(A800,Bookings!$A:$A,0)),"")</f>
        <v/>
      </c>
      <c r="O800" s="5" t="str">
        <f t="shared" si="3"/>
        <v>Last Minute</v>
      </c>
      <c r="P800" s="5" t="str">
        <f t="shared" si="4"/>
        <v>Hyderabad -&gt; Delhi</v>
      </c>
    </row>
    <row r="801" ht="15.75" customHeight="1">
      <c r="A801" s="5" t="s">
        <v>2419</v>
      </c>
      <c r="B801" s="5" t="s">
        <v>1721</v>
      </c>
      <c r="C801" s="5" t="s">
        <v>564</v>
      </c>
      <c r="D801" s="5" t="s">
        <v>20</v>
      </c>
      <c r="E801" s="6" t="str">
        <f t="array" ref="E801">IFERROR(INDEX(Airlines!$B:$B,MATCH(D801,Airlines!$A:$A,0)),"")</f>
        <v>Vistara</v>
      </c>
      <c r="F801" s="6" t="str">
        <f>VLOOKUP(A801,Bookings!$A:$F,6,FALSE())</f>
        <v>Business</v>
      </c>
      <c r="G801" s="6" t="str">
        <f t="array" ref="G801">IFERROR(INDEX(Flights!$E:$E,MATCH(B801,Flights!$A:$A,0)),"")</f>
        <v>Hyderabad</v>
      </c>
      <c r="H801" s="6" t="str">
        <f>VLOOKUP(B801,Flights!A:H,6,FALSE())</f>
        <v>Delhi</v>
      </c>
      <c r="I801" s="6" t="str">
        <f t="array" ref="I801">IFERROR(INDEX(Bookings!$G:$G,MATCH(B801,Bookings!$B:$B,0)),"")</f>
        <v>1</v>
      </c>
      <c r="J801" s="5">
        <f>VLOOKUP(B801,Bookings!B:H,7,FALSE())</f>
        <v>12.17</v>
      </c>
      <c r="K801" s="5" t="str">
        <f t="shared" si="1"/>
        <v>Long</v>
      </c>
      <c r="L801" s="11">
        <f t="array" ref="L801">IFERROR(INDEX(Bookings!$K:$K,MATCH(A801,Bookings!$A:$A,0)),"")</f>
        <v>57990</v>
      </c>
      <c r="M801" s="5" t="str">
        <f t="shared" si="2"/>
        <v>High</v>
      </c>
      <c r="N801" s="5">
        <f t="array" ref="N801">IFERROR(INDEX(Bookings!$I:$I,MATCH(A801,Bookings!$A:$A,0)),"")</f>
        <v>5</v>
      </c>
      <c r="O801" s="5" t="str">
        <f t="shared" si="3"/>
        <v>Last Minute</v>
      </c>
      <c r="P801" s="5" t="str">
        <f t="shared" si="4"/>
        <v>Hyderabad -&gt; Delhi</v>
      </c>
    </row>
    <row r="802" ht="15.75" customHeight="1">
      <c r="A802" s="5" t="s">
        <v>2421</v>
      </c>
      <c r="B802" s="5" t="s">
        <v>1682</v>
      </c>
      <c r="C802" s="5" t="s">
        <v>564</v>
      </c>
      <c r="D802" s="5" t="s">
        <v>20</v>
      </c>
      <c r="E802" s="6" t="str">
        <f t="array" ref="E802">IFERROR(INDEX(Airlines!$B:$B,MATCH(D802,Airlines!$A:$A,0)),"")</f>
        <v>Vistara</v>
      </c>
      <c r="F802" s="6" t="str">
        <f>VLOOKUP(A802,Bookings!$A:$F,6,FALSE())</f>
        <v>Business</v>
      </c>
      <c r="G802" s="6" t="str">
        <f t="array" ref="G802">IFERROR(INDEX(Flights!$E:$E,MATCH(B802,Flights!$A:$A,0)),"")</f>
        <v>Hyderabad</v>
      </c>
      <c r="H802" s="6" t="str">
        <f>VLOOKUP(B802,Flights!A:H,6,FALSE())</f>
        <v>Delhi</v>
      </c>
      <c r="I802" s="6" t="str">
        <f t="array" ref="I802">IFERROR(INDEX(Bookings!$G:$G,MATCH(B802,Bookings!$B:$B,0)),"")</f>
        <v>1</v>
      </c>
      <c r="J802" s="5">
        <f>VLOOKUP(B802,Bookings!B:H,7,FALSE())</f>
        <v>16.42</v>
      </c>
      <c r="K802" s="5" t="str">
        <f t="shared" si="1"/>
        <v>Long</v>
      </c>
      <c r="L802" s="11">
        <f t="array" ref="L802">IFERROR(INDEX(Bookings!$K:$K,MATCH(A802,Bookings!$A:$A,0)),"")</f>
        <v>66614</v>
      </c>
      <c r="M802" s="5" t="str">
        <f t="shared" si="2"/>
        <v>High</v>
      </c>
      <c r="N802" s="5">
        <f t="array" ref="N802">IFERROR(INDEX(Bookings!$I:$I,MATCH(A802,Bookings!$A:$A,0)),"")</f>
        <v>5</v>
      </c>
      <c r="O802" s="5" t="str">
        <f t="shared" si="3"/>
        <v>Last Minute</v>
      </c>
      <c r="P802" s="5" t="str">
        <f t="shared" si="4"/>
        <v>Hyderabad -&gt; Delhi</v>
      </c>
    </row>
    <row r="803" ht="15.75" customHeight="1">
      <c r="A803" s="5" t="s">
        <v>2422</v>
      </c>
      <c r="B803" s="5" t="s">
        <v>1708</v>
      </c>
      <c r="C803" s="5" t="s">
        <v>564</v>
      </c>
      <c r="D803" s="5" t="s">
        <v>45</v>
      </c>
      <c r="E803" s="6" t="str">
        <f t="array" ref="E803">IFERROR(INDEX(Airlines!$B:$B,MATCH(D803,Airlines!$A:$A,0)),"")</f>
        <v>Air_India</v>
      </c>
      <c r="F803" s="6" t="str">
        <f>VLOOKUP(A803,Bookings!$A:$F,6,FALSE())</f>
        <v>Economy</v>
      </c>
      <c r="G803" s="6" t="str">
        <f t="array" ref="G803">IFERROR(INDEX(Flights!$E:$E,MATCH(B803,Flights!$A:$A,0)),"")</f>
        <v>Hyderabad</v>
      </c>
      <c r="H803" s="6" t="str">
        <f>VLOOKUP(B803,Flights!A:H,6,FALSE())</f>
        <v>Delhi</v>
      </c>
      <c r="I803" s="6" t="str">
        <f t="array" ref="I803">IFERROR(INDEX(Bookings!$G:$G,MATCH(B803,Bookings!$B:$B,0)),"")</f>
        <v>1</v>
      </c>
      <c r="J803" s="5">
        <f>VLOOKUP(B803,Bookings!B:H,7,FALSE())</f>
        <v>24.33</v>
      </c>
      <c r="K803" s="5" t="str">
        <f t="shared" si="1"/>
        <v>Long</v>
      </c>
      <c r="L803" s="11">
        <f t="array" ref="L803">IFERROR(INDEX(Bookings!$K:$K,MATCH(A803,Bookings!$A:$A,0)),"")</f>
        <v>11488</v>
      </c>
      <c r="M803" s="5" t="str">
        <f t="shared" si="2"/>
        <v>Medium</v>
      </c>
      <c r="N803" s="5">
        <f t="array" ref="N803">IFERROR(INDEX(Bookings!$I:$I,MATCH(A803,Bookings!$A:$A,0)),"")</f>
        <v>10</v>
      </c>
      <c r="O803" s="5" t="str">
        <f t="shared" si="3"/>
        <v>Short Notice</v>
      </c>
      <c r="P803" s="5" t="str">
        <f t="shared" si="4"/>
        <v>Hyderabad -&gt; Delhi</v>
      </c>
    </row>
    <row r="804" ht="15.75" customHeight="1">
      <c r="A804" s="5" t="s">
        <v>2424</v>
      </c>
      <c r="B804" s="5" t="s">
        <v>1652</v>
      </c>
      <c r="C804" s="5" t="s">
        <v>564</v>
      </c>
      <c r="D804" s="5" t="s">
        <v>43</v>
      </c>
      <c r="E804" s="6" t="str">
        <f t="array" ref="E804">IFERROR(INDEX(Airlines!$B:$B,MATCH(D804,Airlines!$A:$A,0)),"")</f>
        <v>Indigo</v>
      </c>
      <c r="F804" s="6" t="str">
        <f>VLOOKUP(A804,Bookings!$A:$F,6,FALSE())</f>
        <v>Economy</v>
      </c>
      <c r="G804" s="6" t="str">
        <f t="array" ref="G804">IFERROR(INDEX(Flights!$E:$E,MATCH(B804,Flights!$A:$A,0)),"")</f>
        <v>Hyderabad</v>
      </c>
      <c r="H804" s="6" t="str">
        <f>VLOOKUP(B804,Flights!A:H,6,FALSE())</f>
        <v>Delhi</v>
      </c>
      <c r="I804" s="6" t="str">
        <f t="array" ref="I804">IFERROR(INDEX(Bookings!$G:$G,MATCH(B804,Bookings!$B:$B,0)),"")</f>
        <v>1</v>
      </c>
      <c r="J804" s="5">
        <f>VLOOKUP(B804,Bookings!B:H,7,FALSE())</f>
        <v>5.25</v>
      </c>
      <c r="K804" s="5" t="str">
        <f t="shared" si="1"/>
        <v>Medium</v>
      </c>
      <c r="L804" s="11">
        <f t="array" ref="L804">IFERROR(INDEX(Bookings!$K:$K,MATCH(A804,Bookings!$A:$A,0)),"")</f>
        <v>6186</v>
      </c>
      <c r="M804" s="5" t="str">
        <f t="shared" si="2"/>
        <v>Medium</v>
      </c>
      <c r="N804" s="5">
        <f t="array" ref="N804">IFERROR(INDEX(Bookings!$I:$I,MATCH(A804,Bookings!$A:$A,0)),"")</f>
        <v>9</v>
      </c>
      <c r="O804" s="5" t="str">
        <f t="shared" si="3"/>
        <v>Short Notice</v>
      </c>
      <c r="P804" s="5" t="str">
        <f t="shared" si="4"/>
        <v>Hyderabad -&gt; Delhi</v>
      </c>
    </row>
    <row r="805" ht="15.75" customHeight="1">
      <c r="A805" s="5" t="s">
        <v>2425</v>
      </c>
      <c r="B805" s="5" t="s">
        <v>1687</v>
      </c>
      <c r="C805" s="5" t="s">
        <v>564</v>
      </c>
      <c r="D805" s="5" t="s">
        <v>58</v>
      </c>
      <c r="E805" s="6" t="str">
        <f t="array" ref="E805">IFERROR(INDEX(Airlines!$B:$B,MATCH(D805,Airlines!$A:$A,0)),"")</f>
        <v>Go_First</v>
      </c>
      <c r="F805" s="6" t="str">
        <f>VLOOKUP(A805,Bookings!$A:$F,6,FALSE())</f>
        <v>Economy</v>
      </c>
      <c r="G805" s="6" t="str">
        <f t="array" ref="G805">IFERROR(INDEX(Flights!$E:$E,MATCH(B805,Flights!$A:$A,0)),"")</f>
        <v>Hyderabad</v>
      </c>
      <c r="H805" s="6" t="str">
        <f>VLOOKUP(B805,Flights!A:H,6,FALSE())</f>
        <v>Delhi</v>
      </c>
      <c r="I805" s="6" t="str">
        <f t="array" ref="I805">IFERROR(INDEX(Bookings!$G:$G,MATCH(B805,Bookings!$B:$B,0)),"")</f>
        <v>1</v>
      </c>
      <c r="J805" s="5">
        <f>VLOOKUP(B805,Bookings!B:H,7,FALSE())</f>
        <v>4.92</v>
      </c>
      <c r="K805" s="5" t="str">
        <f t="shared" si="1"/>
        <v>Medium</v>
      </c>
      <c r="L805" s="11">
        <f t="array" ref="L805">IFERROR(INDEX(Bookings!$K:$K,MATCH(A805,Bookings!$A:$A,0)),"")</f>
        <v>5720</v>
      </c>
      <c r="M805" s="5" t="str">
        <f t="shared" si="2"/>
        <v>Medium</v>
      </c>
      <c r="N805" s="5">
        <f t="array" ref="N805">IFERROR(INDEX(Bookings!$I:$I,MATCH(A805,Bookings!$A:$A,0)),"")</f>
        <v>26</v>
      </c>
      <c r="O805" s="5" t="str">
        <f t="shared" si="3"/>
        <v>Moderate</v>
      </c>
      <c r="P805" s="5" t="str">
        <f t="shared" si="4"/>
        <v>Hyderabad -&gt; Delhi</v>
      </c>
    </row>
    <row r="806" ht="15.75" customHeight="1">
      <c r="A806" s="5" t="s">
        <v>2427</v>
      </c>
      <c r="B806" s="5" t="s">
        <v>1660</v>
      </c>
      <c r="C806" s="5" t="s">
        <v>564</v>
      </c>
      <c r="D806" s="5" t="s">
        <v>58</v>
      </c>
      <c r="E806" s="6" t="str">
        <f t="array" ref="E806">IFERROR(INDEX(Airlines!$B:$B,MATCH(D806,Airlines!$A:$A,0)),"")</f>
        <v>Go_First</v>
      </c>
      <c r="F806" s="6" t="str">
        <f>VLOOKUP(A806,Bookings!$A:$F,6,FALSE())</f>
        <v>Economy</v>
      </c>
      <c r="G806" s="6" t="str">
        <f t="array" ref="G806">IFERROR(INDEX(Flights!$E:$E,MATCH(B806,Flights!$A:$A,0)),"")</f>
        <v>Hyderabad</v>
      </c>
      <c r="H806" s="6" t="str">
        <f>VLOOKUP(B806,Flights!A:H,6,FALSE())</f>
        <v>Delhi</v>
      </c>
      <c r="I806" s="6" t="str">
        <f t="array" ref="I806">IFERROR(INDEX(Bookings!$G:$G,MATCH(B806,Bookings!$B:$B,0)),"")</f>
        <v>1</v>
      </c>
      <c r="J806" s="5">
        <f>VLOOKUP(B806,Bookings!B:H,7,FALSE())</f>
        <v>6.5</v>
      </c>
      <c r="K806" s="5" t="str">
        <f t="shared" si="1"/>
        <v>Medium</v>
      </c>
      <c r="L806" s="11">
        <f t="array" ref="L806">IFERROR(INDEX(Bookings!$K:$K,MATCH(A806,Bookings!$A:$A,0)),"")</f>
        <v>6132</v>
      </c>
      <c r="M806" s="5" t="str">
        <f t="shared" si="2"/>
        <v>Medium</v>
      </c>
      <c r="N806" s="5">
        <f t="array" ref="N806">IFERROR(INDEX(Bookings!$I:$I,MATCH(A806,Bookings!$A:$A,0)),"")</f>
        <v>26</v>
      </c>
      <c r="O806" s="5" t="str">
        <f t="shared" si="3"/>
        <v>Moderate</v>
      </c>
      <c r="P806" s="5" t="str">
        <f t="shared" si="4"/>
        <v>Hyderabad -&gt; Delhi</v>
      </c>
    </row>
    <row r="807" ht="15.75" customHeight="1">
      <c r="A807" s="5" t="s">
        <v>2430</v>
      </c>
      <c r="B807" s="5" t="s">
        <v>1724</v>
      </c>
      <c r="C807" s="5" t="s">
        <v>564</v>
      </c>
      <c r="D807" s="5" t="s">
        <v>58</v>
      </c>
      <c r="E807" s="6" t="str">
        <f t="array" ref="E807">IFERROR(INDEX(Airlines!$B:$B,MATCH(D807,Airlines!$A:$A,0)),"")</f>
        <v>Go_First</v>
      </c>
      <c r="F807" s="6" t="str">
        <f>VLOOKUP(A807,Bookings!$A:$F,6,FALSE())</f>
        <v>Economy</v>
      </c>
      <c r="G807" s="6" t="str">
        <f t="array" ref="G807">IFERROR(INDEX(Flights!$E:$E,MATCH(B807,Flights!$A:$A,0)),"")</f>
        <v>Hyderabad</v>
      </c>
      <c r="H807" s="6" t="str">
        <f>VLOOKUP(B807,Flights!A:H,6,FALSE())</f>
        <v>Delhi</v>
      </c>
      <c r="I807" s="6" t="str">
        <f t="array" ref="I807">IFERROR(INDEX(Bookings!$G:$G,MATCH(B807,Bookings!$B:$B,0)),"")</f>
        <v>2+</v>
      </c>
      <c r="J807" s="5">
        <f>VLOOKUP(B807,Bookings!B:H,7,FALSE())</f>
        <v>8.83</v>
      </c>
      <c r="K807" s="5" t="str">
        <f t="shared" si="1"/>
        <v>Medium</v>
      </c>
      <c r="L807" s="11">
        <f t="array" ref="L807">IFERROR(INDEX(Bookings!$K:$K,MATCH(A807,Bookings!$A:$A,0)),"")</f>
        <v>6132</v>
      </c>
      <c r="M807" s="5" t="str">
        <f t="shared" si="2"/>
        <v>Medium</v>
      </c>
      <c r="N807" s="5">
        <f t="array" ref="N807">IFERROR(INDEX(Bookings!$I:$I,MATCH(A807,Bookings!$A:$A,0)),"")</f>
        <v>11</v>
      </c>
      <c r="O807" s="5" t="str">
        <f t="shared" si="3"/>
        <v>Short Notice</v>
      </c>
      <c r="P807" s="5" t="str">
        <f t="shared" si="4"/>
        <v>Hyderabad -&gt; Delhi</v>
      </c>
    </row>
    <row r="808" ht="15.75" customHeight="1">
      <c r="A808" s="5" t="s">
        <v>2432</v>
      </c>
      <c r="B808" s="5" t="s">
        <v>1667</v>
      </c>
      <c r="C808" s="5" t="s">
        <v>564</v>
      </c>
      <c r="D808" s="5" t="s">
        <v>58</v>
      </c>
      <c r="E808" s="6" t="str">
        <f t="array" ref="E808">IFERROR(INDEX(Airlines!$B:$B,MATCH(D808,Airlines!$A:$A,0)),"")</f>
        <v>Go_First</v>
      </c>
      <c r="F808" s="6" t="str">
        <f>VLOOKUP(A808,Bookings!$A:$F,6,FALSE())</f>
        <v>Economy</v>
      </c>
      <c r="G808" s="6" t="str">
        <f t="array" ref="G808">IFERROR(INDEX(Flights!$E:$E,MATCH(B808,Flights!$A:$A,0)),"")</f>
        <v>Hyderabad</v>
      </c>
      <c r="H808" s="6" t="str">
        <f>VLOOKUP(B808,Flights!A:H,6,FALSE())</f>
        <v>Delhi</v>
      </c>
      <c r="I808" s="6" t="str">
        <f t="array" ref="I808">IFERROR(INDEX(Bookings!$G:$G,MATCH(B808,Bookings!$B:$B,0)),"")</f>
        <v>1</v>
      </c>
      <c r="J808" s="5">
        <f>VLOOKUP(B808,Bookings!B:H,7,FALSE())</f>
        <v>15.08</v>
      </c>
      <c r="K808" s="5" t="str">
        <f t="shared" si="1"/>
        <v>Long</v>
      </c>
      <c r="L808" s="11">
        <f t="array" ref="L808">IFERROR(INDEX(Bookings!$K:$K,MATCH(A808,Bookings!$A:$A,0)),"")</f>
        <v>11383</v>
      </c>
      <c r="M808" s="5" t="str">
        <f t="shared" si="2"/>
        <v>Medium</v>
      </c>
      <c r="N808" s="5">
        <f t="array" ref="N808">IFERROR(INDEX(Bookings!$I:$I,MATCH(A808,Bookings!$A:$A,0)),"")</f>
        <v>13</v>
      </c>
      <c r="O808" s="5" t="str">
        <f t="shared" si="3"/>
        <v>Short Notice</v>
      </c>
      <c r="P808" s="5" t="str">
        <f t="shared" si="4"/>
        <v>Hyderabad -&gt; Delhi</v>
      </c>
    </row>
    <row r="809" ht="15.75" customHeight="1">
      <c r="A809" s="5" t="s">
        <v>2434</v>
      </c>
      <c r="B809" s="5" t="s">
        <v>1658</v>
      </c>
      <c r="C809" s="5" t="s">
        <v>564</v>
      </c>
      <c r="D809" s="5" t="s">
        <v>58</v>
      </c>
      <c r="E809" s="6" t="str">
        <f t="array" ref="E809">IFERROR(INDEX(Airlines!$B:$B,MATCH(D809,Airlines!$A:$A,0)),"")</f>
        <v>Go_First</v>
      </c>
      <c r="F809" s="6" t="str">
        <f>VLOOKUP(A809,Bookings!$A:$F,6,FALSE())</f>
        <v>Economy</v>
      </c>
      <c r="G809" s="6" t="str">
        <f t="array" ref="G809">IFERROR(INDEX(Flights!$E:$E,MATCH(B809,Flights!$A:$A,0)),"")</f>
        <v>Hyderabad</v>
      </c>
      <c r="H809" s="6" t="str">
        <f>VLOOKUP(B809,Flights!A:H,6,FALSE())</f>
        <v>Delhi</v>
      </c>
      <c r="I809" s="6" t="str">
        <f t="array" ref="I809">IFERROR(INDEX(Bookings!$G:$G,MATCH(B809,Bookings!$B:$B,0)),"")</f>
        <v>1</v>
      </c>
      <c r="J809" s="5">
        <f>VLOOKUP(B809,Bookings!B:H,7,FALSE())</f>
        <v>10</v>
      </c>
      <c r="K809" s="5" t="str">
        <f t="shared" si="1"/>
        <v>Medium</v>
      </c>
      <c r="L809" s="11">
        <f t="array" ref="L809">IFERROR(INDEX(Bookings!$K:$K,MATCH(A809,Bookings!$A:$A,0)),"")</f>
        <v>6198</v>
      </c>
      <c r="M809" s="5" t="str">
        <f t="shared" si="2"/>
        <v>Medium</v>
      </c>
      <c r="N809" s="5">
        <f t="array" ref="N809">IFERROR(INDEX(Bookings!$I:$I,MATCH(A809,Bookings!$A:$A,0)),"")</f>
        <v>36</v>
      </c>
      <c r="O809" s="5" t="str">
        <f t="shared" si="3"/>
        <v>Advance</v>
      </c>
      <c r="P809" s="5" t="str">
        <f t="shared" si="4"/>
        <v>Hyderabad -&gt; Delhi</v>
      </c>
    </row>
    <row r="810" ht="15.75" customHeight="1">
      <c r="A810" s="5" t="s">
        <v>2435</v>
      </c>
      <c r="B810" s="5" t="s">
        <v>1674</v>
      </c>
      <c r="C810" s="5" t="s">
        <v>564</v>
      </c>
      <c r="D810" s="5" t="s">
        <v>29</v>
      </c>
      <c r="E810" s="6" t="str">
        <f t="array" ref="E810">IFERROR(INDEX(Airlines!$B:$B,MATCH(D810,Airlines!$A:$A,0)),"")</f>
        <v>AirAsia</v>
      </c>
      <c r="F810" s="6" t="str">
        <f>VLOOKUP(A810,Bookings!$A:$F,6,FALSE())</f>
        <v>Economy</v>
      </c>
      <c r="G810" s="6" t="str">
        <f t="array" ref="G810">IFERROR(INDEX(Flights!$E:$E,MATCH(B810,Flights!$A:$A,0)),"")</f>
        <v>Hyderabad</v>
      </c>
      <c r="H810" s="6" t="str">
        <f>VLOOKUP(B810,Flights!A:H,6,FALSE())</f>
        <v>Delhi</v>
      </c>
      <c r="I810" s="6" t="str">
        <f t="array" ref="I810">IFERROR(INDEX(Bookings!$G:$G,MATCH(B810,Bookings!$B:$B,0)),"")</f>
        <v>1</v>
      </c>
      <c r="J810" s="5">
        <f>VLOOKUP(B810,Bookings!B:H,7,FALSE())</f>
        <v>5.25</v>
      </c>
      <c r="K810" s="5" t="str">
        <f t="shared" si="1"/>
        <v>Medium</v>
      </c>
      <c r="L810" s="11">
        <f t="array" ref="L810">IFERROR(INDEX(Bookings!$K:$K,MATCH(A810,Bookings!$A:$A,0)),"")</f>
        <v>7336</v>
      </c>
      <c r="M810" s="5" t="str">
        <f t="shared" si="2"/>
        <v>Medium</v>
      </c>
      <c r="N810" s="5">
        <f t="array" ref="N810">IFERROR(INDEX(Bookings!$I:$I,MATCH(A810,Bookings!$A:$A,0)),"")</f>
        <v>46</v>
      </c>
      <c r="O810" s="5" t="str">
        <f t="shared" si="3"/>
        <v>Advance</v>
      </c>
      <c r="P810" s="5" t="str">
        <f t="shared" si="4"/>
        <v>Hyderabad -&gt; Delhi</v>
      </c>
    </row>
    <row r="811" ht="15.75" customHeight="1">
      <c r="A811" s="5" t="s">
        <v>2437</v>
      </c>
      <c r="B811" s="5" t="s">
        <v>1664</v>
      </c>
      <c r="C811" s="5" t="s">
        <v>564</v>
      </c>
      <c r="D811" s="5" t="s">
        <v>43</v>
      </c>
      <c r="E811" s="6" t="str">
        <f t="array" ref="E811">IFERROR(INDEX(Airlines!$B:$B,MATCH(D811,Airlines!$A:$A,0)),"")</f>
        <v>Indigo</v>
      </c>
      <c r="F811" s="6" t="str">
        <f>VLOOKUP(A811,Bookings!$A:$F,6,FALSE())</f>
        <v>Economy</v>
      </c>
      <c r="G811" s="6" t="str">
        <f t="array" ref="G811">IFERROR(INDEX(Flights!$E:$E,MATCH(B811,Flights!$A:$A,0)),"")</f>
        <v>Hyderabad</v>
      </c>
      <c r="H811" s="6" t="str">
        <f>VLOOKUP(B811,Flights!A:H,6,FALSE())</f>
        <v>Delhi</v>
      </c>
      <c r="I811" s="6" t="str">
        <f t="array" ref="I811">IFERROR(INDEX(Bookings!$G:$G,MATCH(B811,Bookings!$B:$B,0)),"")</f>
        <v>1</v>
      </c>
      <c r="J811" s="5">
        <f>VLOOKUP(B811,Bookings!B:H,7,FALSE())</f>
        <v>7.08</v>
      </c>
      <c r="K811" s="5" t="str">
        <f t="shared" si="1"/>
        <v>Medium</v>
      </c>
      <c r="L811" s="11">
        <f t="array" ref="L811">IFERROR(INDEX(Bookings!$K:$K,MATCH(A811,Bookings!$A:$A,0)),"")</f>
        <v>3397</v>
      </c>
      <c r="M811" s="5" t="str">
        <f t="shared" si="2"/>
        <v>Low</v>
      </c>
      <c r="N811" s="5">
        <f t="array" ref="N811">IFERROR(INDEX(Bookings!$I:$I,MATCH(A811,Bookings!$A:$A,0)),"")</f>
        <v>46</v>
      </c>
      <c r="O811" s="5" t="str">
        <f t="shared" si="3"/>
        <v>Advance</v>
      </c>
      <c r="P811" s="5" t="str">
        <f t="shared" si="4"/>
        <v>Hyderabad -&gt; Delhi</v>
      </c>
    </row>
    <row r="812" ht="15.75" customHeight="1">
      <c r="A812" s="5" t="s">
        <v>2438</v>
      </c>
      <c r="B812" s="5" t="s">
        <v>1736</v>
      </c>
      <c r="C812" s="5" t="s">
        <v>564</v>
      </c>
      <c r="D812" s="5" t="s">
        <v>45</v>
      </c>
      <c r="E812" s="6" t="str">
        <f t="array" ref="E812">IFERROR(INDEX(Airlines!$B:$B,MATCH(D812,Airlines!$A:$A,0)),"")</f>
        <v>Air_India</v>
      </c>
      <c r="F812" s="6" t="str">
        <f>VLOOKUP(A812,Bookings!$A:$F,6,FALSE())</f>
        <v>Economy</v>
      </c>
      <c r="G812" s="6" t="str">
        <f t="array" ref="G812">IFERROR(INDEX(Flights!$E:$E,MATCH(B812,Flights!$A:$A,0)),"")</f>
        <v>Hyderabad</v>
      </c>
      <c r="H812" s="6" t="str">
        <f>VLOOKUP(B812,Flights!A:H,6,FALSE())</f>
        <v>Delhi</v>
      </c>
      <c r="I812" s="6" t="str">
        <f t="array" ref="I812">IFERROR(INDEX(Bookings!$G:$G,MATCH(B812,Bookings!$B:$B,0)),"")</f>
        <v>1</v>
      </c>
      <c r="J812" s="5">
        <f>VLOOKUP(B812,Bookings!B:H,7,FALSE())</f>
        <v>22.58</v>
      </c>
      <c r="K812" s="5" t="str">
        <f t="shared" si="1"/>
        <v>Long</v>
      </c>
      <c r="L812" s="11">
        <f t="array" ref="L812">IFERROR(INDEX(Bookings!$K:$K,MATCH(A812,Bookings!$A:$A,0)),"")</f>
        <v>4033</v>
      </c>
      <c r="M812" s="5" t="str">
        <f t="shared" si="2"/>
        <v>Low</v>
      </c>
      <c r="N812" s="5">
        <f t="array" ref="N812">IFERROR(INDEX(Bookings!$I:$I,MATCH(A812,Bookings!$A:$A,0)),"")</f>
        <v>46</v>
      </c>
      <c r="O812" s="5" t="str">
        <f t="shared" si="3"/>
        <v>Advance</v>
      </c>
      <c r="P812" s="5" t="str">
        <f t="shared" si="4"/>
        <v>Hyderabad -&gt; Delhi</v>
      </c>
    </row>
    <row r="813" ht="15.75" customHeight="1">
      <c r="A813" s="5" t="s">
        <v>2440</v>
      </c>
      <c r="B813" s="5" t="s">
        <v>1730</v>
      </c>
      <c r="C813" s="5" t="s">
        <v>564</v>
      </c>
      <c r="D813" s="5" t="s">
        <v>45</v>
      </c>
      <c r="E813" s="6" t="str">
        <f t="array" ref="E813">IFERROR(INDEX(Airlines!$B:$B,MATCH(D813,Airlines!$A:$A,0)),"")</f>
        <v>Air_India</v>
      </c>
      <c r="F813" s="6" t="str">
        <f>VLOOKUP(A813,Bookings!$A:$F,6,FALSE())</f>
        <v>Economy</v>
      </c>
      <c r="G813" s="6" t="str">
        <f t="array" ref="G813">IFERROR(INDEX(Flights!$E:$E,MATCH(B813,Flights!$A:$A,0)),"")</f>
        <v>Hyderabad</v>
      </c>
      <c r="H813" s="6" t="str">
        <f>VLOOKUP(B813,Flights!A:H,6,FALSE())</f>
        <v>Delhi</v>
      </c>
      <c r="I813" s="6" t="str">
        <f t="array" ref="I813">IFERROR(INDEX(Bookings!$G:$G,MATCH(B813,Bookings!$B:$B,0)),"")</f>
        <v>1</v>
      </c>
      <c r="J813" s="5">
        <f>VLOOKUP(B813,Bookings!B:H,7,FALSE())</f>
        <v>12.08</v>
      </c>
      <c r="K813" s="5" t="str">
        <f t="shared" si="1"/>
        <v>Long</v>
      </c>
      <c r="L813" s="11">
        <f t="array" ref="L813">IFERROR(INDEX(Bookings!$K:$K,MATCH(A813,Bookings!$A:$A,0)),"")</f>
        <v>4387</v>
      </c>
      <c r="M813" s="5" t="str">
        <f t="shared" si="2"/>
        <v>Low</v>
      </c>
      <c r="N813" s="5">
        <f t="array" ref="N813">IFERROR(INDEX(Bookings!$I:$I,MATCH(A813,Bookings!$A:$A,0)),"")</f>
        <v>45</v>
      </c>
      <c r="O813" s="5" t="str">
        <f t="shared" si="3"/>
        <v>Advance</v>
      </c>
      <c r="P813" s="5" t="str">
        <f t="shared" si="4"/>
        <v>Hyderabad -&gt; Delhi</v>
      </c>
    </row>
    <row r="814" ht="15.75" customHeight="1">
      <c r="A814" s="5" t="s">
        <v>2442</v>
      </c>
      <c r="B814" s="5" t="s">
        <v>1739</v>
      </c>
      <c r="C814" s="5" t="s">
        <v>564</v>
      </c>
      <c r="D814" s="5" t="s">
        <v>45</v>
      </c>
      <c r="E814" s="6" t="str">
        <f t="array" ref="E814">IFERROR(INDEX(Airlines!$B:$B,MATCH(D814,Airlines!$A:$A,0)),"")</f>
        <v>Air_India</v>
      </c>
      <c r="F814" s="6" t="str">
        <f>VLOOKUP(A814,Bookings!$A:$F,6,FALSE())</f>
        <v>Economy</v>
      </c>
      <c r="G814" s="6" t="str">
        <f t="array" ref="G814">IFERROR(INDEX(Flights!$E:$E,MATCH(B814,Flights!$A:$A,0)),"")</f>
        <v>Hyderabad</v>
      </c>
      <c r="H814" s="6" t="str">
        <f>VLOOKUP(B814,Flights!A:H,6,FALSE())</f>
        <v>Delhi</v>
      </c>
      <c r="I814" s="6" t="str">
        <f t="array" ref="I814">IFERROR(INDEX(Bookings!$G:$G,MATCH(B814,Bookings!$B:$B,0)),"")</f>
        <v>1</v>
      </c>
      <c r="J814" s="5">
        <f>VLOOKUP(B814,Bookings!B:H,7,FALSE())</f>
        <v>10.67</v>
      </c>
      <c r="K814" s="5" t="str">
        <f t="shared" si="1"/>
        <v>Long</v>
      </c>
      <c r="L814" s="11">
        <f t="array" ref="L814">IFERROR(INDEX(Bookings!$K:$K,MATCH(A814,Bookings!$A:$A,0)),"")</f>
        <v>5157</v>
      </c>
      <c r="M814" s="5" t="str">
        <f t="shared" si="2"/>
        <v>Medium</v>
      </c>
      <c r="N814" s="5">
        <f t="array" ref="N814">IFERROR(INDEX(Bookings!$I:$I,MATCH(A814,Bookings!$A:$A,0)),"")</f>
        <v>47</v>
      </c>
      <c r="O814" s="5" t="str">
        <f t="shared" si="3"/>
        <v>Advance</v>
      </c>
      <c r="P814" s="5" t="str">
        <f t="shared" si="4"/>
        <v>Hyderabad -&gt; Delhi</v>
      </c>
    </row>
    <row r="815" ht="15.75" customHeight="1">
      <c r="A815" s="5" t="s">
        <v>2443</v>
      </c>
      <c r="B815" s="5" t="s">
        <v>1701</v>
      </c>
      <c r="C815" s="5" t="s">
        <v>564</v>
      </c>
      <c r="D815" s="5" t="s">
        <v>72</v>
      </c>
      <c r="E815" s="6" t="str">
        <f t="array" ref="E815">IFERROR(INDEX(Airlines!$B:$B,MATCH(D815,Airlines!$A:$A,0)),"")</f>
        <v>Spicejet</v>
      </c>
      <c r="F815" s="6" t="str">
        <f>VLOOKUP(A815,Bookings!$A:$F,6,FALSE())</f>
        <v>Economy</v>
      </c>
      <c r="G815" s="6" t="str">
        <f t="array" ref="G815">IFERROR(INDEX(Flights!$E:$E,MATCH(B815,Flights!$A:$A,0)),"")</f>
        <v>Hyderabad</v>
      </c>
      <c r="H815" s="6" t="str">
        <f>VLOOKUP(B815,Flights!A:H,6,FALSE())</f>
        <v>Delhi</v>
      </c>
      <c r="I815" s="6" t="str">
        <f t="array" ref="I815">IFERROR(INDEX(Bookings!$G:$G,MATCH(B815,Bookings!$B:$B,0)),"")</f>
        <v>1</v>
      </c>
      <c r="J815" s="5">
        <f>VLOOKUP(B815,Bookings!B:H,7,FALSE())</f>
        <v>25.42</v>
      </c>
      <c r="K815" s="5" t="str">
        <f t="shared" si="1"/>
        <v>Long</v>
      </c>
      <c r="L815" s="11">
        <f t="array" ref="L815">IFERROR(INDEX(Bookings!$K:$K,MATCH(A815,Bookings!$A:$A,0)),"")</f>
        <v>8394</v>
      </c>
      <c r="M815" s="5" t="str">
        <f t="shared" si="2"/>
        <v>Medium</v>
      </c>
      <c r="N815" s="5">
        <f t="array" ref="N815">IFERROR(INDEX(Bookings!$I:$I,MATCH(A815,Bookings!$A:$A,0)),"")</f>
        <v>46</v>
      </c>
      <c r="O815" s="5" t="str">
        <f t="shared" si="3"/>
        <v>Advance</v>
      </c>
      <c r="P815" s="5" t="str">
        <f t="shared" si="4"/>
        <v>Hyderabad -&gt; Delhi</v>
      </c>
    </row>
    <row r="816" ht="15.75" customHeight="1">
      <c r="A816" s="5" t="s">
        <v>2446</v>
      </c>
      <c r="B816" s="5" t="s">
        <v>1699</v>
      </c>
      <c r="C816" s="5" t="s">
        <v>564</v>
      </c>
      <c r="D816" s="5" t="s">
        <v>45</v>
      </c>
      <c r="E816" s="6" t="str">
        <f t="array" ref="E816">IFERROR(INDEX(Airlines!$B:$B,MATCH(D816,Airlines!$A:$A,0)),"")</f>
        <v>Air_India</v>
      </c>
      <c r="F816" s="6" t="str">
        <f>VLOOKUP(A816,Bookings!$A:$F,6,FALSE())</f>
        <v>Business</v>
      </c>
      <c r="G816" s="6" t="str">
        <f t="array" ref="G816">IFERROR(INDEX(Flights!$E:$E,MATCH(B816,Flights!$A:$A,0)),"")</f>
        <v>Hyderabad</v>
      </c>
      <c r="H816" s="6" t="str">
        <f>VLOOKUP(B816,Flights!A:H,6,FALSE())</f>
        <v>Delhi</v>
      </c>
      <c r="I816" s="6" t="str">
        <f t="array" ref="I816">IFERROR(INDEX(Bookings!$G:$G,MATCH(B816,Bookings!$B:$B,0)),"")</f>
        <v>1</v>
      </c>
      <c r="J816" s="5">
        <f>VLOOKUP(B816,Bookings!B:H,7,FALSE())</f>
        <v>14.33</v>
      </c>
      <c r="K816" s="5" t="str">
        <f t="shared" si="1"/>
        <v>Long</v>
      </c>
      <c r="L816" s="11">
        <f t="array" ref="L816">IFERROR(INDEX(Bookings!$K:$K,MATCH(A816,Bookings!$A:$A,0)),"")</f>
        <v>42724</v>
      </c>
      <c r="M816" s="5" t="str">
        <f t="shared" si="2"/>
        <v>High</v>
      </c>
      <c r="N816" s="5">
        <f t="array" ref="N816">IFERROR(INDEX(Bookings!$I:$I,MATCH(A816,Bookings!$A:$A,0)),"")</f>
        <v>48</v>
      </c>
      <c r="O816" s="5" t="str">
        <f t="shared" si="3"/>
        <v>Advance</v>
      </c>
      <c r="P816" s="5" t="str">
        <f t="shared" si="4"/>
        <v>Hyderabad -&gt; Delhi</v>
      </c>
    </row>
    <row r="817" ht="15.75" customHeight="1">
      <c r="A817" s="5" t="s">
        <v>2448</v>
      </c>
      <c r="B817" s="5" t="s">
        <v>1677</v>
      </c>
      <c r="C817" s="5" t="s">
        <v>564</v>
      </c>
      <c r="D817" s="5" t="s">
        <v>45</v>
      </c>
      <c r="E817" s="6" t="str">
        <f t="array" ref="E817">IFERROR(INDEX(Airlines!$B:$B,MATCH(D817,Airlines!$A:$A,0)),"")</f>
        <v>Air_India</v>
      </c>
      <c r="F817" s="6" t="str">
        <f>VLOOKUP(A817,Bookings!$A:$F,6,FALSE())</f>
        <v>Business</v>
      </c>
      <c r="G817" s="6" t="str">
        <f t="array" ref="G817">IFERROR(INDEX(Flights!$E:$E,MATCH(B817,Flights!$A:$A,0)),"")</f>
        <v>Hyderabad</v>
      </c>
      <c r="H817" s="6" t="str">
        <f>VLOOKUP(B817,Flights!A:H,6,FALSE())</f>
        <v>Delhi</v>
      </c>
      <c r="I817" s="6" t="str">
        <f t="array" ref="I817">IFERROR(INDEX(Bookings!$G:$G,MATCH(B817,Bookings!$B:$B,0)),"")</f>
        <v>1</v>
      </c>
      <c r="J817" s="5">
        <f>VLOOKUP(B817,Bookings!B:H,7,FALSE())</f>
        <v>21.17</v>
      </c>
      <c r="K817" s="5" t="str">
        <f t="shared" si="1"/>
        <v>Long</v>
      </c>
      <c r="L817" s="11">
        <f t="array" ref="L817">IFERROR(INDEX(Bookings!$K:$K,MATCH(A817,Bookings!$A:$A,0)),"")</f>
        <v>42724</v>
      </c>
      <c r="M817" s="5" t="str">
        <f t="shared" si="2"/>
        <v>High</v>
      </c>
      <c r="N817" s="5">
        <f t="array" ref="N817">IFERROR(INDEX(Bookings!$I:$I,MATCH(A817,Bookings!$A:$A,0)),"")</f>
        <v>48</v>
      </c>
      <c r="O817" s="5" t="str">
        <f t="shared" si="3"/>
        <v>Advance</v>
      </c>
      <c r="P817" s="5" t="str">
        <f t="shared" si="4"/>
        <v>Hyderabad -&gt; Delhi</v>
      </c>
    </row>
    <row r="818" ht="15.75" customHeight="1">
      <c r="A818" s="5" t="s">
        <v>2450</v>
      </c>
      <c r="B818" s="5" t="s">
        <v>1801</v>
      </c>
      <c r="C818" s="5" t="s">
        <v>590</v>
      </c>
      <c r="D818" s="5" t="s">
        <v>43</v>
      </c>
      <c r="E818" s="6" t="str">
        <f t="array" ref="E818">IFERROR(INDEX(Airlines!$B:$B,MATCH(D818,Airlines!$A:$A,0)),"")</f>
        <v>Indigo</v>
      </c>
      <c r="F818" s="6" t="str">
        <f>VLOOKUP(A818,Bookings!$A:$F,6,FALSE())</f>
        <v>Economy</v>
      </c>
      <c r="G818" s="6" t="str">
        <f t="array" ref="G818">IFERROR(INDEX(Flights!$E:$E,MATCH(B818,Flights!$A:$A,0)),"")</f>
        <v>Hyderabad</v>
      </c>
      <c r="H818" s="6" t="str">
        <f>VLOOKUP(B818,Flights!A:H,6,FALSE())</f>
        <v>Mumbai</v>
      </c>
      <c r="I818" s="6" t="str">
        <f t="array" ref="I818">IFERROR(INDEX(Bookings!$G:$G,MATCH(B818,Bookings!$B:$B,0)),"")</f>
        <v>1</v>
      </c>
      <c r="J818" s="5">
        <f>VLOOKUP(B818,Bookings!B:H,7,FALSE())</f>
        <v>5.25</v>
      </c>
      <c r="K818" s="5" t="str">
        <f t="shared" si="1"/>
        <v>Medium</v>
      </c>
      <c r="L818" s="11">
        <f t="array" ref="L818">IFERROR(INDEX(Bookings!$K:$K,MATCH(A818,Bookings!$A:$A,0)),"")</f>
        <v>15058</v>
      </c>
      <c r="M818" s="5" t="str">
        <f t="shared" si="2"/>
        <v>Medium</v>
      </c>
      <c r="N818" s="5">
        <f t="array" ref="N818">IFERROR(INDEX(Bookings!$I:$I,MATCH(A818,Bookings!$A:$A,0)),"")</f>
        <v>2</v>
      </c>
      <c r="O818" s="5" t="str">
        <f t="shared" si="3"/>
        <v>Last Minute</v>
      </c>
      <c r="P818" s="5" t="str">
        <f t="shared" si="4"/>
        <v>Hyderabad -&gt; Mumbai</v>
      </c>
    </row>
    <row r="819" ht="15.75" customHeight="1">
      <c r="A819" s="5" t="s">
        <v>2451</v>
      </c>
      <c r="B819" s="5" t="s">
        <v>1828</v>
      </c>
      <c r="C819" s="5" t="s">
        <v>590</v>
      </c>
      <c r="D819" s="5" t="s">
        <v>45</v>
      </c>
      <c r="E819" s="6" t="str">
        <f t="array" ref="E819">IFERROR(INDEX(Airlines!$B:$B,MATCH(D819,Airlines!$A:$A,0)),"")</f>
        <v>Air_India</v>
      </c>
      <c r="F819" s="6" t="str">
        <f>VLOOKUP(A819,Bookings!$A:$F,6,FALSE())</f>
        <v>Economy</v>
      </c>
      <c r="G819" s="6" t="str">
        <f t="array" ref="G819">IFERROR(INDEX(Flights!$E:$E,MATCH(B819,Flights!$A:$A,0)),"")</f>
        <v>Hyderabad</v>
      </c>
      <c r="H819" s="6" t="str">
        <f>VLOOKUP(B819,Flights!A:H,6,FALSE())</f>
        <v>Mumbai</v>
      </c>
      <c r="I819" s="6" t="str">
        <f t="array" ref="I819">IFERROR(INDEX(Bookings!$G:$G,MATCH(B819,Bookings!$B:$B,0)),"")</f>
        <v>2+</v>
      </c>
      <c r="J819" s="5">
        <f>VLOOKUP(B819,Bookings!B:H,7,FALSE())</f>
        <v>23.42</v>
      </c>
      <c r="K819" s="5" t="str">
        <f t="shared" si="1"/>
        <v>Long</v>
      </c>
      <c r="L819" s="11">
        <f t="array" ref="L819">IFERROR(INDEX(Bookings!$K:$K,MATCH(A819,Bookings!$A:$A,0)),"")</f>
        <v>15252</v>
      </c>
      <c r="M819" s="5" t="str">
        <f t="shared" si="2"/>
        <v>Medium</v>
      </c>
      <c r="N819" s="5">
        <f t="array" ref="N819">IFERROR(INDEX(Bookings!$I:$I,MATCH(A819,Bookings!$A:$A,0)),"")</f>
        <v>2</v>
      </c>
      <c r="O819" s="5" t="str">
        <f t="shared" si="3"/>
        <v>Last Minute</v>
      </c>
      <c r="P819" s="5" t="str">
        <f t="shared" si="4"/>
        <v>Hyderabad -&gt; Mumbai</v>
      </c>
    </row>
    <row r="820" ht="15.75" customHeight="1">
      <c r="A820" s="5" t="s">
        <v>2453</v>
      </c>
      <c r="B820" s="5" t="s">
        <v>1835</v>
      </c>
      <c r="C820" s="5" t="s">
        <v>590</v>
      </c>
      <c r="D820" s="5" t="s">
        <v>45</v>
      </c>
      <c r="E820" s="6" t="str">
        <f t="array" ref="E820">IFERROR(INDEX(Airlines!$B:$B,MATCH(D820,Airlines!$A:$A,0)),"")</f>
        <v>Air_India</v>
      </c>
      <c r="F820" s="6" t="str">
        <f>VLOOKUP(A820,Bookings!$A:$F,6,FALSE())</f>
        <v>Economy</v>
      </c>
      <c r="G820" s="6" t="str">
        <f t="array" ref="G820">IFERROR(INDEX(Flights!$E:$E,MATCH(B820,Flights!$A:$A,0)),"")</f>
        <v>Hyderabad</v>
      </c>
      <c r="H820" s="6" t="str">
        <f>VLOOKUP(B820,Flights!A:H,6,FALSE())</f>
        <v>Mumbai</v>
      </c>
      <c r="I820" s="6" t="str">
        <f t="array" ref="I820">IFERROR(INDEX(Bookings!$G:$G,MATCH(B820,Bookings!$B:$B,0)),"")</f>
        <v>1</v>
      </c>
      <c r="J820" s="5">
        <f>VLOOKUP(B820,Bookings!B:H,7,FALSE())</f>
        <v>26.58</v>
      </c>
      <c r="K820" s="5" t="str">
        <f t="shared" si="1"/>
        <v>Long</v>
      </c>
      <c r="L820" s="11">
        <f t="array" ref="L820">IFERROR(INDEX(Bookings!$K:$K,MATCH(A820,Bookings!$A:$A,0)),"")</f>
        <v>15702</v>
      </c>
      <c r="M820" s="5" t="str">
        <f t="shared" si="2"/>
        <v>Medium</v>
      </c>
      <c r="N820" s="5">
        <f t="array" ref="N820">IFERROR(INDEX(Bookings!$I:$I,MATCH(A820,Bookings!$A:$A,0)),"")</f>
        <v>2</v>
      </c>
      <c r="O820" s="5" t="str">
        <f t="shared" si="3"/>
        <v>Last Minute</v>
      </c>
      <c r="P820" s="5" t="str">
        <f t="shared" si="4"/>
        <v>Hyderabad -&gt; Mumbai</v>
      </c>
    </row>
    <row r="821" ht="15.75" customHeight="1">
      <c r="A821" s="5" t="s">
        <v>2455</v>
      </c>
      <c r="B821" s="5" t="s">
        <v>1746</v>
      </c>
      <c r="C821" s="5" t="s">
        <v>590</v>
      </c>
      <c r="D821" s="5" t="s">
        <v>20</v>
      </c>
      <c r="E821" s="6" t="str">
        <f t="array" ref="E821">IFERROR(INDEX(Airlines!$B:$B,MATCH(D821,Airlines!$A:$A,0)),"")</f>
        <v>Vistara</v>
      </c>
      <c r="F821" s="6" t="str">
        <f>VLOOKUP(A821,Bookings!$A:$F,6,FALSE())</f>
        <v>Business</v>
      </c>
      <c r="G821" s="6" t="str">
        <f t="array" ref="G821">IFERROR(INDEX(Flights!$E:$E,MATCH(B821,Flights!$A:$A,0)),"")</f>
        <v>Hyderabad</v>
      </c>
      <c r="H821" s="6" t="str">
        <f>VLOOKUP(B821,Flights!A:H,6,FALSE())</f>
        <v>Mumbai</v>
      </c>
      <c r="I821" s="6" t="str">
        <f t="array" ref="I821">IFERROR(INDEX(Bookings!$G:$G,MATCH(B821,Bookings!$B:$B,0)),"")</f>
        <v>1</v>
      </c>
      <c r="J821" s="5">
        <f>VLOOKUP(B821,Bookings!B:H,7,FALSE())</f>
        <v>24.67</v>
      </c>
      <c r="K821" s="5" t="str">
        <f t="shared" si="1"/>
        <v>Long</v>
      </c>
      <c r="L821" s="11">
        <f t="array" ref="L821">IFERROR(INDEX(Bookings!$K:$K,MATCH(A821,Bookings!$A:$A,0)),"")</f>
        <v>67130</v>
      </c>
      <c r="M821" s="5" t="str">
        <f t="shared" si="2"/>
        <v>High</v>
      </c>
      <c r="N821" s="5">
        <f t="array" ref="N821">IFERROR(INDEX(Bookings!$I:$I,MATCH(A821,Bookings!$A:$A,0)),"")</f>
        <v>37</v>
      </c>
      <c r="O821" s="5" t="str">
        <f t="shared" si="3"/>
        <v>Advance</v>
      </c>
      <c r="P821" s="5" t="str">
        <f t="shared" si="4"/>
        <v>Hyderabad -&gt; Mumbai</v>
      </c>
    </row>
    <row r="822" ht="15.75" customHeight="1">
      <c r="A822" s="5" t="s">
        <v>2456</v>
      </c>
      <c r="B822" s="5" t="s">
        <v>1754</v>
      </c>
      <c r="C822" s="5" t="s">
        <v>590</v>
      </c>
      <c r="D822" s="5" t="s">
        <v>20</v>
      </c>
      <c r="E822" s="6" t="str">
        <f t="array" ref="E822">IFERROR(INDEX(Airlines!$B:$B,MATCH(D822,Airlines!$A:$A,0)),"")</f>
        <v>Vistara</v>
      </c>
      <c r="F822" s="6" t="str">
        <f>VLOOKUP(A822,Bookings!$A:$F,6,FALSE())</f>
        <v>Economy</v>
      </c>
      <c r="G822" s="6" t="str">
        <f t="array" ref="G822">IFERROR(INDEX(Flights!$E:$E,MATCH(B822,Flights!$A:$A,0)),"")</f>
        <v>Hyderabad</v>
      </c>
      <c r="H822" s="6" t="str">
        <f>VLOOKUP(B822,Flights!A:H,6,FALSE())</f>
        <v>Mumbai</v>
      </c>
      <c r="I822" s="6" t="str">
        <f t="array" ref="I822">IFERROR(INDEX(Bookings!$G:$G,MATCH(B822,Bookings!$B:$B,0)),"")</f>
        <v>1</v>
      </c>
      <c r="J822" s="5">
        <f>VLOOKUP(B822,Bookings!B:H,7,FALSE())</f>
        <v>5.75</v>
      </c>
      <c r="K822" s="5" t="str">
        <f t="shared" si="1"/>
        <v>Medium</v>
      </c>
      <c r="L822" s="11">
        <f t="array" ref="L822">IFERROR(INDEX(Bookings!$K:$K,MATCH(A822,Bookings!$A:$A,0)),"")</f>
        <v>4731</v>
      </c>
      <c r="M822" s="5" t="str">
        <f t="shared" si="2"/>
        <v>Medium</v>
      </c>
      <c r="N822" s="5">
        <f t="array" ref="N822">IFERROR(INDEX(Bookings!$I:$I,MATCH(A822,Bookings!$A:$A,0)),"")</f>
        <v>34</v>
      </c>
      <c r="O822" s="5" t="str">
        <f t="shared" si="3"/>
        <v>Advance</v>
      </c>
      <c r="P822" s="5" t="str">
        <f t="shared" si="4"/>
        <v>Hyderabad -&gt; Mumbai</v>
      </c>
    </row>
    <row r="823" ht="15.75" customHeight="1">
      <c r="A823" s="5" t="s">
        <v>2458</v>
      </c>
      <c r="B823" s="5" t="s">
        <v>1831</v>
      </c>
      <c r="C823" s="5" t="s">
        <v>590</v>
      </c>
      <c r="D823" s="5" t="s">
        <v>45</v>
      </c>
      <c r="E823" s="6" t="str">
        <f t="array" ref="E823">IFERROR(INDEX(Airlines!$B:$B,MATCH(D823,Airlines!$A:$A,0)),"")</f>
        <v>Air_India</v>
      </c>
      <c r="F823" s="6" t="str">
        <f>VLOOKUP(A823,Bookings!$A:$F,6,FALSE())</f>
        <v>Economy</v>
      </c>
      <c r="G823" s="6" t="str">
        <f t="array" ref="G823">IFERROR(INDEX(Flights!$E:$E,MATCH(B823,Flights!$A:$A,0)),"")</f>
        <v>Hyderabad</v>
      </c>
      <c r="H823" s="6" t="str">
        <f>VLOOKUP(B823,Flights!A:H,6,FALSE())</f>
        <v>Mumbai</v>
      </c>
      <c r="I823" s="6" t="str">
        <f t="array" ref="I823">IFERROR(INDEX(Bookings!$G:$G,MATCH(B823,Bookings!$B:$B,0)),"")</f>
        <v>1</v>
      </c>
      <c r="J823" s="5">
        <f>VLOOKUP(B823,Bookings!B:H,7,FALSE())</f>
        <v>14.42</v>
      </c>
      <c r="K823" s="5" t="str">
        <f t="shared" si="1"/>
        <v>Long</v>
      </c>
      <c r="L823" s="11">
        <f t="array" ref="L823">IFERROR(INDEX(Bookings!$K:$K,MATCH(A823,Bookings!$A:$A,0)),"")</f>
        <v>4363</v>
      </c>
      <c r="M823" s="5" t="str">
        <f t="shared" si="2"/>
        <v>Low</v>
      </c>
      <c r="N823" s="5">
        <f t="array" ref="N823">IFERROR(INDEX(Bookings!$I:$I,MATCH(A823,Bookings!$A:$A,0)),"")</f>
        <v>34</v>
      </c>
      <c r="O823" s="5" t="str">
        <f t="shared" si="3"/>
        <v>Advance</v>
      </c>
      <c r="P823" s="5" t="str">
        <f t="shared" si="4"/>
        <v>Hyderabad -&gt; Mumbai</v>
      </c>
    </row>
    <row r="824" ht="15.75" customHeight="1">
      <c r="A824" s="5" t="s">
        <v>2460</v>
      </c>
      <c r="B824" s="5" t="s">
        <v>1804</v>
      </c>
      <c r="C824" s="5" t="s">
        <v>590</v>
      </c>
      <c r="D824" s="5" t="s">
        <v>20</v>
      </c>
      <c r="E824" s="6" t="str">
        <f t="array" ref="E824">IFERROR(INDEX(Airlines!$B:$B,MATCH(D824,Airlines!$A:$A,0)),"")</f>
        <v>Vistara</v>
      </c>
      <c r="F824" s="6" t="str">
        <f>VLOOKUP(A824,Bookings!$A:$F,6,FALSE())</f>
        <v>Economy</v>
      </c>
      <c r="G824" s="6" t="str">
        <f t="array" ref="G824">IFERROR(INDEX(Flights!$E:$E,MATCH(B824,Flights!$A:$A,0)),"")</f>
        <v>Hyderabad</v>
      </c>
      <c r="H824" s="6" t="str">
        <f>VLOOKUP(B824,Flights!A:H,6,FALSE())</f>
        <v>Mumbai</v>
      </c>
      <c r="I824" s="6" t="str">
        <f t="array" ref="I824">IFERROR(INDEX(Bookings!$G:$G,MATCH(B824,Bookings!$B:$B,0)),"")</f>
        <v>1</v>
      </c>
      <c r="J824" s="5">
        <f>VLOOKUP(B824,Bookings!B:H,7,FALSE())</f>
        <v>15.75</v>
      </c>
      <c r="K824" s="5" t="str">
        <f t="shared" si="1"/>
        <v>Long</v>
      </c>
      <c r="L824" s="11">
        <f t="array" ref="L824">IFERROR(INDEX(Bookings!$K:$K,MATCH(A824,Bookings!$A:$A,0)),"")</f>
        <v>20512</v>
      </c>
      <c r="M824" s="5" t="str">
        <f t="shared" si="2"/>
        <v>High</v>
      </c>
      <c r="N824" s="5">
        <f t="array" ref="N824">IFERROR(INDEX(Bookings!$I:$I,MATCH(A824,Bookings!$A:$A,0)),"")</f>
        <v>4</v>
      </c>
      <c r="O824" s="5" t="str">
        <f t="shared" si="3"/>
        <v>Last Minute</v>
      </c>
      <c r="P824" s="5" t="str">
        <f t="shared" si="4"/>
        <v>Hyderabad -&gt; Mumbai</v>
      </c>
    </row>
    <row r="825" ht="15.75" customHeight="1">
      <c r="A825" s="5" t="s">
        <v>2462</v>
      </c>
      <c r="B825" s="5" t="s">
        <v>1809</v>
      </c>
      <c r="C825" s="5" t="s">
        <v>590</v>
      </c>
      <c r="D825" s="5" t="s">
        <v>20</v>
      </c>
      <c r="E825" s="6" t="str">
        <f t="array" ref="E825">IFERROR(INDEX(Airlines!$B:$B,MATCH(D825,Airlines!$A:$A,0)),"")</f>
        <v>Vistara</v>
      </c>
      <c r="F825" s="6" t="str">
        <f>VLOOKUP(A825,Bookings!$A:$F,6,FALSE())</f>
        <v>Economy</v>
      </c>
      <c r="G825" s="6" t="str">
        <f t="array" ref="G825">IFERROR(INDEX(Flights!$E:$E,MATCH(B825,Flights!$A:$A,0)),"")</f>
        <v>Hyderabad</v>
      </c>
      <c r="H825" s="6" t="str">
        <f>VLOOKUP(B825,Flights!A:H,6,FALSE())</f>
        <v>Mumbai</v>
      </c>
      <c r="I825" s="6" t="str">
        <f t="array" ref="I825">IFERROR(INDEX(Bookings!$G:$G,MATCH(B825,Bookings!$B:$B,0)),"")</f>
        <v>1</v>
      </c>
      <c r="J825" s="5">
        <f>VLOOKUP(B825,Bookings!B:H,7,FALSE())</f>
        <v>11.5</v>
      </c>
      <c r="K825" s="5" t="str">
        <f t="shared" si="1"/>
        <v>Long</v>
      </c>
      <c r="L825" s="11">
        <f t="array" ref="L825">IFERROR(INDEX(Bookings!$K:$K,MATCH(A825,Bookings!$A:$A,0)),"")</f>
        <v>17488</v>
      </c>
      <c r="M825" s="5" t="str">
        <f t="shared" si="2"/>
        <v>High</v>
      </c>
      <c r="N825" s="5">
        <f t="array" ref="N825">IFERROR(INDEX(Bookings!$I:$I,MATCH(A825,Bookings!$A:$A,0)),"")</f>
        <v>4</v>
      </c>
      <c r="O825" s="5" t="str">
        <f t="shared" si="3"/>
        <v>Last Minute</v>
      </c>
      <c r="P825" s="5" t="str">
        <f t="shared" si="4"/>
        <v>Hyderabad -&gt; Mumbai</v>
      </c>
    </row>
    <row r="826" ht="15.75" customHeight="1">
      <c r="A826" s="5" t="s">
        <v>2465</v>
      </c>
      <c r="B826" s="5" t="s">
        <v>1781</v>
      </c>
      <c r="C826" s="5" t="s">
        <v>590</v>
      </c>
      <c r="D826" s="5" t="s">
        <v>45</v>
      </c>
      <c r="E826" s="6" t="str">
        <f t="array" ref="E826">IFERROR(INDEX(Airlines!$B:$B,MATCH(D826,Airlines!$A:$A,0)),"")</f>
        <v>Air_India</v>
      </c>
      <c r="F826" s="6" t="str">
        <f>VLOOKUP(A826,Bookings!$A:$F,6,FALSE())</f>
        <v>Economy</v>
      </c>
      <c r="G826" s="6" t="str">
        <f t="array" ref="G826">IFERROR(INDEX(Flights!$E:$E,MATCH(B826,Flights!$A:$A,0)),"")</f>
        <v>Hyderabad</v>
      </c>
      <c r="H826" s="6" t="str">
        <f>VLOOKUP(B826,Flights!A:H,6,FALSE())</f>
        <v>Mumbai</v>
      </c>
      <c r="I826" s="6" t="str">
        <f t="array" ref="I826">IFERROR(INDEX(Bookings!$G:$G,MATCH(B826,Bookings!$B:$B,0)),"")</f>
        <v>1</v>
      </c>
      <c r="J826" s="5">
        <f>VLOOKUP(B826,Bookings!B:H,7,FALSE())</f>
        <v>23.92</v>
      </c>
      <c r="K826" s="5" t="str">
        <f t="shared" si="1"/>
        <v>Long</v>
      </c>
      <c r="L826" s="11">
        <f t="array" ref="L826">IFERROR(INDEX(Bookings!$K:$K,MATCH(A826,Bookings!$A:$A,0)),"")</f>
        <v>4783</v>
      </c>
      <c r="M826" s="5" t="str">
        <f t="shared" si="2"/>
        <v>Medium</v>
      </c>
      <c r="N826" s="5">
        <f t="array" ref="N826">IFERROR(INDEX(Bookings!$I:$I,MATCH(A826,Bookings!$A:$A,0)),"")</f>
        <v>19</v>
      </c>
      <c r="O826" s="5" t="str">
        <f t="shared" si="3"/>
        <v>Moderate</v>
      </c>
      <c r="P826" s="5" t="str">
        <f t="shared" si="4"/>
        <v>Hyderabad -&gt; Mumbai</v>
      </c>
    </row>
    <row r="827" ht="15.75" customHeight="1">
      <c r="A827" s="5" t="s">
        <v>2467</v>
      </c>
      <c r="B827" s="5" t="s">
        <v>1818</v>
      </c>
      <c r="C827" s="5" t="s">
        <v>590</v>
      </c>
      <c r="D827" s="5" t="s">
        <v>45</v>
      </c>
      <c r="E827" s="6" t="str">
        <f t="array" ref="E827">IFERROR(INDEX(Airlines!$B:$B,MATCH(D827,Airlines!$A:$A,0)),"")</f>
        <v>Air_India</v>
      </c>
      <c r="F827" s="6" t="str">
        <f>VLOOKUP(A827,Bookings!$A:$F,6,FALSE())</f>
        <v>Economy</v>
      </c>
      <c r="G827" s="6" t="str">
        <f t="array" ref="G827">IFERROR(INDEX(Flights!$E:$E,MATCH(B827,Flights!$A:$A,0)),"")</f>
        <v>Hyderabad</v>
      </c>
      <c r="H827" s="6" t="str">
        <f>VLOOKUP(B827,Flights!A:H,6,FALSE())</f>
        <v>Mumbai</v>
      </c>
      <c r="I827" s="6" t="str">
        <f t="array" ref="I827">IFERROR(INDEX(Bookings!$G:$G,MATCH(B827,Bookings!$B:$B,0)),"")</f>
        <v>2+</v>
      </c>
      <c r="J827" s="5">
        <f>VLOOKUP(B827,Bookings!B:H,7,FALSE())</f>
        <v>34.5</v>
      </c>
      <c r="K827" s="5" t="str">
        <f t="shared" si="1"/>
        <v>Long</v>
      </c>
      <c r="L827" s="11">
        <f t="array" ref="L827">IFERROR(INDEX(Bookings!$K:$K,MATCH(A827,Bookings!$A:$A,0)),"")</f>
        <v>13173</v>
      </c>
      <c r="M827" s="5" t="str">
        <f t="shared" si="2"/>
        <v>Medium</v>
      </c>
      <c r="N827" s="5">
        <f t="array" ref="N827">IFERROR(INDEX(Bookings!$I:$I,MATCH(A827,Bookings!$A:$A,0)),"")</f>
        <v>3</v>
      </c>
      <c r="O827" s="5" t="str">
        <f t="shared" si="3"/>
        <v>Last Minute</v>
      </c>
      <c r="P827" s="5" t="str">
        <f t="shared" si="4"/>
        <v>Hyderabad -&gt; Mumbai</v>
      </c>
    </row>
    <row r="828" ht="15.75" customHeight="1">
      <c r="A828" s="5" t="s">
        <v>2469</v>
      </c>
      <c r="B828" s="5" t="s">
        <v>1788</v>
      </c>
      <c r="C828" s="5" t="s">
        <v>590</v>
      </c>
      <c r="D828" s="5" t="s">
        <v>20</v>
      </c>
      <c r="E828" s="6" t="str">
        <f t="array" ref="E828">IFERROR(INDEX(Airlines!$B:$B,MATCH(D828,Airlines!$A:$A,0)),"")</f>
        <v>Vistara</v>
      </c>
      <c r="F828" s="6" t="str">
        <f>VLOOKUP(A828,Bookings!$A:$F,6,FALSE())</f>
        <v>Business</v>
      </c>
      <c r="G828" s="6" t="str">
        <f t="array" ref="G828">IFERROR(INDEX(Flights!$E:$E,MATCH(B828,Flights!$A:$A,0)),"")</f>
        <v>Hyderabad</v>
      </c>
      <c r="H828" s="6" t="str">
        <f>VLOOKUP(B828,Flights!A:H,6,FALSE())</f>
        <v>Mumbai</v>
      </c>
      <c r="I828" s="6" t="str">
        <f t="array" ref="I828">IFERROR(INDEX(Bookings!$G:$G,MATCH(B828,Bookings!$B:$B,0)),"")</f>
        <v>1</v>
      </c>
      <c r="J828" s="5">
        <f>VLOOKUP(B828,Bookings!B:H,7,FALSE())</f>
        <v>10.92</v>
      </c>
      <c r="K828" s="5" t="str">
        <f t="shared" si="1"/>
        <v>Long</v>
      </c>
      <c r="L828" s="11">
        <f t="array" ref="L828">IFERROR(INDEX(Bookings!$K:$K,MATCH(A828,Bookings!$A:$A,0)),"")</f>
        <v>7336</v>
      </c>
      <c r="M828" s="5" t="str">
        <f t="shared" si="2"/>
        <v>Medium</v>
      </c>
      <c r="N828" s="5">
        <f t="array" ref="N828">IFERROR(INDEX(Bookings!$I:$I,MATCH(A828,Bookings!$A:$A,0)),"")</f>
        <v>34</v>
      </c>
      <c r="O828" s="5" t="str">
        <f t="shared" si="3"/>
        <v>Advance</v>
      </c>
      <c r="P828" s="5" t="str">
        <f t="shared" si="4"/>
        <v>Hyderabad -&gt; Mumbai</v>
      </c>
    </row>
    <row r="829" ht="15.75" customHeight="1">
      <c r="A829" s="5" t="s">
        <v>2470</v>
      </c>
      <c r="B829" s="5" t="s">
        <v>1779</v>
      </c>
      <c r="C829" s="5" t="s">
        <v>590</v>
      </c>
      <c r="D829" s="5" t="s">
        <v>20</v>
      </c>
      <c r="E829" s="6" t="str">
        <f t="array" ref="E829">IFERROR(INDEX(Airlines!$B:$B,MATCH(D829,Airlines!$A:$A,0)),"")</f>
        <v>Vistara</v>
      </c>
      <c r="F829" s="6" t="str">
        <f>VLOOKUP(A829,Bookings!$A:$F,6,FALSE())</f>
        <v>Economy</v>
      </c>
      <c r="G829" s="6" t="str">
        <f t="array" ref="G829">IFERROR(INDEX(Flights!$E:$E,MATCH(B829,Flights!$A:$A,0)),"")</f>
        <v>Hyderabad</v>
      </c>
      <c r="H829" s="6" t="str">
        <f>VLOOKUP(B829,Flights!A:H,6,FALSE())</f>
        <v>Mumbai</v>
      </c>
      <c r="I829" s="6" t="str">
        <f t="array" ref="I829">IFERROR(INDEX(Bookings!$G:$G,MATCH(B829,Bookings!$B:$B,0)),"")</f>
        <v>1</v>
      </c>
      <c r="J829" s="5">
        <f>VLOOKUP(B829,Bookings!B:H,7,FALSE())</f>
        <v>25</v>
      </c>
      <c r="K829" s="5" t="str">
        <f t="shared" si="1"/>
        <v>Long</v>
      </c>
      <c r="L829" s="11">
        <f t="array" ref="L829">IFERROR(INDEX(Bookings!$K:$K,MATCH(A829,Bookings!$A:$A,0)),"")</f>
        <v>16144</v>
      </c>
      <c r="M829" s="5" t="str">
        <f t="shared" si="2"/>
        <v>High</v>
      </c>
      <c r="N829" s="5">
        <f t="array" ref="N829">IFERROR(INDEX(Bookings!$I:$I,MATCH(A829,Bookings!$A:$A,0)),"")</f>
        <v>3</v>
      </c>
      <c r="O829" s="5" t="str">
        <f t="shared" si="3"/>
        <v>Last Minute</v>
      </c>
      <c r="P829" s="5" t="str">
        <f t="shared" si="4"/>
        <v>Hyderabad -&gt; Mumbai</v>
      </c>
    </row>
    <row r="830" ht="15.75" customHeight="1">
      <c r="A830" s="5" t="s">
        <v>2472</v>
      </c>
      <c r="B830" s="5" t="s">
        <v>1833</v>
      </c>
      <c r="C830" s="5" t="s">
        <v>590</v>
      </c>
      <c r="D830" s="5" t="s">
        <v>45</v>
      </c>
      <c r="E830" s="6" t="str">
        <f t="array" ref="E830">IFERROR(INDEX(Airlines!$B:$B,MATCH(D830,Airlines!$A:$A,0)),"")</f>
        <v>Air_India</v>
      </c>
      <c r="F830" s="6" t="str">
        <f>VLOOKUP(A830,Bookings!$A:$F,6,FALSE())</f>
        <v>Economy</v>
      </c>
      <c r="G830" s="6" t="str">
        <f t="array" ref="G830">IFERROR(INDEX(Flights!$E:$E,MATCH(B830,Flights!$A:$A,0)),"")</f>
        <v>Hyderabad</v>
      </c>
      <c r="H830" s="6" t="str">
        <f>VLOOKUP(B830,Flights!A:H,6,FALSE())</f>
        <v>Mumbai</v>
      </c>
      <c r="I830" s="6" t="str">
        <f t="array" ref="I830">IFERROR(INDEX(Bookings!$G:$G,MATCH(B830,Bookings!$B:$B,0)),"")</f>
        <v>1</v>
      </c>
      <c r="J830" s="5">
        <f>VLOOKUP(B830,Bookings!B:H,7,FALSE())</f>
        <v>23.42</v>
      </c>
      <c r="K830" s="5" t="str">
        <f t="shared" si="1"/>
        <v>Long</v>
      </c>
      <c r="L830" s="11">
        <f t="array" ref="L830">IFERROR(INDEX(Bookings!$K:$K,MATCH(A830,Bookings!$A:$A,0)),"")</f>
        <v>11829</v>
      </c>
      <c r="M830" s="5" t="str">
        <f t="shared" si="2"/>
        <v>Medium</v>
      </c>
      <c r="N830" s="5">
        <f t="array" ref="N830">IFERROR(INDEX(Bookings!$I:$I,MATCH(A830,Bookings!$A:$A,0)),"")</f>
        <v>4</v>
      </c>
      <c r="O830" s="5" t="str">
        <f t="shared" si="3"/>
        <v>Last Minute</v>
      </c>
      <c r="P830" s="5" t="str">
        <f t="shared" si="4"/>
        <v>Hyderabad -&gt; Mumbai</v>
      </c>
    </row>
    <row r="831" ht="15.75" customHeight="1">
      <c r="A831" s="5" t="s">
        <v>2474</v>
      </c>
      <c r="B831" s="5" t="s">
        <v>1773</v>
      </c>
      <c r="C831" s="5" t="s">
        <v>590</v>
      </c>
      <c r="D831" s="5" t="s">
        <v>58</v>
      </c>
      <c r="E831" s="6" t="str">
        <f t="array" ref="E831">IFERROR(INDEX(Airlines!$B:$B,MATCH(D831,Airlines!$A:$A,0)),"")</f>
        <v>Go_First</v>
      </c>
      <c r="F831" s="6" t="str">
        <f>VLOOKUP(A831,Bookings!$A:$F,6,FALSE())</f>
        <v>Economy</v>
      </c>
      <c r="G831" s="6" t="str">
        <f t="array" ref="G831">IFERROR(INDEX(Flights!$E:$E,MATCH(B831,Flights!$A:$A,0)),"")</f>
        <v>Hyderabad</v>
      </c>
      <c r="H831" s="6" t="str">
        <f>VLOOKUP(B831,Flights!A:H,6,FALSE())</f>
        <v>Mumbai</v>
      </c>
      <c r="I831" s="6" t="str">
        <f t="array" ref="I831">IFERROR(INDEX(Bookings!$G:$G,MATCH(B831,Bookings!$B:$B,0)),"")</f>
        <v>1</v>
      </c>
      <c r="J831" s="5">
        <f>VLOOKUP(B831,Bookings!B:H,7,FALSE())</f>
        <v>14.67</v>
      </c>
      <c r="K831" s="5" t="str">
        <f t="shared" si="1"/>
        <v>Long</v>
      </c>
      <c r="L831" s="11">
        <f t="array" ref="L831">IFERROR(INDEX(Bookings!$K:$K,MATCH(A831,Bookings!$A:$A,0)),"")</f>
        <v>12143</v>
      </c>
      <c r="M831" s="5" t="str">
        <f t="shared" si="2"/>
        <v>Medium</v>
      </c>
      <c r="N831" s="5">
        <f t="array" ref="N831">IFERROR(INDEX(Bookings!$I:$I,MATCH(A831,Bookings!$A:$A,0)),"")</f>
        <v>4</v>
      </c>
      <c r="O831" s="5" t="str">
        <f t="shared" si="3"/>
        <v>Last Minute</v>
      </c>
      <c r="P831" s="5" t="str">
        <f t="shared" si="4"/>
        <v>Hyderabad -&gt; Mumbai</v>
      </c>
    </row>
    <row r="832" ht="15.75" customHeight="1">
      <c r="A832" s="5" t="s">
        <v>2475</v>
      </c>
      <c r="B832" s="5" t="s">
        <v>1748</v>
      </c>
      <c r="C832" s="5" t="s">
        <v>590</v>
      </c>
      <c r="D832" s="5" t="s">
        <v>45</v>
      </c>
      <c r="E832" s="6" t="str">
        <f t="array" ref="E832">IFERROR(INDEX(Airlines!$B:$B,MATCH(D832,Airlines!$A:$A,0)),"")</f>
        <v>Air_India</v>
      </c>
      <c r="F832" s="6" t="str">
        <f>VLOOKUP(A832,Bookings!$A:$F,6,FALSE())</f>
        <v>Economy</v>
      </c>
      <c r="G832" s="6" t="str">
        <f t="array" ref="G832">IFERROR(INDEX(Flights!$E:$E,MATCH(B832,Flights!$A:$A,0)),"")</f>
        <v>Hyderabad</v>
      </c>
      <c r="H832" s="6" t="str">
        <f>VLOOKUP(B832,Flights!A:H,6,FALSE())</f>
        <v>Mumbai</v>
      </c>
      <c r="I832" s="6" t="str">
        <f t="array" ref="I832">IFERROR(INDEX(Bookings!$G:$G,MATCH(B832,Bookings!$B:$B,0)),"")</f>
        <v>2+</v>
      </c>
      <c r="J832" s="5">
        <f>VLOOKUP(B832,Bookings!B:H,7,FALSE())</f>
        <v>14.92</v>
      </c>
      <c r="K832" s="5" t="str">
        <f t="shared" si="1"/>
        <v>Long</v>
      </c>
      <c r="L832" s="11">
        <f t="array" ref="L832">IFERROR(INDEX(Bookings!$K:$K,MATCH(A832,Bookings!$A:$A,0)),"")</f>
        <v>7496</v>
      </c>
      <c r="M832" s="5" t="str">
        <f t="shared" si="2"/>
        <v>Medium</v>
      </c>
      <c r="N832" s="5">
        <f t="array" ref="N832">IFERROR(INDEX(Bookings!$I:$I,MATCH(A832,Bookings!$A:$A,0)),"")</f>
        <v>25</v>
      </c>
      <c r="O832" s="5" t="str">
        <f t="shared" si="3"/>
        <v>Moderate</v>
      </c>
      <c r="P832" s="5" t="str">
        <f t="shared" si="4"/>
        <v>Hyderabad -&gt; Mumbai</v>
      </c>
    </row>
    <row r="833" ht="15.75" customHeight="1">
      <c r="A833" s="5" t="s">
        <v>2476</v>
      </c>
      <c r="B833" s="5" t="s">
        <v>1796</v>
      </c>
      <c r="C833" s="5" t="s">
        <v>590</v>
      </c>
      <c r="D833" s="5" t="s">
        <v>20</v>
      </c>
      <c r="E833" s="6" t="str">
        <f t="array" ref="E833">IFERROR(INDEX(Airlines!$B:$B,MATCH(D833,Airlines!$A:$A,0)),"")</f>
        <v>Vistara</v>
      </c>
      <c r="F833" s="6" t="str">
        <f>VLOOKUP(A833,Bookings!$A:$F,6,FALSE())</f>
        <v>Economy</v>
      </c>
      <c r="G833" s="6" t="str">
        <f t="array" ref="G833">IFERROR(INDEX(Flights!$E:$E,MATCH(B833,Flights!$A:$A,0)),"")</f>
        <v>Hyderabad</v>
      </c>
      <c r="H833" s="6" t="str">
        <f>VLOOKUP(B833,Flights!A:H,6,FALSE())</f>
        <v>Mumbai</v>
      </c>
      <c r="I833" s="6" t="str">
        <f t="array" ref="I833">IFERROR(INDEX(Bookings!$G:$G,MATCH(B833,Bookings!$B:$B,0)),"")</f>
        <v>1</v>
      </c>
      <c r="J833" s="5">
        <f>VLOOKUP(B833,Bookings!B:H,7,FALSE())</f>
        <v>14.25</v>
      </c>
      <c r="K833" s="5" t="str">
        <f t="shared" si="1"/>
        <v>Long</v>
      </c>
      <c r="L833" s="11">
        <f t="array" ref="L833">IFERROR(INDEX(Bookings!$K:$K,MATCH(A833,Bookings!$A:$A,0)),"")</f>
        <v>8954</v>
      </c>
      <c r="M833" s="5" t="str">
        <f t="shared" si="2"/>
        <v>Medium</v>
      </c>
      <c r="N833" s="5">
        <f t="array" ref="N833">IFERROR(INDEX(Bookings!$I:$I,MATCH(A833,Bookings!$A:$A,0)),"")</f>
        <v>29</v>
      </c>
      <c r="O833" s="5" t="str">
        <f t="shared" si="3"/>
        <v>Moderate</v>
      </c>
      <c r="P833" s="5" t="str">
        <f t="shared" si="4"/>
        <v>Hyderabad -&gt; Mumbai</v>
      </c>
    </row>
    <row r="834" ht="15.75" customHeight="1">
      <c r="A834" s="5" t="s">
        <v>2477</v>
      </c>
      <c r="B834" s="5" t="s">
        <v>1821</v>
      </c>
      <c r="C834" s="5" t="s">
        <v>590</v>
      </c>
      <c r="D834" s="5" t="s">
        <v>20</v>
      </c>
      <c r="E834" s="6" t="str">
        <f t="array" ref="E834">IFERROR(INDEX(Airlines!$B:$B,MATCH(D834,Airlines!$A:$A,0)),"")</f>
        <v>Vistara</v>
      </c>
      <c r="F834" s="6" t="str">
        <f>VLOOKUP(A834,Bookings!$A:$F,6,FALSE())</f>
        <v>Economy</v>
      </c>
      <c r="G834" s="6" t="str">
        <f t="array" ref="G834">IFERROR(INDEX(Flights!$E:$E,MATCH(B834,Flights!$A:$A,0)),"")</f>
        <v>Hyderabad</v>
      </c>
      <c r="H834" s="6" t="str">
        <f>VLOOKUP(B834,Flights!A:H,6,FALSE())</f>
        <v>Mumbai</v>
      </c>
      <c r="I834" s="6" t="str">
        <f t="array" ref="I834">IFERROR(INDEX(Bookings!$G:$G,MATCH(B834,Bookings!$B:$B,0)),"")</f>
        <v>0</v>
      </c>
      <c r="J834" s="5">
        <f>VLOOKUP(B834,Bookings!B:H,7,FALSE())</f>
        <v>1.5</v>
      </c>
      <c r="K834" s="5" t="str">
        <f t="shared" si="1"/>
        <v>Short</v>
      </c>
      <c r="L834" s="11">
        <f t="array" ref="L834">IFERROR(INDEX(Bookings!$K:$K,MATCH(A834,Bookings!$A:$A,0)),"")</f>
        <v>3646</v>
      </c>
      <c r="M834" s="5" t="str">
        <f t="shared" si="2"/>
        <v>Low</v>
      </c>
      <c r="N834" s="5">
        <f t="array" ref="N834">IFERROR(INDEX(Bookings!$I:$I,MATCH(A834,Bookings!$A:$A,0)),"")</f>
        <v>45</v>
      </c>
      <c r="O834" s="5" t="str">
        <f t="shared" si="3"/>
        <v>Advance</v>
      </c>
      <c r="P834" s="5" t="str">
        <f t="shared" si="4"/>
        <v>Hyderabad -&gt; Mumbai</v>
      </c>
    </row>
    <row r="835" ht="15.75" customHeight="1">
      <c r="A835" s="5" t="s">
        <v>2478</v>
      </c>
      <c r="B835" s="5" t="s">
        <v>1793</v>
      </c>
      <c r="C835" s="5" t="s">
        <v>590</v>
      </c>
      <c r="D835" s="5" t="s">
        <v>20</v>
      </c>
      <c r="E835" s="6" t="str">
        <f t="array" ref="E835">IFERROR(INDEX(Airlines!$B:$B,MATCH(D835,Airlines!$A:$A,0)),"")</f>
        <v>Vistara</v>
      </c>
      <c r="F835" s="6" t="str">
        <f>VLOOKUP(A835,Bookings!$A:$F,6,FALSE())</f>
        <v>Economy</v>
      </c>
      <c r="G835" s="6" t="str">
        <f t="array" ref="G835">IFERROR(INDEX(Flights!$E:$E,MATCH(B835,Flights!$A:$A,0)),"")</f>
        <v>Hyderabad</v>
      </c>
      <c r="H835" s="6" t="str">
        <f>VLOOKUP(B835,Flights!A:H,6,FALSE())</f>
        <v>Mumbai</v>
      </c>
      <c r="I835" s="6">
        <f t="array" ref="I835">IFERROR(INDEX(Bookings!$G:$G,MATCH(B835,Bookings!$B:$B,0)),"")</f>
        <v>1</v>
      </c>
      <c r="J835" s="5">
        <f>VLOOKUP(B835,Bookings!B:H,7,FALSE())</f>
        <v>16.92</v>
      </c>
      <c r="K835" s="5" t="str">
        <f t="shared" si="1"/>
        <v>Long</v>
      </c>
      <c r="L835" s="11">
        <f t="array" ref="L835">IFERROR(INDEX(Bookings!$K:$K,MATCH(A835,Bookings!$A:$A,0)),"")</f>
        <v>3471</v>
      </c>
      <c r="M835" s="5" t="str">
        <f t="shared" si="2"/>
        <v>Low</v>
      </c>
      <c r="N835" s="5">
        <f t="array" ref="N835">IFERROR(INDEX(Bookings!$I:$I,MATCH(A835,Bookings!$A:$A,0)),"")</f>
        <v>44</v>
      </c>
      <c r="O835" s="5" t="str">
        <f t="shared" si="3"/>
        <v>Advance</v>
      </c>
      <c r="P835" s="5" t="str">
        <f t="shared" si="4"/>
        <v>Hyderabad -&gt; Mumbai</v>
      </c>
    </row>
    <row r="836" ht="15.75" customHeight="1">
      <c r="A836" s="5" t="s">
        <v>2479</v>
      </c>
      <c r="B836" s="5" t="s">
        <v>1751</v>
      </c>
      <c r="C836" s="5" t="s">
        <v>590</v>
      </c>
      <c r="D836" s="5" t="s">
        <v>20</v>
      </c>
      <c r="E836" s="6" t="str">
        <f t="array" ref="E836">IFERROR(INDEX(Airlines!$B:$B,MATCH(D836,Airlines!$A:$A,0)),"")</f>
        <v>Vistara</v>
      </c>
      <c r="F836" s="6" t="str">
        <f>VLOOKUP(A836,Bookings!$A:$F,6,FALSE())</f>
        <v>Business</v>
      </c>
      <c r="G836" s="6" t="str">
        <f t="array" ref="G836">IFERROR(INDEX(Flights!$E:$E,MATCH(B836,Flights!$A:$A,0)),"")</f>
        <v>Hyderabad</v>
      </c>
      <c r="H836" s="6" t="str">
        <f>VLOOKUP(B836,Flights!A:H,6,FALSE())</f>
        <v>Mumbai</v>
      </c>
      <c r="I836" s="6" t="str">
        <f t="array" ref="I836">IFERROR(INDEX(Bookings!$G:$G,MATCH(B836,Bookings!$B:$B,0)),"")</f>
        <v>1</v>
      </c>
      <c r="J836" s="5">
        <f>VLOOKUP(B836,Bookings!B:H,7,FALSE())</f>
        <v>6.17</v>
      </c>
      <c r="K836" s="5" t="str">
        <f t="shared" si="1"/>
        <v>Medium</v>
      </c>
      <c r="L836" s="11">
        <f t="array" ref="L836">IFERROR(INDEX(Bookings!$K:$K,MATCH(A836,Bookings!$A:$A,0)),"")</f>
        <v>66267</v>
      </c>
      <c r="M836" s="5" t="str">
        <f t="shared" si="2"/>
        <v>High</v>
      </c>
      <c r="N836" s="5">
        <f t="array" ref="N836">IFERROR(INDEX(Bookings!$I:$I,MATCH(A836,Bookings!$A:$A,0)),"")</f>
        <v>39</v>
      </c>
      <c r="O836" s="5" t="str">
        <f t="shared" si="3"/>
        <v>Advance</v>
      </c>
      <c r="P836" s="5" t="str">
        <f t="shared" si="4"/>
        <v>Hyderabad -&gt; Mumbai</v>
      </c>
    </row>
    <row r="837" ht="15.75" customHeight="1">
      <c r="A837" s="5" t="s">
        <v>2480</v>
      </c>
      <c r="B837" s="5" t="s">
        <v>1765</v>
      </c>
      <c r="C837" s="5" t="s">
        <v>590</v>
      </c>
      <c r="D837" s="5" t="s">
        <v>20</v>
      </c>
      <c r="E837" s="6" t="str">
        <f t="array" ref="E837">IFERROR(INDEX(Airlines!$B:$B,MATCH(D837,Airlines!$A:$A,0)),"")</f>
        <v>Vistara</v>
      </c>
      <c r="F837" s="6" t="str">
        <f>VLOOKUP(A837,Bookings!$A:$F,6,FALSE())</f>
        <v>Economy</v>
      </c>
      <c r="G837" s="6" t="str">
        <f t="array" ref="G837">IFERROR(INDEX(Flights!$E:$E,MATCH(B837,Flights!$A:$A,0)),"")</f>
        <v>Hyderabad</v>
      </c>
      <c r="H837" s="6" t="str">
        <f>VLOOKUP(B837,Flights!A:H,6,FALSE())</f>
        <v>Mumbai</v>
      </c>
      <c r="I837" s="6" t="str">
        <f t="array" ref="I837">IFERROR(INDEX(Bookings!$G:$G,MATCH(B837,Bookings!$B:$B,0)),"")</f>
        <v>1</v>
      </c>
      <c r="J837" s="5">
        <f>VLOOKUP(B837,Bookings!B:H,7,FALSE())</f>
        <v>5.67</v>
      </c>
      <c r="K837" s="5" t="str">
        <f t="shared" si="1"/>
        <v>Medium</v>
      </c>
      <c r="L837" s="11">
        <f t="array" ref="L837">IFERROR(INDEX(Bookings!$K:$K,MATCH(A837,Bookings!$A:$A,0)),"")</f>
        <v>5060</v>
      </c>
      <c r="M837" s="5" t="str">
        <f t="shared" si="2"/>
        <v>Medium</v>
      </c>
      <c r="N837" s="5">
        <f t="array" ref="N837">IFERROR(INDEX(Bookings!$I:$I,MATCH(A837,Bookings!$A:$A,0)),"")</f>
        <v>49</v>
      </c>
      <c r="O837" s="5" t="str">
        <f t="shared" si="3"/>
        <v>Advance</v>
      </c>
      <c r="P837" s="5" t="str">
        <f t="shared" si="4"/>
        <v>Hyderabad -&gt; Mumbai</v>
      </c>
    </row>
    <row r="838" ht="15.75" customHeight="1">
      <c r="A838" s="5" t="s">
        <v>2481</v>
      </c>
      <c r="B838" s="5" t="s">
        <v>1812</v>
      </c>
      <c r="C838" s="5" t="s">
        <v>590</v>
      </c>
      <c r="D838" s="5" t="s">
        <v>45</v>
      </c>
      <c r="E838" s="6" t="str">
        <f t="array" ref="E838">IFERROR(INDEX(Airlines!$B:$B,MATCH(D838,Airlines!$A:$A,0)),"")</f>
        <v>Air_India</v>
      </c>
      <c r="F838" s="6" t="str">
        <f>VLOOKUP(A838,Bookings!$A:$F,6,FALSE())</f>
        <v>Economy</v>
      </c>
      <c r="G838" s="6" t="str">
        <f t="array" ref="G838">IFERROR(INDEX(Flights!$E:$E,MATCH(B838,Flights!$A:$A,0)),"")</f>
        <v>Hyderabad</v>
      </c>
      <c r="H838" s="6" t="str">
        <f>VLOOKUP(B838,Flights!A:H,6,FALSE())</f>
        <v>Mumbai</v>
      </c>
      <c r="I838" s="6" t="str">
        <f t="array" ref="I838">IFERROR(INDEX(Bookings!$G:$G,MATCH(B838,Bookings!$B:$B,0)),"")</f>
        <v>2+</v>
      </c>
      <c r="J838" s="5">
        <f>VLOOKUP(B838,Bookings!B:H,7,FALSE())</f>
        <v>16.42</v>
      </c>
      <c r="K838" s="5" t="str">
        <f t="shared" si="1"/>
        <v>Long</v>
      </c>
      <c r="L838" s="11">
        <f t="array" ref="L838">IFERROR(INDEX(Bookings!$K:$K,MATCH(A838,Bookings!$A:$A,0)),"")</f>
        <v>11429</v>
      </c>
      <c r="M838" s="5" t="str">
        <f t="shared" si="2"/>
        <v>Medium</v>
      </c>
      <c r="N838" s="5">
        <f t="array" ref="N838">IFERROR(INDEX(Bookings!$I:$I,MATCH(A838,Bookings!$A:$A,0)),"")</f>
        <v>8</v>
      </c>
      <c r="O838" s="5" t="str">
        <f t="shared" si="3"/>
        <v>Short Notice</v>
      </c>
      <c r="P838" s="5" t="str">
        <f t="shared" si="4"/>
        <v>Hyderabad -&gt; Mumbai</v>
      </c>
    </row>
    <row r="839" ht="15.75" customHeight="1">
      <c r="A839" s="5" t="s">
        <v>2483</v>
      </c>
      <c r="B839" s="5" t="s">
        <v>1823</v>
      </c>
      <c r="C839" s="5" t="s">
        <v>590</v>
      </c>
      <c r="D839" s="5" t="s">
        <v>43</v>
      </c>
      <c r="E839" s="6" t="str">
        <f t="array" ref="E839">IFERROR(INDEX(Airlines!$B:$B,MATCH(D839,Airlines!$A:$A,0)),"")</f>
        <v>Indigo</v>
      </c>
      <c r="F839" s="6" t="str">
        <f>VLOOKUP(A839,Bookings!$A:$F,6,FALSE())</f>
        <v>Economy</v>
      </c>
      <c r="G839" s="6" t="str">
        <f t="array" ref="G839">IFERROR(INDEX(Flights!$E:$E,MATCH(B839,Flights!$A:$A,0)),"")</f>
        <v>Hyderabad</v>
      </c>
      <c r="H839" s="6" t="str">
        <f>VLOOKUP(B839,Flights!A:H,6,FALSE())</f>
        <v>Mumbai</v>
      </c>
      <c r="I839" s="6" t="str">
        <f t="array" ref="I839">IFERROR(INDEX(Bookings!$G:$G,MATCH(B839,Bookings!$B:$B,0)),"")</f>
        <v>1</v>
      </c>
      <c r="J839" s="5">
        <f>VLOOKUP(B839,Bookings!B:H,7,FALSE())</f>
        <v>5</v>
      </c>
      <c r="K839" s="5" t="str">
        <f t="shared" si="1"/>
        <v>Medium</v>
      </c>
      <c r="L839" s="11">
        <f t="array" ref="L839">IFERROR(INDEX(Bookings!$K:$K,MATCH(A839,Bookings!$A:$A,0)),"")</f>
        <v>7085</v>
      </c>
      <c r="M839" s="5" t="str">
        <f t="shared" si="2"/>
        <v>Medium</v>
      </c>
      <c r="N839" s="5">
        <f t="array" ref="N839">IFERROR(INDEX(Bookings!$I:$I,MATCH(A839,Bookings!$A:$A,0)),"")</f>
        <v>40</v>
      </c>
      <c r="O839" s="5" t="str">
        <f t="shared" si="3"/>
        <v>Advance</v>
      </c>
      <c r="P839" s="5" t="str">
        <f t="shared" si="4"/>
        <v>Hyderabad -&gt; Mumbai</v>
      </c>
    </row>
    <row r="840" ht="15.75" customHeight="1">
      <c r="A840" s="5" t="s">
        <v>2484</v>
      </c>
      <c r="B840" s="5" t="s">
        <v>1846</v>
      </c>
      <c r="C840" s="5" t="s">
        <v>590</v>
      </c>
      <c r="D840" s="5" t="s">
        <v>45</v>
      </c>
      <c r="E840" s="6" t="str">
        <f t="array" ref="E840">IFERROR(INDEX(Airlines!$B:$B,MATCH(D840,Airlines!$A:$A,0)),"")</f>
        <v>Air_India</v>
      </c>
      <c r="F840" s="6" t="str">
        <f>VLOOKUP(A840,Bookings!$A:$F,6,FALSE())</f>
        <v>Economy</v>
      </c>
      <c r="G840" s="6" t="str">
        <f t="array" ref="G840">IFERROR(INDEX(Flights!$E:$E,MATCH(B840,Flights!$A:$A,0)),"")</f>
        <v>Hyderabad</v>
      </c>
      <c r="H840" s="6" t="str">
        <f>VLOOKUP(B840,Flights!A:H,6,FALSE())</f>
        <v>Mumbai</v>
      </c>
      <c r="I840" s="6" t="str">
        <f t="array" ref="I840">IFERROR(INDEX(Bookings!$G:$G,MATCH(B840,Bookings!$B:$B,0)),"")</f>
        <v>1</v>
      </c>
      <c r="J840" s="5">
        <f>VLOOKUP(B840,Bookings!B:H,7,FALSE())</f>
        <v>31.25</v>
      </c>
      <c r="K840" s="5" t="str">
        <f t="shared" si="1"/>
        <v>Long</v>
      </c>
      <c r="L840" s="11">
        <f t="array" ref="L840">IFERROR(INDEX(Bookings!$K:$K,MATCH(A840,Bookings!$A:$A,0)),"")</f>
        <v>10937</v>
      </c>
      <c r="M840" s="5" t="str">
        <f t="shared" si="2"/>
        <v>Medium</v>
      </c>
      <c r="N840" s="5">
        <f t="array" ref="N840">IFERROR(INDEX(Bookings!$I:$I,MATCH(A840,Bookings!$A:$A,0)),"")</f>
        <v>13</v>
      </c>
      <c r="O840" s="5" t="str">
        <f t="shared" si="3"/>
        <v>Short Notice</v>
      </c>
      <c r="P840" s="5" t="str">
        <f t="shared" si="4"/>
        <v>Hyderabad -&gt; Mumbai</v>
      </c>
    </row>
    <row r="841" ht="15.75" customHeight="1">
      <c r="A841" s="5" t="s">
        <v>2486</v>
      </c>
      <c r="B841" s="5" t="s">
        <v>1815</v>
      </c>
      <c r="C841" s="5" t="s">
        <v>590</v>
      </c>
      <c r="D841" s="5" t="s">
        <v>29</v>
      </c>
      <c r="E841" s="6" t="str">
        <f t="array" ref="E841">IFERROR(INDEX(Airlines!$B:$B,MATCH(D841,Airlines!$A:$A,0)),"")</f>
        <v>AirAsia</v>
      </c>
      <c r="F841" s="6" t="str">
        <f>VLOOKUP(A841,Bookings!$A:$F,6,FALSE())</f>
        <v>Economy</v>
      </c>
      <c r="G841" s="6" t="str">
        <f t="array" ref="G841">IFERROR(INDEX(Flights!$E:$E,MATCH(B841,Flights!$A:$A,0)),"")</f>
        <v>Hyderabad</v>
      </c>
      <c r="H841" s="6" t="str">
        <f>VLOOKUP(B841,Flights!A:H,6,FALSE())</f>
        <v>Mumbai</v>
      </c>
      <c r="I841" s="6" t="str">
        <f t="array" ref="I841">IFERROR(INDEX(Bookings!$G:$G,MATCH(B841,Bookings!$B:$B,0)),"")</f>
        <v>1</v>
      </c>
      <c r="J841" s="5">
        <f>VLOOKUP(B841,Bookings!B:H,7,FALSE())</f>
        <v>6.25</v>
      </c>
      <c r="K841" s="5" t="str">
        <f t="shared" si="1"/>
        <v>Medium</v>
      </c>
      <c r="L841" s="11">
        <f t="array" ref="L841">IFERROR(INDEX(Bookings!$K:$K,MATCH(A841,Bookings!$A:$A,0)),"")</f>
        <v>2250</v>
      </c>
      <c r="M841" s="5" t="str">
        <f t="shared" si="2"/>
        <v>Low</v>
      </c>
      <c r="N841" s="5">
        <f t="array" ref="N841">IFERROR(INDEX(Bookings!$I:$I,MATCH(A841,Bookings!$A:$A,0)),"")</f>
        <v>33</v>
      </c>
      <c r="O841" s="5" t="str">
        <f t="shared" si="3"/>
        <v>Advance</v>
      </c>
      <c r="P841" s="5" t="str">
        <f t="shared" si="4"/>
        <v>Hyderabad -&gt; Mumbai</v>
      </c>
    </row>
    <row r="842" ht="15.75" customHeight="1">
      <c r="A842" s="5" t="s">
        <v>2488</v>
      </c>
      <c r="B842" s="5" t="s">
        <v>1837</v>
      </c>
      <c r="C842" s="5" t="s">
        <v>590</v>
      </c>
      <c r="D842" s="5" t="s">
        <v>58</v>
      </c>
      <c r="E842" s="6" t="str">
        <f t="array" ref="E842">IFERROR(INDEX(Airlines!$B:$B,MATCH(D842,Airlines!$A:$A,0)),"")</f>
        <v>Go_First</v>
      </c>
      <c r="F842" s="6" t="str">
        <f>VLOOKUP(A842,Bookings!$A:$F,6,FALSE())</f>
        <v>Economy</v>
      </c>
      <c r="G842" s="6" t="str">
        <f t="array" ref="G842">IFERROR(INDEX(Flights!$E:$E,MATCH(B842,Flights!$A:$A,0)),"")</f>
        <v>Hyderabad</v>
      </c>
      <c r="H842" s="6" t="str">
        <f>VLOOKUP(B842,Flights!A:H,6,FALSE())</f>
        <v>Mumbai</v>
      </c>
      <c r="I842" s="6" t="str">
        <f t="array" ref="I842">IFERROR(INDEX(Bookings!$G:$G,MATCH(B842,Bookings!$B:$B,0)),"")</f>
        <v>1</v>
      </c>
      <c r="J842" s="5">
        <f>VLOOKUP(B842,Bookings!B:H,7,FALSE())</f>
        <v>5.67</v>
      </c>
      <c r="K842" s="5" t="str">
        <f t="shared" si="1"/>
        <v>Medium</v>
      </c>
      <c r="L842" s="11">
        <f t="array" ref="L842">IFERROR(INDEX(Bookings!$K:$K,MATCH(A842,Bookings!$A:$A,0)),"")</f>
        <v>4165</v>
      </c>
      <c r="M842" s="5" t="str">
        <f t="shared" si="2"/>
        <v>Low</v>
      </c>
      <c r="N842" s="5">
        <f t="array" ref="N842">IFERROR(INDEX(Bookings!$I:$I,MATCH(A842,Bookings!$A:$A,0)),"")</f>
        <v>26</v>
      </c>
      <c r="O842" s="5" t="str">
        <f t="shared" si="3"/>
        <v>Moderate</v>
      </c>
      <c r="P842" s="5" t="str">
        <f t="shared" si="4"/>
        <v>Hyderabad -&gt; Mumbai</v>
      </c>
    </row>
    <row r="843" ht="15.75" customHeight="1">
      <c r="A843" s="5" t="s">
        <v>2490</v>
      </c>
      <c r="B843" s="5" t="s">
        <v>1825</v>
      </c>
      <c r="C843" s="5" t="s">
        <v>590</v>
      </c>
      <c r="D843" s="5" t="s">
        <v>58</v>
      </c>
      <c r="E843" s="6" t="str">
        <f t="array" ref="E843">IFERROR(INDEX(Airlines!$B:$B,MATCH(D843,Airlines!$A:$A,0)),"")</f>
        <v>Go_First</v>
      </c>
      <c r="F843" s="6" t="str">
        <f>VLOOKUP(A843,Bookings!$A:$F,6,FALSE())</f>
        <v>Economy</v>
      </c>
      <c r="G843" s="6" t="str">
        <f t="array" ref="G843">IFERROR(INDEX(Flights!$E:$E,MATCH(B843,Flights!$A:$A,0)),"")</f>
        <v>Hyderabad</v>
      </c>
      <c r="H843" s="6" t="str">
        <f>VLOOKUP(B843,Flights!A:H,6,FALSE())</f>
        <v>Mumbai</v>
      </c>
      <c r="I843" s="6" t="str">
        <f t="array" ref="I843">IFERROR(INDEX(Bookings!$G:$G,MATCH(B843,Bookings!$B:$B,0)),"")</f>
        <v>1</v>
      </c>
      <c r="J843" s="5">
        <f>VLOOKUP(B843,Bookings!B:H,7,FALSE())</f>
        <v>5.92</v>
      </c>
      <c r="K843" s="5" t="str">
        <f t="shared" si="1"/>
        <v>Medium</v>
      </c>
      <c r="L843" s="11">
        <f t="array" ref="L843">IFERROR(INDEX(Bookings!$K:$K,MATCH(A843,Bookings!$A:$A,0)),"")</f>
        <v>4452</v>
      </c>
      <c r="M843" s="5" t="str">
        <f t="shared" si="2"/>
        <v>Low</v>
      </c>
      <c r="N843" s="5">
        <f t="array" ref="N843">IFERROR(INDEX(Bookings!$I:$I,MATCH(A843,Bookings!$A:$A,0)),"")</f>
        <v>26</v>
      </c>
      <c r="O843" s="5" t="str">
        <f t="shared" si="3"/>
        <v>Moderate</v>
      </c>
      <c r="P843" s="5" t="str">
        <f t="shared" si="4"/>
        <v>Hyderabad -&gt; Mumbai</v>
      </c>
    </row>
    <row r="844" ht="15.75" customHeight="1">
      <c r="A844" s="5" t="s">
        <v>2492</v>
      </c>
      <c r="B844" s="5" t="s">
        <v>1841</v>
      </c>
      <c r="C844" s="5" t="s">
        <v>590</v>
      </c>
      <c r="D844" s="5" t="s">
        <v>20</v>
      </c>
      <c r="E844" s="6" t="str">
        <f t="array" ref="E844">IFERROR(INDEX(Airlines!$B:$B,MATCH(D844,Airlines!$A:$A,0)),"")</f>
        <v>Vistara</v>
      </c>
      <c r="F844" s="6" t="str">
        <f>VLOOKUP(A844,Bookings!$A:$F,6,FALSE())</f>
        <v>Economy</v>
      </c>
      <c r="G844" s="6" t="str">
        <f t="array" ref="G844">IFERROR(INDEX(Flights!$E:$E,MATCH(B844,Flights!$A:$A,0)),"")</f>
        <v>Hyderabad</v>
      </c>
      <c r="H844" s="6" t="str">
        <f>VLOOKUP(B844,Flights!A:H,6,FALSE())</f>
        <v>Mumbai</v>
      </c>
      <c r="I844" s="6" t="str">
        <f t="array" ref="I844">IFERROR(INDEX(Bookings!$G:$G,MATCH(B844,Bookings!$B:$B,0)),"")</f>
        <v>1</v>
      </c>
      <c r="J844" s="5">
        <f>VLOOKUP(B844,Bookings!B:H,7,FALSE())</f>
        <v>26.08</v>
      </c>
      <c r="K844" s="5" t="str">
        <f t="shared" si="1"/>
        <v>Long</v>
      </c>
      <c r="L844" s="11">
        <f t="array" ref="L844">IFERROR(INDEX(Bookings!$K:$K,MATCH(A844,Bookings!$A:$A,0)),"")</f>
        <v>6028</v>
      </c>
      <c r="M844" s="5" t="str">
        <f t="shared" si="2"/>
        <v>Medium</v>
      </c>
      <c r="N844" s="5">
        <f t="array" ref="N844">IFERROR(INDEX(Bookings!$I:$I,MATCH(A844,Bookings!$A:$A,0)),"")</f>
        <v>30</v>
      </c>
      <c r="O844" s="5" t="str">
        <f t="shared" si="3"/>
        <v>Moderate</v>
      </c>
      <c r="P844" s="5" t="str">
        <f t="shared" si="4"/>
        <v>Hyderabad -&gt; Mumbai</v>
      </c>
    </row>
    <row r="845" ht="15.75" customHeight="1">
      <c r="A845" s="5" t="s">
        <v>2493</v>
      </c>
      <c r="B845" s="5" t="s">
        <v>1758</v>
      </c>
      <c r="C845" s="5" t="s">
        <v>590</v>
      </c>
      <c r="D845" s="5" t="s">
        <v>58</v>
      </c>
      <c r="E845" s="6" t="str">
        <f t="array" ref="E845">IFERROR(INDEX(Airlines!$B:$B,MATCH(D845,Airlines!$A:$A,0)),"")</f>
        <v>Go_First</v>
      </c>
      <c r="F845" s="6" t="str">
        <f>VLOOKUP(A845,Bookings!$A:$F,6,FALSE())</f>
        <v>Economy</v>
      </c>
      <c r="G845" s="6" t="str">
        <f t="array" ref="G845">IFERROR(INDEX(Flights!$E:$E,MATCH(B845,Flights!$A:$A,0)),"")</f>
        <v>Hyderabad</v>
      </c>
      <c r="H845" s="6" t="str">
        <f>VLOOKUP(B845,Flights!A:H,6,FALSE())</f>
        <v>Mumbai</v>
      </c>
      <c r="I845" s="6" t="str">
        <f t="array" ref="I845">IFERROR(INDEX(Bookings!$G:$G,MATCH(B845,Bookings!$B:$B,0)),"")</f>
        <v>1</v>
      </c>
      <c r="J845" s="5">
        <f>VLOOKUP(B845,Bookings!B:H,7,FALSE())</f>
        <v>13.33</v>
      </c>
      <c r="K845" s="5" t="str">
        <f t="shared" si="1"/>
        <v>Long</v>
      </c>
      <c r="L845" s="11">
        <f t="array" ref="L845">IFERROR(INDEX(Bookings!$K:$K,MATCH(A845,Bookings!$A:$A,0)),"")</f>
        <v>3645</v>
      </c>
      <c r="M845" s="5" t="str">
        <f t="shared" si="2"/>
        <v>Low</v>
      </c>
      <c r="N845" s="5">
        <f t="array" ref="N845">IFERROR(INDEX(Bookings!$I:$I,MATCH(A845,Bookings!$A:$A,0)),"")</f>
        <v>44</v>
      </c>
      <c r="O845" s="5" t="str">
        <f t="shared" si="3"/>
        <v>Advance</v>
      </c>
      <c r="P845" s="5" t="str">
        <f t="shared" si="4"/>
        <v>Hyderabad -&gt; Mumbai</v>
      </c>
    </row>
    <row r="846" ht="15.75" customHeight="1">
      <c r="A846" s="5" t="s">
        <v>2494</v>
      </c>
      <c r="B846" s="5" t="s">
        <v>1790</v>
      </c>
      <c r="C846" s="5" t="s">
        <v>590</v>
      </c>
      <c r="D846" s="5" t="s">
        <v>45</v>
      </c>
      <c r="E846" s="6" t="str">
        <f t="array" ref="E846">IFERROR(INDEX(Airlines!$B:$B,MATCH(D846,Airlines!$A:$A,0)),"")</f>
        <v>Air_India</v>
      </c>
      <c r="F846" s="6" t="str">
        <f>VLOOKUP(A846,Bookings!$A:$F,6,FALSE())</f>
        <v>Business</v>
      </c>
      <c r="G846" s="6" t="str">
        <f t="array" ref="G846">IFERROR(INDEX(Flights!$E:$E,MATCH(B846,Flights!$A:$A,0)),"")</f>
        <v>Hyderabad</v>
      </c>
      <c r="H846" s="6" t="str">
        <f>VLOOKUP(B846,Flights!A:H,6,FALSE())</f>
        <v>Mumbai</v>
      </c>
      <c r="I846" s="6" t="str">
        <f t="array" ref="I846">IFERROR(INDEX(Bookings!$G:$G,MATCH(B846,Bookings!$B:$B,0)),"")</f>
        <v>1</v>
      </c>
      <c r="J846" s="5">
        <f>VLOOKUP(B846,Bookings!B:H,7,FALSE())</f>
        <v>21.42</v>
      </c>
      <c r="K846" s="5" t="str">
        <f t="shared" si="1"/>
        <v>Long</v>
      </c>
      <c r="L846" s="11">
        <f t="array" ref="L846">IFERROR(INDEX(Bookings!$K:$K,MATCH(A846,Bookings!$A:$A,0)),"")</f>
        <v>45883</v>
      </c>
      <c r="M846" s="5" t="str">
        <f t="shared" si="2"/>
        <v>High</v>
      </c>
      <c r="N846" s="5">
        <f t="array" ref="N846">IFERROR(INDEX(Bookings!$I:$I,MATCH(A846,Bookings!$A:$A,0)),"")</f>
        <v>44</v>
      </c>
      <c r="O846" s="5" t="str">
        <f t="shared" si="3"/>
        <v>Advance</v>
      </c>
      <c r="P846" s="5" t="str">
        <f t="shared" si="4"/>
        <v>Hyderabad -&gt; Mumbai</v>
      </c>
    </row>
    <row r="847" ht="15.75" customHeight="1">
      <c r="A847" s="5" t="s">
        <v>2495</v>
      </c>
      <c r="B847" s="5" t="s">
        <v>1776</v>
      </c>
      <c r="C847" s="5" t="s">
        <v>590</v>
      </c>
      <c r="D847" s="5" t="s">
        <v>43</v>
      </c>
      <c r="E847" s="6" t="str">
        <f t="array" ref="E847">IFERROR(INDEX(Airlines!$B:$B,MATCH(D847,Airlines!$A:$A,0)),"")</f>
        <v>Indigo</v>
      </c>
      <c r="F847" s="6" t="str">
        <f>VLOOKUP(A847,Bookings!$A:$F,6,FALSE())</f>
        <v>Economy</v>
      </c>
      <c r="G847" s="6" t="str">
        <f t="array" ref="G847">IFERROR(INDEX(Flights!$E:$E,MATCH(B847,Flights!$A:$A,0)),"")</f>
        <v>Hyderabad</v>
      </c>
      <c r="H847" s="6" t="str">
        <f>VLOOKUP(B847,Flights!A:H,6,FALSE())</f>
        <v>Mumbai</v>
      </c>
      <c r="I847" s="6" t="str">
        <f t="array" ref="I847">IFERROR(INDEX(Bookings!$G:$G,MATCH(B847,Bookings!$B:$B,0)),"")</f>
        <v>0</v>
      </c>
      <c r="J847" s="5">
        <f>VLOOKUP(B847,Bookings!B:H,7,FALSE())</f>
        <v>1.67</v>
      </c>
      <c r="K847" s="5" t="str">
        <f t="shared" si="1"/>
        <v>Short</v>
      </c>
      <c r="L847" s="11">
        <f t="array" ref="L847">IFERROR(INDEX(Bookings!$K:$K,MATCH(A847,Bookings!$A:$A,0)),"")</f>
        <v>3096</v>
      </c>
      <c r="M847" s="5" t="str">
        <f t="shared" si="2"/>
        <v>Low</v>
      </c>
      <c r="N847" s="5">
        <f t="array" ref="N847">IFERROR(INDEX(Bookings!$I:$I,MATCH(A847,Bookings!$A:$A,0)),"")</f>
        <v>46</v>
      </c>
      <c r="O847" s="5" t="str">
        <f t="shared" si="3"/>
        <v>Advance</v>
      </c>
      <c r="P847" s="5" t="str">
        <f t="shared" si="4"/>
        <v>Hyderabad -&gt; Mumbai</v>
      </c>
    </row>
    <row r="848" ht="15.75" customHeight="1">
      <c r="A848" s="5" t="s">
        <v>2496</v>
      </c>
      <c r="B848" s="5" t="s">
        <v>1807</v>
      </c>
      <c r="C848" s="5" t="s">
        <v>590</v>
      </c>
      <c r="D848" s="5" t="s">
        <v>45</v>
      </c>
      <c r="E848" s="6" t="str">
        <f t="array" ref="E848">IFERROR(INDEX(Airlines!$B:$B,MATCH(D848,Airlines!$A:$A,0)),"")</f>
        <v>Air_India</v>
      </c>
      <c r="F848" s="6" t="str">
        <f>VLOOKUP(A848,Bookings!$A:$F,6,FALSE())</f>
        <v>Economy</v>
      </c>
      <c r="G848" s="6" t="str">
        <f t="array" ref="G848">IFERROR(INDEX(Flights!$E:$E,MATCH(B848,Flights!$A:$A,0)),"")</f>
        <v>Hyderabad</v>
      </c>
      <c r="H848" s="6" t="str">
        <f>VLOOKUP(B848,Flights!A:H,6,FALSE())</f>
        <v>Mumbai</v>
      </c>
      <c r="I848" s="6" t="str">
        <f t="array" ref="I848">IFERROR(INDEX(Bookings!$G:$G,MATCH(B848,Bookings!$B:$B,0)),"")</f>
        <v>1</v>
      </c>
      <c r="J848" s="5">
        <f>VLOOKUP(B848,Bookings!B:H,7,FALSE())</f>
        <v>13.83</v>
      </c>
      <c r="K848" s="5" t="str">
        <f t="shared" si="1"/>
        <v>Long</v>
      </c>
      <c r="L848" s="11">
        <f t="array" ref="L848">IFERROR(INDEX(Bookings!$K:$K,MATCH(A848,Bookings!$A:$A,0)),"")</f>
        <v>3844</v>
      </c>
      <c r="M848" s="5" t="str">
        <f t="shared" si="2"/>
        <v>Low</v>
      </c>
      <c r="N848" s="5">
        <f t="array" ref="N848">IFERROR(INDEX(Bookings!$I:$I,MATCH(A848,Bookings!$A:$A,0)),"")</f>
        <v>45</v>
      </c>
      <c r="O848" s="5" t="str">
        <f t="shared" si="3"/>
        <v>Advance</v>
      </c>
      <c r="P848" s="5" t="str">
        <f t="shared" si="4"/>
        <v>Hyderabad -&gt; Mumbai</v>
      </c>
    </row>
    <row r="849" ht="15.75" customHeight="1">
      <c r="A849" s="5" t="s">
        <v>2497</v>
      </c>
      <c r="B849" s="5" t="s">
        <v>1768</v>
      </c>
      <c r="C849" s="5" t="s">
        <v>590</v>
      </c>
      <c r="D849" s="5" t="s">
        <v>20</v>
      </c>
      <c r="E849" s="6" t="str">
        <f t="array" ref="E849">IFERROR(INDEX(Airlines!$B:$B,MATCH(D849,Airlines!$A:$A,0)),"")</f>
        <v>Vistara</v>
      </c>
      <c r="F849" s="6" t="str">
        <f>VLOOKUP(A849,Bookings!$A:$F,6,FALSE())</f>
        <v>Business</v>
      </c>
      <c r="G849" s="6" t="str">
        <f t="array" ref="G849">IFERROR(INDEX(Flights!$E:$E,MATCH(B849,Flights!$A:$A,0)),"")</f>
        <v>Hyderabad</v>
      </c>
      <c r="H849" s="6" t="str">
        <f>VLOOKUP(B849,Flights!A:H,6,FALSE())</f>
        <v>Mumbai</v>
      </c>
      <c r="I849" s="6" t="str">
        <f t="array" ref="I849">IFERROR(INDEX(Bookings!$G:$G,MATCH(B849,Bookings!$B:$B,0)),"")</f>
        <v>1</v>
      </c>
      <c r="J849" s="5">
        <f>VLOOKUP(B849,Bookings!B:H,7,FALSE())</f>
        <v>6.42</v>
      </c>
      <c r="K849" s="5" t="str">
        <f t="shared" si="1"/>
        <v>Medium</v>
      </c>
      <c r="L849" s="11">
        <f t="array" ref="L849">IFERROR(INDEX(Bookings!$K:$K,MATCH(A849,Bookings!$A:$A,0)),"")</f>
        <v>45995</v>
      </c>
      <c r="M849" s="5" t="str">
        <f t="shared" si="2"/>
        <v>High</v>
      </c>
      <c r="N849" s="5">
        <f t="array" ref="N849">IFERROR(INDEX(Bookings!$I:$I,MATCH(A849,Bookings!$A:$A,0)),"")</f>
        <v>48</v>
      </c>
      <c r="O849" s="5" t="str">
        <f t="shared" si="3"/>
        <v>Advance</v>
      </c>
      <c r="P849" s="5" t="str">
        <f t="shared" si="4"/>
        <v>Hyderabad -&gt; Mumbai</v>
      </c>
    </row>
    <row r="850" ht="15.75" customHeight="1">
      <c r="A850" s="5" t="s">
        <v>2498</v>
      </c>
      <c r="B850" s="5" t="s">
        <v>1756</v>
      </c>
      <c r="C850" s="5" t="s">
        <v>590</v>
      </c>
      <c r="D850" s="5" t="s">
        <v>58</v>
      </c>
      <c r="E850" s="6" t="str">
        <f t="array" ref="E850">IFERROR(INDEX(Airlines!$B:$B,MATCH(D850,Airlines!$A:$A,0)),"")</f>
        <v>Go_First</v>
      </c>
      <c r="F850" s="6" t="str">
        <f>VLOOKUP(A850,Bookings!$A:$F,6,FALSE())</f>
        <v>Economy</v>
      </c>
      <c r="G850" s="6" t="str">
        <f t="array" ref="G850">IFERROR(INDEX(Flights!$E:$E,MATCH(B850,Flights!$A:$A,0)),"")</f>
        <v>Hyderabad</v>
      </c>
      <c r="H850" s="6" t="str">
        <f>VLOOKUP(B850,Flights!A:H,6,FALSE())</f>
        <v>Mumbai</v>
      </c>
      <c r="I850" s="6" t="str">
        <f t="array" ref="I850">IFERROR(INDEX(Bookings!$G:$G,MATCH(B850,Bookings!$B:$B,0)),"")</f>
        <v>1</v>
      </c>
      <c r="J850" s="5">
        <f>VLOOKUP(B850,Bookings!B:H,7,FALSE())</f>
        <v>4.33</v>
      </c>
      <c r="K850" s="5" t="str">
        <f t="shared" si="1"/>
        <v>Medium</v>
      </c>
      <c r="L850" s="11">
        <f t="array" ref="L850">IFERROR(INDEX(Bookings!$K:$K,MATCH(A850,Bookings!$A:$A,0)),"")</f>
        <v>4123</v>
      </c>
      <c r="M850" s="5" t="str">
        <f t="shared" si="2"/>
        <v>Low</v>
      </c>
      <c r="N850" s="5">
        <f t="array" ref="N850">IFERROR(INDEX(Bookings!$I:$I,MATCH(A850,Bookings!$A:$A,0)),"")</f>
        <v>46</v>
      </c>
      <c r="O850" s="5" t="str">
        <f t="shared" si="3"/>
        <v>Advance</v>
      </c>
      <c r="P850" s="5" t="str">
        <f t="shared" si="4"/>
        <v>Hyderabad -&gt; Mumbai</v>
      </c>
    </row>
    <row r="851" ht="15.75" customHeight="1">
      <c r="A851" s="5" t="s">
        <v>2499</v>
      </c>
      <c r="B851" s="5" t="s">
        <v>1830</v>
      </c>
      <c r="C851" s="5" t="s">
        <v>590</v>
      </c>
      <c r="D851" s="5" t="s">
        <v>58</v>
      </c>
      <c r="E851" s="6" t="str">
        <f t="array" ref="E851">IFERROR(INDEX(Airlines!$B:$B,MATCH(D851,Airlines!$A:$A,0)),"")</f>
        <v>Go_First</v>
      </c>
      <c r="F851" s="6" t="str">
        <f>VLOOKUP(A851,Bookings!$A:$F,6,FALSE())</f>
        <v>Economy</v>
      </c>
      <c r="G851" s="6" t="str">
        <f t="array" ref="G851">IFERROR(INDEX(Flights!$E:$E,MATCH(B851,Flights!$A:$A,0)),"")</f>
        <v>Hyderabad</v>
      </c>
      <c r="H851" s="6" t="str">
        <f>VLOOKUP(B851,Flights!A:H,6,FALSE())</f>
        <v>Mumbai</v>
      </c>
      <c r="I851" s="6" t="str">
        <f t="array" ref="I851">IFERROR(INDEX(Bookings!$G:$G,MATCH(B851,Bookings!$B:$B,0)),"")</f>
        <v>1</v>
      </c>
      <c r="J851" s="5">
        <f>VLOOKUP(B851,Bookings!B:H,7,FALSE())</f>
        <v>6.25</v>
      </c>
      <c r="K851" s="5" t="str">
        <f t="shared" si="1"/>
        <v>Medium</v>
      </c>
      <c r="L851" s="11">
        <f t="array" ref="L851">IFERROR(INDEX(Bookings!$K:$K,MATCH(A851,Bookings!$A:$A,0)),"")</f>
        <v>4165</v>
      </c>
      <c r="M851" s="5" t="str">
        <f t="shared" si="2"/>
        <v>Low</v>
      </c>
      <c r="N851" s="5">
        <f t="array" ref="N851">IFERROR(INDEX(Bookings!$I:$I,MATCH(A851,Bookings!$A:$A,0)),"")</f>
        <v>46</v>
      </c>
      <c r="O851" s="5" t="str">
        <f t="shared" si="3"/>
        <v>Advance</v>
      </c>
      <c r="P851" s="5" t="str">
        <f t="shared" si="4"/>
        <v>Hyderabad -&gt; Mumbai</v>
      </c>
    </row>
    <row r="852" ht="15.75" customHeight="1">
      <c r="A852" s="5" t="s">
        <v>2500</v>
      </c>
      <c r="B852" s="5" t="s">
        <v>1761</v>
      </c>
      <c r="C852" s="5" t="s">
        <v>590</v>
      </c>
      <c r="D852" s="5" t="s">
        <v>20</v>
      </c>
      <c r="E852" s="6" t="str">
        <f t="array" ref="E852">IFERROR(INDEX(Airlines!$B:$B,MATCH(D852,Airlines!$A:$A,0)),"")</f>
        <v>Vistara</v>
      </c>
      <c r="F852" s="6" t="str">
        <f>VLOOKUP(A852,Bookings!$A:$F,6,FALSE())</f>
        <v>Economy</v>
      </c>
      <c r="G852" s="6" t="str">
        <f t="array" ref="G852">IFERROR(INDEX(Flights!$E:$E,MATCH(B852,Flights!$A:$A,0)),"")</f>
        <v>Hyderabad</v>
      </c>
      <c r="H852" s="6" t="str">
        <f>VLOOKUP(B852,Flights!A:H,6,FALSE())</f>
        <v>Mumbai</v>
      </c>
      <c r="I852" s="6" t="str">
        <f t="array" ref="I852">IFERROR(INDEX(Bookings!$G:$G,MATCH(B852,Bookings!$B:$B,0)),"")</f>
        <v>1</v>
      </c>
      <c r="J852" s="5">
        <f>VLOOKUP(B852,Bookings!B:H,7,FALSE())</f>
        <v>11.5</v>
      </c>
      <c r="K852" s="5" t="str">
        <f t="shared" si="1"/>
        <v>Long</v>
      </c>
      <c r="L852" s="11">
        <f t="array" ref="L852">IFERROR(INDEX(Bookings!$K:$K,MATCH(A852,Bookings!$A:$A,0)),"")</f>
        <v>6341</v>
      </c>
      <c r="M852" s="5" t="str">
        <f t="shared" si="2"/>
        <v>Medium</v>
      </c>
      <c r="N852" s="5">
        <f t="array" ref="N852">IFERROR(INDEX(Bookings!$I:$I,MATCH(A852,Bookings!$A:$A,0)),"")</f>
        <v>46</v>
      </c>
      <c r="O852" s="5" t="str">
        <f t="shared" si="3"/>
        <v>Advance</v>
      </c>
      <c r="P852" s="5" t="str">
        <f t="shared" si="4"/>
        <v>Hyderabad -&gt; Mumbai</v>
      </c>
    </row>
    <row r="853" ht="15.75" customHeight="1">
      <c r="A853" s="5" t="s">
        <v>2501</v>
      </c>
      <c r="B853" s="5" t="s">
        <v>1785</v>
      </c>
      <c r="C853" s="5" t="s">
        <v>590</v>
      </c>
      <c r="D853" s="5" t="s">
        <v>58</v>
      </c>
      <c r="E853" s="6" t="str">
        <f t="array" ref="E853">IFERROR(INDEX(Airlines!$B:$B,MATCH(D853,Airlines!$A:$A,0)),"")</f>
        <v>Go_First</v>
      </c>
      <c r="F853" s="6" t="str">
        <f>VLOOKUP(A853,Bookings!$A:$F,6,FALSE())</f>
        <v>Economy</v>
      </c>
      <c r="G853" s="6" t="str">
        <f t="array" ref="G853">IFERROR(INDEX(Flights!$E:$E,MATCH(B853,Flights!$A:$A,0)),"")</f>
        <v>Hyderabad</v>
      </c>
      <c r="H853" s="6" t="str">
        <f>VLOOKUP(B853,Flights!A:H,6,FALSE())</f>
        <v>Mumbai</v>
      </c>
      <c r="I853" s="6" t="str">
        <f t="array" ref="I853">IFERROR(INDEX(Bookings!$G:$G,MATCH(B853,Bookings!$B:$B,0)),"")</f>
        <v>1</v>
      </c>
      <c r="J853" s="5">
        <f>VLOOKUP(B853,Bookings!B:H,7,FALSE())</f>
        <v>12.75</v>
      </c>
      <c r="K853" s="5" t="str">
        <f t="shared" si="1"/>
        <v>Long</v>
      </c>
      <c r="L853" s="11">
        <f t="array" ref="L853">IFERROR(INDEX(Bookings!$K:$K,MATCH(A853,Bookings!$A:$A,0)),"")</f>
        <v>3700</v>
      </c>
      <c r="M853" s="5" t="str">
        <f t="shared" si="2"/>
        <v>Low</v>
      </c>
      <c r="N853" s="5">
        <f t="array" ref="N853">IFERROR(INDEX(Bookings!$I:$I,MATCH(A853,Bookings!$A:$A,0)),"")</f>
        <v>47</v>
      </c>
      <c r="O853" s="5" t="str">
        <f t="shared" si="3"/>
        <v>Advance</v>
      </c>
      <c r="P853" s="5" t="str">
        <f t="shared" si="4"/>
        <v>Hyderabad -&gt; Mumbai</v>
      </c>
    </row>
    <row r="854" ht="15.75" customHeight="1">
      <c r="A854" s="5" t="s">
        <v>2502</v>
      </c>
      <c r="B854" s="5" t="s">
        <v>1770</v>
      </c>
      <c r="C854" s="5" t="s">
        <v>590</v>
      </c>
      <c r="D854" s="5" t="s">
        <v>45</v>
      </c>
      <c r="E854" s="6" t="str">
        <f t="array" ref="E854">IFERROR(INDEX(Airlines!$B:$B,MATCH(D854,Airlines!$A:$A,0)),"")</f>
        <v>Air_India</v>
      </c>
      <c r="F854" s="6" t="str">
        <f>VLOOKUP(A854,Bookings!$A:$F,6,FALSE())</f>
        <v>Economy</v>
      </c>
      <c r="G854" s="6" t="str">
        <f t="array" ref="G854">IFERROR(INDEX(Flights!$E:$E,MATCH(B854,Flights!$A:$A,0)),"")</f>
        <v>Hyderabad</v>
      </c>
      <c r="H854" s="6" t="str">
        <f>VLOOKUP(B854,Flights!A:H,6,FALSE())</f>
        <v>Mumbai</v>
      </c>
      <c r="I854" s="6" t="str">
        <f t="array" ref="I854">IFERROR(INDEX(Bookings!$G:$G,MATCH(B854,Bookings!$B:$B,0)),"")</f>
        <v>1</v>
      </c>
      <c r="J854" s="5">
        <f>VLOOKUP(B854,Bookings!B:H,7,FALSE())</f>
        <v>14.58</v>
      </c>
      <c r="K854" s="5" t="str">
        <f t="shared" si="1"/>
        <v>Long</v>
      </c>
      <c r="L854" s="11">
        <f t="array" ref="L854">IFERROR(INDEX(Bookings!$K:$K,MATCH(A854,Bookings!$A:$A,0)),"")</f>
        <v>5041</v>
      </c>
      <c r="M854" s="5" t="str">
        <f t="shared" si="2"/>
        <v>Medium</v>
      </c>
      <c r="N854" s="5" t="str">
        <f t="array" ref="N854">IFERROR(INDEX(Bookings!$I:$I,MATCH(A854,Bookings!$A:$A,0)),"")</f>
        <v/>
      </c>
      <c r="O854" s="5" t="str">
        <f t="shared" si="3"/>
        <v>Last Minute</v>
      </c>
      <c r="P854" s="5" t="str">
        <f t="shared" si="4"/>
        <v>Hyderabad -&gt; Mumbai</v>
      </c>
    </row>
    <row r="855" ht="15.75" customHeight="1">
      <c r="A855" s="5" t="s">
        <v>2505</v>
      </c>
      <c r="B855" s="5" t="s">
        <v>1844</v>
      </c>
      <c r="C855" s="5" t="s">
        <v>590</v>
      </c>
      <c r="D855" s="5" t="s">
        <v>45</v>
      </c>
      <c r="E855" s="6" t="str">
        <f t="array" ref="E855">IFERROR(INDEX(Airlines!$B:$B,MATCH(D855,Airlines!$A:$A,0)),"")</f>
        <v>Air_India</v>
      </c>
      <c r="F855" s="6" t="str">
        <f>VLOOKUP(A855,Bookings!$A:$F,6,FALSE())</f>
        <v>Business</v>
      </c>
      <c r="G855" s="6" t="str">
        <f t="array" ref="G855">IFERROR(INDEX(Flights!$E:$E,MATCH(B855,Flights!$A:$A,0)),"")</f>
        <v>Hyderabad</v>
      </c>
      <c r="H855" s="6" t="str">
        <f>VLOOKUP(B855,Flights!A:H,6,FALSE())</f>
        <v>Mumbai</v>
      </c>
      <c r="I855" s="6" t="str">
        <f t="array" ref="I855">IFERROR(INDEX(Bookings!$G:$G,MATCH(B855,Bookings!$B:$B,0)),"")</f>
        <v>1</v>
      </c>
      <c r="J855" s="5">
        <f>VLOOKUP(B855,Bookings!B:H,7,FALSE())</f>
        <v>23.25</v>
      </c>
      <c r="K855" s="5" t="str">
        <f t="shared" si="1"/>
        <v>Long</v>
      </c>
      <c r="L855" s="11">
        <f t="array" ref="L855">IFERROR(INDEX(Bookings!$K:$K,MATCH(A855,Bookings!$A:$A,0)),"")</f>
        <v>32420</v>
      </c>
      <c r="M855" s="5" t="str">
        <f t="shared" si="2"/>
        <v>High</v>
      </c>
      <c r="N855" s="5">
        <f t="array" ref="N855">IFERROR(INDEX(Bookings!$I:$I,MATCH(A855,Bookings!$A:$A,0)),"")</f>
        <v>49</v>
      </c>
      <c r="O855" s="5" t="str">
        <f t="shared" si="3"/>
        <v>Advance</v>
      </c>
      <c r="P855" s="5" t="str">
        <f t="shared" si="4"/>
        <v>Hyderabad -&gt; Mumbai</v>
      </c>
    </row>
    <row r="856" ht="15.75" customHeight="1">
      <c r="A856" s="5" t="s">
        <v>2508</v>
      </c>
      <c r="B856" s="5" t="s">
        <v>1947</v>
      </c>
      <c r="C856" s="5" t="s">
        <v>616</v>
      </c>
      <c r="D856" s="5" t="s">
        <v>43</v>
      </c>
      <c r="E856" s="6" t="str">
        <f t="array" ref="E856">IFERROR(INDEX(Airlines!$B:$B,MATCH(D856,Airlines!$A:$A,0)),"")</f>
        <v>Indigo</v>
      </c>
      <c r="F856" s="6" t="str">
        <f>VLOOKUP(A856,Bookings!$A:$F,6,FALSE())</f>
        <v>Economy</v>
      </c>
      <c r="G856" s="6" t="str">
        <f t="array" ref="G856">IFERROR(INDEX(Flights!$E:$E,MATCH(B856,Flights!$A:$A,0)),"")</f>
        <v>Hyderabad</v>
      </c>
      <c r="H856" s="6" t="str">
        <f>VLOOKUP(B856,Flights!A:H,6,FALSE())</f>
        <v>Bengaluru</v>
      </c>
      <c r="I856" s="6" t="str">
        <f t="array" ref="I856">IFERROR(INDEX(Bookings!$G:$G,MATCH(B856,Bookings!$B:$B,0)),"")</f>
        <v>0</v>
      </c>
      <c r="J856" s="5">
        <f>VLOOKUP(B856,Bookings!B:H,7,FALSE())</f>
        <v>1.33</v>
      </c>
      <c r="K856" s="5" t="str">
        <f t="shared" si="1"/>
        <v>Short</v>
      </c>
      <c r="L856" s="11">
        <f t="array" ref="L856">IFERROR(INDEX(Bookings!$K:$K,MATCH(A856,Bookings!$A:$A,0)),"")</f>
        <v>2353</v>
      </c>
      <c r="M856" s="5" t="str">
        <f t="shared" si="2"/>
        <v>Low</v>
      </c>
      <c r="N856" s="5">
        <f t="array" ref="N856">IFERROR(INDEX(Bookings!$I:$I,MATCH(A856,Bookings!$A:$A,0)),"")</f>
        <v>38</v>
      </c>
      <c r="O856" s="5" t="str">
        <f t="shared" si="3"/>
        <v>Advance</v>
      </c>
      <c r="P856" s="5" t="str">
        <f t="shared" si="4"/>
        <v>Hyderabad -&gt; Bengaluru</v>
      </c>
    </row>
    <row r="857" ht="15.75" customHeight="1">
      <c r="A857" s="5" t="s">
        <v>2510</v>
      </c>
      <c r="B857" s="5" t="s">
        <v>1901</v>
      </c>
      <c r="C857" s="5" t="s">
        <v>616</v>
      </c>
      <c r="D857" s="5" t="s">
        <v>45</v>
      </c>
      <c r="E857" s="6" t="str">
        <f t="array" ref="E857">IFERROR(INDEX(Airlines!$B:$B,MATCH(D857,Airlines!$A:$A,0)),"")</f>
        <v>Air_India</v>
      </c>
      <c r="F857" s="6" t="str">
        <f>VLOOKUP(A857,Bookings!$A:$F,6,FALSE())</f>
        <v>Economy</v>
      </c>
      <c r="G857" s="6" t="str">
        <f t="array" ref="G857">IFERROR(INDEX(Flights!$E:$E,MATCH(B857,Flights!$A:$A,0)),"")</f>
        <v>Hyderabad</v>
      </c>
      <c r="H857" s="6" t="str">
        <f>VLOOKUP(B857,Flights!A:H,6,FALSE())</f>
        <v>Bengaluru</v>
      </c>
      <c r="I857" s="6" t="str">
        <f t="array" ref="I857">IFERROR(INDEX(Bookings!$G:$G,MATCH(B857,Bookings!$B:$B,0)),"")</f>
        <v>1</v>
      </c>
      <c r="J857" s="5">
        <f>VLOOKUP(B857,Bookings!B:H,7,FALSE())</f>
        <v>9.25</v>
      </c>
      <c r="K857" s="5" t="str">
        <f t="shared" si="1"/>
        <v>Medium</v>
      </c>
      <c r="L857" s="11">
        <f t="array" ref="L857">IFERROR(INDEX(Bookings!$K:$K,MATCH(A857,Bookings!$A:$A,0)),"")</f>
        <v>7551</v>
      </c>
      <c r="M857" s="5" t="str">
        <f t="shared" si="2"/>
        <v>Medium</v>
      </c>
      <c r="N857" s="5">
        <f t="array" ref="N857">IFERROR(INDEX(Bookings!$I:$I,MATCH(A857,Bookings!$A:$A,0)),"")</f>
        <v>29</v>
      </c>
      <c r="O857" s="5" t="str">
        <f t="shared" si="3"/>
        <v>Moderate</v>
      </c>
      <c r="P857" s="5" t="str">
        <f t="shared" si="4"/>
        <v>Hyderabad -&gt; Bengaluru</v>
      </c>
    </row>
    <row r="858" ht="15.75" customHeight="1">
      <c r="A858" s="5" t="s">
        <v>2512</v>
      </c>
      <c r="B858" s="5" t="s">
        <v>1872</v>
      </c>
      <c r="C858" s="5" t="s">
        <v>616</v>
      </c>
      <c r="D858" s="5" t="s">
        <v>45</v>
      </c>
      <c r="E858" s="6" t="str">
        <f t="array" ref="E858">IFERROR(INDEX(Airlines!$B:$B,MATCH(D858,Airlines!$A:$A,0)),"")</f>
        <v>Air_India</v>
      </c>
      <c r="F858" s="6" t="str">
        <f>VLOOKUP(A858,Bookings!$A:$F,6,FALSE())</f>
        <v>Economy</v>
      </c>
      <c r="G858" s="6" t="str">
        <f t="array" ref="G858">IFERROR(INDEX(Flights!$E:$E,MATCH(B858,Flights!$A:$A,0)),"")</f>
        <v>Hyderabad</v>
      </c>
      <c r="H858" s="6" t="str">
        <f>VLOOKUP(B858,Flights!A:H,6,FALSE())</f>
        <v>Bengaluru</v>
      </c>
      <c r="I858" s="6" t="str">
        <f t="array" ref="I858">IFERROR(INDEX(Bookings!$G:$G,MATCH(B858,Bookings!$B:$B,0)),"")</f>
        <v>2+</v>
      </c>
      <c r="J858" s="5">
        <f>VLOOKUP(B858,Bookings!B:H,7,FALSE())</f>
        <v>25.92</v>
      </c>
      <c r="K858" s="5" t="str">
        <f t="shared" si="1"/>
        <v>Long</v>
      </c>
      <c r="L858" s="11">
        <f t="array" ref="L858">IFERROR(INDEX(Bookings!$K:$K,MATCH(A858,Bookings!$A:$A,0)),"")</f>
        <v>13906</v>
      </c>
      <c r="M858" s="5" t="str">
        <f t="shared" si="2"/>
        <v>Medium</v>
      </c>
      <c r="N858" s="5">
        <f t="array" ref="N858">IFERROR(INDEX(Bookings!$I:$I,MATCH(A858,Bookings!$A:$A,0)),"")</f>
        <v>2</v>
      </c>
      <c r="O858" s="5" t="str">
        <f t="shared" si="3"/>
        <v>Last Minute</v>
      </c>
      <c r="P858" s="5" t="str">
        <f t="shared" si="4"/>
        <v>Hyderabad -&gt; Bengaluru</v>
      </c>
    </row>
    <row r="859" ht="15.75" customHeight="1">
      <c r="A859" s="5" t="s">
        <v>2515</v>
      </c>
      <c r="B859" s="5" t="s">
        <v>1936</v>
      </c>
      <c r="C859" s="5" t="s">
        <v>616</v>
      </c>
      <c r="D859" s="5" t="s">
        <v>20</v>
      </c>
      <c r="E859" s="6" t="str">
        <f t="array" ref="E859">IFERROR(INDEX(Airlines!$B:$B,MATCH(D859,Airlines!$A:$A,0)),"")</f>
        <v>Vistara</v>
      </c>
      <c r="F859" s="6" t="str">
        <f>VLOOKUP(A859,Bookings!$A:$F,6,FALSE())</f>
        <v>Economy</v>
      </c>
      <c r="G859" s="6" t="str">
        <f t="array" ref="G859">IFERROR(INDEX(Flights!$E:$E,MATCH(B859,Flights!$A:$A,0)),"")</f>
        <v>Hyderabad</v>
      </c>
      <c r="H859" s="6" t="str">
        <f>VLOOKUP(B859,Flights!A:H,6,FALSE())</f>
        <v>Bengaluru</v>
      </c>
      <c r="I859" s="6" t="str">
        <f t="array" ref="I859">IFERROR(INDEX(Bookings!$G:$G,MATCH(B859,Bookings!$B:$B,0)),"")</f>
        <v>1</v>
      </c>
      <c r="J859" s="5">
        <f>VLOOKUP(B859,Bookings!B:H,7,FALSE())</f>
        <v>29</v>
      </c>
      <c r="K859" s="5" t="str">
        <f t="shared" si="1"/>
        <v>Long</v>
      </c>
      <c r="L859" s="11">
        <f t="array" ref="L859">IFERROR(INDEX(Bookings!$K:$K,MATCH(A859,Bookings!$A:$A,0)),"")</f>
        <v>19573</v>
      </c>
      <c r="M859" s="5" t="str">
        <f t="shared" si="2"/>
        <v>High</v>
      </c>
      <c r="N859" s="5">
        <f t="array" ref="N859">IFERROR(INDEX(Bookings!$I:$I,MATCH(A859,Bookings!$A:$A,0)),"")</f>
        <v>2</v>
      </c>
      <c r="O859" s="5" t="str">
        <f t="shared" si="3"/>
        <v>Last Minute</v>
      </c>
      <c r="P859" s="5" t="str">
        <f t="shared" si="4"/>
        <v>Hyderabad -&gt; Bengaluru</v>
      </c>
    </row>
    <row r="860" ht="15.75" customHeight="1">
      <c r="A860" s="5" t="s">
        <v>2518</v>
      </c>
      <c r="B860" s="5" t="s">
        <v>1856</v>
      </c>
      <c r="C860" s="5" t="s">
        <v>616</v>
      </c>
      <c r="D860" s="5" t="s">
        <v>20</v>
      </c>
      <c r="E860" s="6" t="str">
        <f t="array" ref="E860">IFERROR(INDEX(Airlines!$B:$B,MATCH(D860,Airlines!$A:$A,0)),"")</f>
        <v>Vistara</v>
      </c>
      <c r="F860" s="6" t="str">
        <f>VLOOKUP(A860,Bookings!$A:$F,6,FALSE())</f>
        <v>Business</v>
      </c>
      <c r="G860" s="6" t="str">
        <f t="array" ref="G860">IFERROR(INDEX(Flights!$E:$E,MATCH(B860,Flights!$A:$A,0)),"")</f>
        <v>Hyderabad</v>
      </c>
      <c r="H860" s="6" t="str">
        <f>VLOOKUP(B860,Flights!A:H,6,FALSE())</f>
        <v>Bengaluru</v>
      </c>
      <c r="I860" s="6" t="str">
        <f t="array" ref="I860">IFERROR(INDEX(Bookings!$G:$G,MATCH(B860,Bookings!$B:$B,0)),"")</f>
        <v>1</v>
      </c>
      <c r="J860" s="5">
        <f>VLOOKUP(B860,Bookings!B:H,7,FALSE())</f>
        <v>26.75</v>
      </c>
      <c r="K860" s="5" t="str">
        <f t="shared" si="1"/>
        <v>Long</v>
      </c>
      <c r="L860" s="11">
        <f t="array" ref="L860">IFERROR(INDEX(Bookings!$K:$K,MATCH(A860,Bookings!$A:$A,0)),"")</f>
        <v>63277</v>
      </c>
      <c r="M860" s="5" t="str">
        <f t="shared" si="2"/>
        <v>High</v>
      </c>
      <c r="N860" s="5">
        <f t="array" ref="N860">IFERROR(INDEX(Bookings!$I:$I,MATCH(A860,Bookings!$A:$A,0)),"")</f>
        <v>48</v>
      </c>
      <c r="O860" s="5" t="str">
        <f t="shared" si="3"/>
        <v>Advance</v>
      </c>
      <c r="P860" s="5" t="str">
        <f t="shared" si="4"/>
        <v>Hyderabad -&gt; Bengaluru</v>
      </c>
    </row>
    <row r="861" ht="15.75" customHeight="1">
      <c r="A861" s="5" t="s">
        <v>2520</v>
      </c>
      <c r="B861" s="5" t="s">
        <v>1907</v>
      </c>
      <c r="C861" s="5" t="s">
        <v>616</v>
      </c>
      <c r="D861" s="5" t="s">
        <v>45</v>
      </c>
      <c r="E861" s="6" t="str">
        <f t="array" ref="E861">IFERROR(INDEX(Airlines!$B:$B,MATCH(D861,Airlines!$A:$A,0)),"")</f>
        <v>Air_India</v>
      </c>
      <c r="F861" s="6" t="str">
        <f>VLOOKUP(A861,Bookings!$A:$F,6,FALSE())</f>
        <v>Economy</v>
      </c>
      <c r="G861" s="6" t="str">
        <f t="array" ref="G861">IFERROR(INDEX(Flights!$E:$E,MATCH(B861,Flights!$A:$A,0)),"")</f>
        <v>Hyderabad</v>
      </c>
      <c r="H861" s="6" t="str">
        <f>VLOOKUP(B861,Flights!A:H,6,FALSE())</f>
        <v>Bengaluru</v>
      </c>
      <c r="I861" s="6" t="str">
        <f t="array" ref="I861">IFERROR(INDEX(Bookings!$G:$G,MATCH(B861,Bookings!$B:$B,0)),"")</f>
        <v>1</v>
      </c>
      <c r="J861" s="5">
        <f>VLOOKUP(B861,Bookings!B:H,7,FALSE())</f>
        <v>27.33</v>
      </c>
      <c r="K861" s="5" t="str">
        <f t="shared" si="1"/>
        <v>Long</v>
      </c>
      <c r="L861" s="11">
        <f t="array" ref="L861">IFERROR(INDEX(Bookings!$K:$K,MATCH(A861,Bookings!$A:$A,0)),"")</f>
        <v>13588</v>
      </c>
      <c r="M861" s="5" t="str">
        <f t="shared" si="2"/>
        <v>Medium</v>
      </c>
      <c r="N861" s="5">
        <f t="array" ref="N861">IFERROR(INDEX(Bookings!$I:$I,MATCH(A861,Bookings!$A:$A,0)),"")</f>
        <v>3</v>
      </c>
      <c r="O861" s="5" t="str">
        <f t="shared" si="3"/>
        <v>Last Minute</v>
      </c>
      <c r="P861" s="5" t="str">
        <f t="shared" si="4"/>
        <v>Hyderabad -&gt; Bengaluru</v>
      </c>
    </row>
    <row r="862" ht="15.75" customHeight="1">
      <c r="A862" s="5" t="s">
        <v>2522</v>
      </c>
      <c r="B862" s="5" t="s">
        <v>1957</v>
      </c>
      <c r="C862" s="5" t="s">
        <v>616</v>
      </c>
      <c r="D862" s="5" t="s">
        <v>45</v>
      </c>
      <c r="E862" s="6" t="str">
        <f t="array" ref="E862">IFERROR(INDEX(Airlines!$B:$B,MATCH(D862,Airlines!$A:$A,0)),"")</f>
        <v>Air_India</v>
      </c>
      <c r="F862" s="6" t="str">
        <f>VLOOKUP(A862,Bookings!$A:$F,6,FALSE())</f>
        <v>Economy</v>
      </c>
      <c r="G862" s="6" t="str">
        <f t="array" ref="G862">IFERROR(INDEX(Flights!$E:$E,MATCH(B862,Flights!$A:$A,0)),"")</f>
        <v>Hyderabad</v>
      </c>
      <c r="H862" s="6" t="str">
        <f>VLOOKUP(B862,Flights!A:H,6,FALSE())</f>
        <v>Bengaluru</v>
      </c>
      <c r="I862" s="6" t="str">
        <f t="array" ref="I862">IFERROR(INDEX(Bookings!$G:$G,MATCH(B862,Bookings!$B:$B,0)),"")</f>
        <v>2+</v>
      </c>
      <c r="J862" s="5">
        <f>VLOOKUP(B862,Bookings!B:H,7,FALSE())</f>
        <v>8.75</v>
      </c>
      <c r="K862" s="5" t="str">
        <f t="shared" si="1"/>
        <v>Medium</v>
      </c>
      <c r="L862" s="11">
        <f t="array" ref="L862">IFERROR(INDEX(Bookings!$K:$K,MATCH(A862,Bookings!$A:$A,0)),"")</f>
        <v>24928</v>
      </c>
      <c r="M862" s="5" t="str">
        <f t="shared" si="2"/>
        <v>High</v>
      </c>
      <c r="N862" s="5">
        <f t="array" ref="N862">IFERROR(INDEX(Bookings!$I:$I,MATCH(A862,Bookings!$A:$A,0)),"")</f>
        <v>3</v>
      </c>
      <c r="O862" s="5" t="str">
        <f t="shared" si="3"/>
        <v>Last Minute</v>
      </c>
      <c r="P862" s="5" t="str">
        <f t="shared" si="4"/>
        <v>Hyderabad -&gt; Bengaluru</v>
      </c>
    </row>
    <row r="863" ht="15.75" customHeight="1">
      <c r="A863" s="5" t="s">
        <v>2525</v>
      </c>
      <c r="B863" s="5" t="s">
        <v>1945</v>
      </c>
      <c r="C863" s="5" t="s">
        <v>616</v>
      </c>
      <c r="D863" s="5" t="s">
        <v>45</v>
      </c>
      <c r="E863" s="6" t="str">
        <f t="array" ref="E863">IFERROR(INDEX(Airlines!$B:$B,MATCH(D863,Airlines!$A:$A,0)),"")</f>
        <v>Air_India</v>
      </c>
      <c r="F863" s="6" t="str">
        <f>VLOOKUP(A863,Bookings!$A:$F,6,FALSE())</f>
        <v>Economy</v>
      </c>
      <c r="G863" s="6" t="str">
        <f t="array" ref="G863">IFERROR(INDEX(Flights!$E:$E,MATCH(B863,Flights!$A:$A,0)),"")</f>
        <v>Hyderabad</v>
      </c>
      <c r="H863" s="6" t="str">
        <f>VLOOKUP(B863,Flights!A:H,6,FALSE())</f>
        <v>Bengaluru</v>
      </c>
      <c r="I863" s="6" t="str">
        <f t="array" ref="I863">IFERROR(INDEX(Bookings!$G:$G,MATCH(B863,Bookings!$B:$B,0)),"")</f>
        <v>0</v>
      </c>
      <c r="J863" s="5">
        <f>VLOOKUP(B863,Bookings!B:H,7,FALSE())</f>
        <v>1.17</v>
      </c>
      <c r="K863" s="5" t="str">
        <f t="shared" si="1"/>
        <v>Short</v>
      </c>
      <c r="L863" s="11">
        <f t="array" ref="L863">IFERROR(INDEX(Bookings!$K:$K,MATCH(A863,Bookings!$A:$A,0)),"")</f>
        <v>2080</v>
      </c>
      <c r="M863" s="5" t="str">
        <f t="shared" si="2"/>
        <v>Low</v>
      </c>
      <c r="N863" s="5">
        <f t="array" ref="N863">IFERROR(INDEX(Bookings!$I:$I,MATCH(A863,Bookings!$A:$A,0)),"")</f>
        <v>32</v>
      </c>
      <c r="O863" s="5" t="str">
        <f t="shared" si="3"/>
        <v>Advance</v>
      </c>
      <c r="P863" s="5" t="str">
        <f t="shared" si="4"/>
        <v>Hyderabad -&gt; Bengaluru</v>
      </c>
    </row>
    <row r="864" ht="15.75" customHeight="1">
      <c r="A864" s="5" t="s">
        <v>2527</v>
      </c>
      <c r="B864" s="5" t="s">
        <v>1919</v>
      </c>
      <c r="C864" s="5" t="s">
        <v>616</v>
      </c>
      <c r="D864" s="5" t="s">
        <v>45</v>
      </c>
      <c r="E864" s="6" t="str">
        <f t="array" ref="E864">IFERROR(INDEX(Airlines!$B:$B,MATCH(D864,Airlines!$A:$A,0)),"")</f>
        <v>Air_India</v>
      </c>
      <c r="F864" s="6" t="str">
        <f>VLOOKUP(A864,Bookings!$A:$F,6,FALSE())</f>
        <v>Economy</v>
      </c>
      <c r="G864" s="6" t="str">
        <f t="array" ref="G864">IFERROR(INDEX(Flights!$E:$E,MATCH(B864,Flights!$A:$A,0)),"")</f>
        <v>Hyderabad</v>
      </c>
      <c r="H864" s="6" t="str">
        <f>VLOOKUP(B864,Flights!A:H,6,FALSE())</f>
        <v>Bengaluru</v>
      </c>
      <c r="I864" s="6" t="str">
        <f t="array" ref="I864">IFERROR(INDEX(Bookings!$G:$G,MATCH(B864,Bookings!$B:$B,0)),"")</f>
        <v>1</v>
      </c>
      <c r="J864" s="5">
        <f>VLOOKUP(B864,Bookings!B:H,7,FALSE())</f>
        <v>18.92</v>
      </c>
      <c r="K864" s="5" t="str">
        <f t="shared" si="1"/>
        <v>Long</v>
      </c>
      <c r="L864" s="11">
        <f t="array" ref="L864">IFERROR(INDEX(Bookings!$K:$K,MATCH(A864,Bookings!$A:$A,0)),"")</f>
        <v>8381</v>
      </c>
      <c r="M864" s="5" t="str">
        <f t="shared" si="2"/>
        <v>Medium</v>
      </c>
      <c r="N864" s="5">
        <f t="array" ref="N864">IFERROR(INDEX(Bookings!$I:$I,MATCH(A864,Bookings!$A:$A,0)),"")</f>
        <v>4</v>
      </c>
      <c r="O864" s="5" t="str">
        <f t="shared" si="3"/>
        <v>Last Minute</v>
      </c>
      <c r="P864" s="5" t="str">
        <f t="shared" si="4"/>
        <v>Hyderabad -&gt; Bengaluru</v>
      </c>
    </row>
    <row r="865" ht="15.75" customHeight="1">
      <c r="A865" s="5" t="s">
        <v>2529</v>
      </c>
      <c r="B865" s="5" t="s">
        <v>1938</v>
      </c>
      <c r="C865" s="5" t="s">
        <v>616</v>
      </c>
      <c r="D865" s="5" t="s">
        <v>45</v>
      </c>
      <c r="E865" s="6" t="str">
        <f t="array" ref="E865">IFERROR(INDEX(Airlines!$B:$B,MATCH(D865,Airlines!$A:$A,0)),"")</f>
        <v>Air_India</v>
      </c>
      <c r="F865" s="6" t="str">
        <f>VLOOKUP(A865,Bookings!$A:$F,6,FALSE())</f>
        <v>Economy</v>
      </c>
      <c r="G865" s="6" t="str">
        <f t="array" ref="G865">IFERROR(INDEX(Flights!$E:$E,MATCH(B865,Flights!$A:$A,0)),"")</f>
        <v>Hyderabad</v>
      </c>
      <c r="H865" s="6" t="str">
        <f>VLOOKUP(B865,Flights!A:H,6,FALSE())</f>
        <v>Bengaluru</v>
      </c>
      <c r="I865" s="6" t="str">
        <f t="array" ref="I865">IFERROR(INDEX(Bookings!$G:$G,MATCH(B865,Bookings!$B:$B,0)),"")</f>
        <v>1</v>
      </c>
      <c r="J865" s="5">
        <f>VLOOKUP(B865,Bookings!B:H,7,FALSE())</f>
        <v>19.92</v>
      </c>
      <c r="K865" s="5" t="str">
        <f t="shared" si="1"/>
        <v>Long</v>
      </c>
      <c r="L865" s="11">
        <f t="array" ref="L865">IFERROR(INDEX(Bookings!$K:$K,MATCH(A865,Bookings!$A:$A,0)),"")</f>
        <v>13168</v>
      </c>
      <c r="M865" s="5" t="str">
        <f t="shared" si="2"/>
        <v>Medium</v>
      </c>
      <c r="N865" s="5">
        <f t="array" ref="N865">IFERROR(INDEX(Bookings!$I:$I,MATCH(A865,Bookings!$A:$A,0)),"")</f>
        <v>4</v>
      </c>
      <c r="O865" s="5" t="str">
        <f t="shared" si="3"/>
        <v>Last Minute</v>
      </c>
      <c r="P865" s="5" t="str">
        <f t="shared" si="4"/>
        <v>Hyderabad -&gt; Bengaluru</v>
      </c>
    </row>
    <row r="866" ht="15.75" customHeight="1">
      <c r="A866" s="5" t="s">
        <v>2530</v>
      </c>
      <c r="B866" s="5" t="s">
        <v>1921</v>
      </c>
      <c r="C866" s="5" t="s">
        <v>616</v>
      </c>
      <c r="D866" s="5" t="s">
        <v>45</v>
      </c>
      <c r="E866" s="6" t="str">
        <f t="array" ref="E866">IFERROR(INDEX(Airlines!$B:$B,MATCH(D866,Airlines!$A:$A,0)),"")</f>
        <v>Air_India</v>
      </c>
      <c r="F866" s="6" t="str">
        <f>VLOOKUP(A866,Bookings!$A:$F,6,FALSE())</f>
        <v>Economy</v>
      </c>
      <c r="G866" s="6" t="str">
        <f t="array" ref="G866">IFERROR(INDEX(Flights!$E:$E,MATCH(B866,Flights!$A:$A,0)),"")</f>
        <v>Hyderabad</v>
      </c>
      <c r="H866" s="6" t="str">
        <f>VLOOKUP(B866,Flights!A:H,6,FALSE())</f>
        <v>Bengaluru</v>
      </c>
      <c r="I866" s="6" t="str">
        <f t="array" ref="I866">IFERROR(INDEX(Bookings!$G:$G,MATCH(B866,Bookings!$B:$B,0)),"")</f>
        <v>2+</v>
      </c>
      <c r="J866" s="5">
        <f>VLOOKUP(B866,Bookings!B:H,7,FALSE())</f>
        <v>15.42</v>
      </c>
      <c r="K866" s="5" t="str">
        <f t="shared" si="1"/>
        <v>Long</v>
      </c>
      <c r="L866" s="11">
        <f t="array" ref="L866">IFERROR(INDEX(Bookings!$K:$K,MATCH(A866,Bookings!$A:$A,0)),"")</f>
        <v>14008</v>
      </c>
      <c r="M866" s="5" t="str">
        <f t="shared" si="2"/>
        <v>Medium</v>
      </c>
      <c r="N866" s="5">
        <f t="array" ref="N866">IFERROR(INDEX(Bookings!$I:$I,MATCH(A866,Bookings!$A:$A,0)),"")</f>
        <v>4</v>
      </c>
      <c r="O866" s="5" t="str">
        <f t="shared" si="3"/>
        <v>Last Minute</v>
      </c>
      <c r="P866" s="5" t="str">
        <f t="shared" si="4"/>
        <v>Hyderabad -&gt; Bengaluru</v>
      </c>
    </row>
    <row r="867" ht="15.75" customHeight="1">
      <c r="A867" s="5" t="s">
        <v>2531</v>
      </c>
      <c r="B867" s="5" t="s">
        <v>1887</v>
      </c>
      <c r="C867" s="5" t="s">
        <v>616</v>
      </c>
      <c r="D867" s="5" t="s">
        <v>45</v>
      </c>
      <c r="E867" s="6" t="str">
        <f t="array" ref="E867">IFERROR(INDEX(Airlines!$B:$B,MATCH(D867,Airlines!$A:$A,0)),"")</f>
        <v>Air_India</v>
      </c>
      <c r="F867" s="6" t="str">
        <f>VLOOKUP(A867,Bookings!$A:$F,6,FALSE())</f>
        <v>Economy</v>
      </c>
      <c r="G867" s="6" t="str">
        <f t="array" ref="G867">IFERROR(INDEX(Flights!$E:$E,MATCH(B867,Flights!$A:$A,0)),"")</f>
        <v>Hyderabad</v>
      </c>
      <c r="H867" s="6" t="str">
        <f>VLOOKUP(B867,Flights!A:H,6,FALSE())</f>
        <v>Bengaluru</v>
      </c>
      <c r="I867" s="6" t="str">
        <f t="array" ref="I867">IFERROR(INDEX(Bookings!$G:$G,MATCH(B867,Bookings!$B:$B,0)),"")</f>
        <v>2+</v>
      </c>
      <c r="J867" s="5">
        <f>VLOOKUP(B867,Bookings!B:H,7,FALSE())</f>
        <v>23.25</v>
      </c>
      <c r="K867" s="5" t="str">
        <f t="shared" si="1"/>
        <v>Long</v>
      </c>
      <c r="L867" s="11">
        <f t="array" ref="L867">IFERROR(INDEX(Bookings!$K:$K,MATCH(A867,Bookings!$A:$A,0)),"")</f>
        <v>13168</v>
      </c>
      <c r="M867" s="5" t="str">
        <f t="shared" si="2"/>
        <v>Medium</v>
      </c>
      <c r="N867" s="5">
        <f t="array" ref="N867">IFERROR(INDEX(Bookings!$I:$I,MATCH(A867,Bookings!$A:$A,0)),"")</f>
        <v>5</v>
      </c>
      <c r="O867" s="5" t="str">
        <f t="shared" si="3"/>
        <v>Last Minute</v>
      </c>
      <c r="P867" s="5" t="str">
        <f t="shared" si="4"/>
        <v>Hyderabad -&gt; Bengaluru</v>
      </c>
    </row>
    <row r="868" ht="15.75" customHeight="1">
      <c r="A868" s="5" t="s">
        <v>2533</v>
      </c>
      <c r="B868" s="5" t="s">
        <v>1955</v>
      </c>
      <c r="C868" s="5" t="s">
        <v>616</v>
      </c>
      <c r="D868" s="5" t="s">
        <v>20</v>
      </c>
      <c r="E868" s="6" t="str">
        <f t="array" ref="E868">IFERROR(INDEX(Airlines!$B:$B,MATCH(D868,Airlines!$A:$A,0)),"")</f>
        <v>Vistara</v>
      </c>
      <c r="F868" s="6" t="str">
        <f>VLOOKUP(A868,Bookings!$A:$F,6,FALSE())</f>
        <v>Economy</v>
      </c>
      <c r="G868" s="6" t="str">
        <f t="array" ref="G868">IFERROR(INDEX(Flights!$E:$E,MATCH(B868,Flights!$A:$A,0)),"")</f>
        <v>Hyderabad</v>
      </c>
      <c r="H868" s="6" t="str">
        <f>VLOOKUP(B868,Flights!A:H,6,FALSE())</f>
        <v>Bengaluru</v>
      </c>
      <c r="I868" s="6" t="str">
        <f t="array" ref="I868">IFERROR(INDEX(Bookings!$G:$G,MATCH(B868,Bookings!$B:$B,0)),"")</f>
        <v>1</v>
      </c>
      <c r="J868" s="5">
        <f>VLOOKUP(B868,Bookings!B:H,7,FALSE())</f>
        <v>14.25</v>
      </c>
      <c r="K868" s="5" t="str">
        <f t="shared" si="1"/>
        <v>Long</v>
      </c>
      <c r="L868" s="11">
        <f t="array" ref="L868">IFERROR(INDEX(Bookings!$K:$K,MATCH(A868,Bookings!$A:$A,0)),"")</f>
        <v>15204</v>
      </c>
      <c r="M868" s="5" t="str">
        <f t="shared" si="2"/>
        <v>Medium</v>
      </c>
      <c r="N868" s="5">
        <f t="array" ref="N868">IFERROR(INDEX(Bookings!$I:$I,MATCH(A868,Bookings!$A:$A,0)),"")</f>
        <v>4</v>
      </c>
      <c r="O868" s="5" t="str">
        <f t="shared" si="3"/>
        <v>Last Minute</v>
      </c>
      <c r="P868" s="5" t="str">
        <f t="shared" si="4"/>
        <v>Hyderabad -&gt; Bengaluru</v>
      </c>
    </row>
    <row r="869" ht="15.75" customHeight="1">
      <c r="A869" s="5" t="s">
        <v>2535</v>
      </c>
      <c r="B869" s="5" t="s">
        <v>1853</v>
      </c>
      <c r="C869" s="5" t="s">
        <v>616</v>
      </c>
      <c r="D869" s="5" t="s">
        <v>20</v>
      </c>
      <c r="E869" s="6" t="str">
        <f t="array" ref="E869">IFERROR(INDEX(Airlines!$B:$B,MATCH(D869,Airlines!$A:$A,0)),"")</f>
        <v>Vistara</v>
      </c>
      <c r="F869" s="6" t="str">
        <f>VLOOKUP(A869,Bookings!$A:$F,6,FALSE())</f>
        <v>Economy</v>
      </c>
      <c r="G869" s="6" t="str">
        <f t="array" ref="G869">IFERROR(INDEX(Flights!$E:$E,MATCH(B869,Flights!$A:$A,0)),"")</f>
        <v>Hyderabad</v>
      </c>
      <c r="H869" s="6" t="str">
        <f>VLOOKUP(B869,Flights!A:H,6,FALSE())</f>
        <v>Bengaluru</v>
      </c>
      <c r="I869" s="6" t="str">
        <f t="array" ref="I869">IFERROR(INDEX(Bookings!$G:$G,MATCH(B869,Bookings!$B:$B,0)),"")</f>
        <v>1</v>
      </c>
      <c r="J869" s="5">
        <f>VLOOKUP(B869,Bookings!B:H,7,FALSE())</f>
        <v>18.42</v>
      </c>
      <c r="K869" s="5" t="str">
        <f t="shared" si="1"/>
        <v>Long</v>
      </c>
      <c r="L869" s="11">
        <f t="array" ref="L869">IFERROR(INDEX(Bookings!$K:$K,MATCH(A869,Bookings!$A:$A,0)),"")</f>
        <v>12663</v>
      </c>
      <c r="M869" s="5" t="str">
        <f t="shared" si="2"/>
        <v>Medium</v>
      </c>
      <c r="N869" s="5">
        <f t="array" ref="N869">IFERROR(INDEX(Bookings!$I:$I,MATCH(A869,Bookings!$A:$A,0)),"")</f>
        <v>9</v>
      </c>
      <c r="O869" s="5" t="str">
        <f t="shared" si="3"/>
        <v>Short Notice</v>
      </c>
      <c r="P869" s="5" t="str">
        <f t="shared" si="4"/>
        <v>Hyderabad -&gt; Bengaluru</v>
      </c>
    </row>
    <row r="870" ht="15.75" customHeight="1">
      <c r="A870" s="5" t="s">
        <v>2536</v>
      </c>
      <c r="B870" s="5" t="s">
        <v>1850</v>
      </c>
      <c r="C870" s="5" t="s">
        <v>616</v>
      </c>
      <c r="D870" s="5" t="s">
        <v>45</v>
      </c>
      <c r="E870" s="6" t="str">
        <f t="array" ref="E870">IFERROR(INDEX(Airlines!$B:$B,MATCH(D870,Airlines!$A:$A,0)),"")</f>
        <v>Air_India</v>
      </c>
      <c r="F870" s="6" t="str">
        <f>VLOOKUP(A870,Bookings!$A:$F,6,FALSE())</f>
        <v>Business</v>
      </c>
      <c r="G870" s="6" t="str">
        <f t="array" ref="G870">IFERROR(INDEX(Flights!$E:$E,MATCH(B870,Flights!$A:$A,0)),"")</f>
        <v>Hyderabad</v>
      </c>
      <c r="H870" s="6" t="str">
        <f>VLOOKUP(B870,Flights!A:H,6,FALSE())</f>
        <v>Bengaluru</v>
      </c>
      <c r="I870" s="6" t="str">
        <f t="array" ref="I870">IFERROR(INDEX(Bookings!$G:$G,MATCH(B870,Bookings!$B:$B,0)),"")</f>
        <v>1</v>
      </c>
      <c r="J870" s="5">
        <f>VLOOKUP(B870,Bookings!B:H,7,FALSE())</f>
        <v>14.83</v>
      </c>
      <c r="K870" s="5" t="str">
        <f t="shared" si="1"/>
        <v>Long</v>
      </c>
      <c r="L870" s="11">
        <f t="array" ref="L870">IFERROR(INDEX(Bookings!$K:$K,MATCH(A870,Bookings!$A:$A,0)),"")</f>
        <v>44546</v>
      </c>
      <c r="M870" s="5" t="str">
        <f t="shared" si="2"/>
        <v>High</v>
      </c>
      <c r="N870" s="5">
        <f t="array" ref="N870">IFERROR(INDEX(Bookings!$I:$I,MATCH(A870,Bookings!$A:$A,0)),"")</f>
        <v>44</v>
      </c>
      <c r="O870" s="5" t="str">
        <f t="shared" si="3"/>
        <v>Advance</v>
      </c>
      <c r="P870" s="5" t="str">
        <f t="shared" si="4"/>
        <v>Hyderabad -&gt; Bengaluru</v>
      </c>
    </row>
    <row r="871" ht="15.75" customHeight="1">
      <c r="A871" s="5" t="s">
        <v>2537</v>
      </c>
      <c r="B871" s="5" t="s">
        <v>1892</v>
      </c>
      <c r="C871" s="5" t="s">
        <v>616</v>
      </c>
      <c r="D871" s="5" t="s">
        <v>20</v>
      </c>
      <c r="E871" s="6" t="str">
        <f t="array" ref="E871">IFERROR(INDEX(Airlines!$B:$B,MATCH(D871,Airlines!$A:$A,0)),"")</f>
        <v>Vistara</v>
      </c>
      <c r="F871" s="6" t="str">
        <f>VLOOKUP(A871,Bookings!$A:$F,6,FALSE())</f>
        <v>Economy</v>
      </c>
      <c r="G871" s="6" t="str">
        <f t="array" ref="G871">IFERROR(INDEX(Flights!$E:$E,MATCH(B871,Flights!$A:$A,0)),"")</f>
        <v>Hyderabad</v>
      </c>
      <c r="H871" s="6" t="str">
        <f>VLOOKUP(B871,Flights!A:H,6,FALSE())</f>
        <v>Bengaluru</v>
      </c>
      <c r="I871" s="6" t="str">
        <f t="array" ref="I871">IFERROR(INDEX(Bookings!$G:$G,MATCH(B871,Bookings!$B:$B,0)),"")</f>
        <v>0</v>
      </c>
      <c r="J871" s="5">
        <f>VLOOKUP(B871,Bookings!B:H,7,FALSE())</f>
        <v>1.17</v>
      </c>
      <c r="K871" s="5" t="str">
        <f t="shared" si="1"/>
        <v>Short</v>
      </c>
      <c r="L871" s="11">
        <f t="array" ref="L871">IFERROR(INDEX(Bookings!$K:$K,MATCH(A871,Bookings!$A:$A,0)),"")</f>
        <v>1776</v>
      </c>
      <c r="M871" s="5" t="str">
        <f t="shared" si="2"/>
        <v>Low</v>
      </c>
      <c r="N871" s="5">
        <f t="array" ref="N871">IFERROR(INDEX(Bookings!$I:$I,MATCH(A871,Bookings!$A:$A,0)),"")</f>
        <v>44</v>
      </c>
      <c r="O871" s="5" t="str">
        <f t="shared" si="3"/>
        <v>Advance</v>
      </c>
      <c r="P871" s="5" t="str">
        <f t="shared" si="4"/>
        <v>Hyderabad -&gt; Bengaluru</v>
      </c>
    </row>
    <row r="872" ht="15.75" customHeight="1">
      <c r="A872" s="5" t="s">
        <v>2538</v>
      </c>
      <c r="B872" s="5" t="s">
        <v>1913</v>
      </c>
      <c r="C872" s="5" t="s">
        <v>616</v>
      </c>
      <c r="D872" s="5" t="s">
        <v>58</v>
      </c>
      <c r="E872" s="6" t="str">
        <f t="array" ref="E872">IFERROR(INDEX(Airlines!$B:$B,MATCH(D872,Airlines!$A:$A,0)),"")</f>
        <v>Go_First</v>
      </c>
      <c r="F872" s="6" t="str">
        <f>VLOOKUP(A872,Bookings!$A:$F,6,FALSE())</f>
        <v>Economy</v>
      </c>
      <c r="G872" s="6" t="str">
        <f t="array" ref="G872">IFERROR(INDEX(Flights!$E:$E,MATCH(B872,Flights!$A:$A,0)),"")</f>
        <v>Hyderabad</v>
      </c>
      <c r="H872" s="6" t="str">
        <f>VLOOKUP(B872,Flights!A:H,6,FALSE())</f>
        <v>Bengaluru</v>
      </c>
      <c r="I872" s="6" t="str">
        <f t="array" ref="I872">IFERROR(INDEX(Bookings!$G:$G,MATCH(B872,Bookings!$B:$B,0)),"")</f>
        <v>2+</v>
      </c>
      <c r="J872" s="5">
        <f>VLOOKUP(B872,Bookings!B:H,7,FALSE())</f>
        <v>8.67</v>
      </c>
      <c r="K872" s="5" t="str">
        <f t="shared" si="1"/>
        <v>Medium</v>
      </c>
      <c r="L872" s="11">
        <f t="array" ref="L872">IFERROR(INDEX(Bookings!$K:$K,MATCH(A872,Bookings!$A:$A,0)),"")</f>
        <v>4452</v>
      </c>
      <c r="M872" s="5" t="str">
        <f t="shared" si="2"/>
        <v>Low</v>
      </c>
      <c r="N872" s="5">
        <f t="array" ref="N872">IFERROR(INDEX(Bookings!$I:$I,MATCH(A872,Bookings!$A:$A,0)),"")</f>
        <v>6</v>
      </c>
      <c r="O872" s="5" t="str">
        <f t="shared" si="3"/>
        <v>Last Minute</v>
      </c>
      <c r="P872" s="5" t="str">
        <f t="shared" si="4"/>
        <v>Hyderabad -&gt; Bengaluru</v>
      </c>
    </row>
    <row r="873" ht="15.75" customHeight="1">
      <c r="A873" s="5" t="s">
        <v>2539</v>
      </c>
      <c r="B873" s="5" t="s">
        <v>1875</v>
      </c>
      <c r="C873" s="5" t="s">
        <v>616</v>
      </c>
      <c r="D873" s="5" t="s">
        <v>20</v>
      </c>
      <c r="E873" s="6" t="str">
        <f t="array" ref="E873">IFERROR(INDEX(Airlines!$B:$B,MATCH(D873,Airlines!$A:$A,0)),"")</f>
        <v>Vistara</v>
      </c>
      <c r="F873" s="6" t="str">
        <f>VLOOKUP(A873,Bookings!$A:$F,6,FALSE())</f>
        <v>Economy</v>
      </c>
      <c r="G873" s="6" t="str">
        <f t="array" ref="G873">IFERROR(INDEX(Flights!$E:$E,MATCH(B873,Flights!$A:$A,0)),"")</f>
        <v>Hyderabad</v>
      </c>
      <c r="H873" s="6" t="str">
        <f>VLOOKUP(B873,Flights!A:H,6,FALSE())</f>
        <v>Bengaluru</v>
      </c>
      <c r="I873" s="6" t="str">
        <f t="array" ref="I873">IFERROR(INDEX(Bookings!$G:$G,MATCH(B873,Bookings!$B:$B,0)),"")</f>
        <v>1</v>
      </c>
      <c r="J873" s="5">
        <f>VLOOKUP(B873,Bookings!B:H,7,FALSE())</f>
        <v>10.75</v>
      </c>
      <c r="K873" s="5" t="str">
        <f t="shared" si="1"/>
        <v>Long</v>
      </c>
      <c r="L873" s="11">
        <f t="array" ref="L873">IFERROR(INDEX(Bookings!$K:$K,MATCH(A873,Bookings!$A:$A,0)),"")</f>
        <v>5441</v>
      </c>
      <c r="M873" s="5" t="str">
        <f t="shared" si="2"/>
        <v>Medium</v>
      </c>
      <c r="N873" s="5">
        <f t="array" ref="N873">IFERROR(INDEX(Bookings!$I:$I,MATCH(A873,Bookings!$A:$A,0)),"")</f>
        <v>49</v>
      </c>
      <c r="O873" s="5" t="str">
        <f t="shared" si="3"/>
        <v>Advance</v>
      </c>
      <c r="P873" s="5" t="str">
        <f t="shared" si="4"/>
        <v>Hyderabad -&gt; Bengaluru</v>
      </c>
    </row>
    <row r="874" ht="15.75" customHeight="1">
      <c r="A874" s="5" t="s">
        <v>2540</v>
      </c>
      <c r="B874" s="5" t="s">
        <v>1858</v>
      </c>
      <c r="C874" s="5" t="s">
        <v>616</v>
      </c>
      <c r="D874" s="5" t="s">
        <v>20</v>
      </c>
      <c r="E874" s="6" t="str">
        <f t="array" ref="E874">IFERROR(INDEX(Airlines!$B:$B,MATCH(D874,Airlines!$A:$A,0)),"")</f>
        <v>Vistara</v>
      </c>
      <c r="F874" s="6" t="str">
        <f>VLOOKUP(A874,Bookings!$A:$F,6,FALSE())</f>
        <v>Economy</v>
      </c>
      <c r="G874" s="6" t="str">
        <f t="array" ref="G874">IFERROR(INDEX(Flights!$E:$E,MATCH(B874,Flights!$A:$A,0)),"")</f>
        <v>Hyderabad</v>
      </c>
      <c r="H874" s="6" t="str">
        <f>VLOOKUP(B874,Flights!A:H,6,FALSE())</f>
        <v>Bengaluru</v>
      </c>
      <c r="I874" s="6" t="str">
        <f t="array" ref="I874">IFERROR(INDEX(Bookings!$G:$G,MATCH(B874,Bookings!$B:$B,0)),"")</f>
        <v>1</v>
      </c>
      <c r="J874" s="5">
        <f>VLOOKUP(B874,Bookings!B:H,7,FALSE())</f>
        <v>14.33</v>
      </c>
      <c r="K874" s="5" t="str">
        <f t="shared" si="1"/>
        <v>Long</v>
      </c>
      <c r="L874" s="11">
        <f t="array" ref="L874">IFERROR(INDEX(Bookings!$K:$K,MATCH(A874,Bookings!$A:$A,0)),"")</f>
        <v>5441</v>
      </c>
      <c r="M874" s="5" t="str">
        <f t="shared" si="2"/>
        <v>Medium</v>
      </c>
      <c r="N874" s="5">
        <f t="array" ref="N874">IFERROR(INDEX(Bookings!$I:$I,MATCH(A874,Bookings!$A:$A,0)),"")</f>
        <v>49</v>
      </c>
      <c r="O874" s="5" t="str">
        <f t="shared" si="3"/>
        <v>Advance</v>
      </c>
      <c r="P874" s="5" t="str">
        <f t="shared" si="4"/>
        <v>Hyderabad -&gt; Bengaluru</v>
      </c>
    </row>
    <row r="875" ht="15.75" customHeight="1">
      <c r="A875" s="5" t="s">
        <v>2541</v>
      </c>
      <c r="B875" s="5" t="s">
        <v>1928</v>
      </c>
      <c r="C875" s="5" t="s">
        <v>616</v>
      </c>
      <c r="D875" s="5" t="s">
        <v>20</v>
      </c>
      <c r="E875" s="6" t="str">
        <f t="array" ref="E875">IFERROR(INDEX(Airlines!$B:$B,MATCH(D875,Airlines!$A:$A,0)),"")</f>
        <v>Vistara</v>
      </c>
      <c r="F875" s="6" t="str">
        <f>VLOOKUP(A875,Bookings!$A:$F,6,FALSE())</f>
        <v>Economy</v>
      </c>
      <c r="G875" s="6" t="str">
        <f t="array" ref="G875">IFERROR(INDEX(Flights!$E:$E,MATCH(B875,Flights!$A:$A,0)),"")</f>
        <v>Hyderabad</v>
      </c>
      <c r="H875" s="6" t="str">
        <f>VLOOKUP(B875,Flights!A:H,6,FALSE())</f>
        <v>Bengaluru</v>
      </c>
      <c r="I875" s="6" t="str">
        <f t="array" ref="I875">IFERROR(INDEX(Bookings!$G:$G,MATCH(B875,Bookings!$B:$B,0)),"")</f>
        <v>1</v>
      </c>
      <c r="J875" s="5">
        <f>VLOOKUP(B875,Bookings!B:H,7,FALSE())</f>
        <v>9.42</v>
      </c>
      <c r="K875" s="5" t="str">
        <f t="shared" si="1"/>
        <v>Medium</v>
      </c>
      <c r="L875" s="11">
        <f t="array" ref="L875">IFERROR(INDEX(Bookings!$K:$K,MATCH(A875,Bookings!$A:$A,0)),"")</f>
        <v>6855</v>
      </c>
      <c r="M875" s="5" t="str">
        <f t="shared" si="2"/>
        <v>Medium</v>
      </c>
      <c r="N875" s="5">
        <f t="array" ref="N875">IFERROR(INDEX(Bookings!$I:$I,MATCH(A875,Bookings!$A:$A,0)),"")</f>
        <v>41</v>
      </c>
      <c r="O875" s="5" t="str">
        <f t="shared" si="3"/>
        <v>Advance</v>
      </c>
      <c r="P875" s="5" t="str">
        <f t="shared" si="4"/>
        <v>Hyderabad -&gt; Bengaluru</v>
      </c>
    </row>
    <row r="876" ht="15.75" customHeight="1">
      <c r="A876" s="5" t="s">
        <v>2555</v>
      </c>
      <c r="B876" s="5" t="s">
        <v>1915</v>
      </c>
      <c r="C876" s="5" t="s">
        <v>616</v>
      </c>
      <c r="D876" s="5" t="s">
        <v>20</v>
      </c>
      <c r="E876" s="6" t="str">
        <f t="array" ref="E876">IFERROR(INDEX(Airlines!$B:$B,MATCH(D876,Airlines!$A:$A,0)),"")</f>
        <v>Vistara</v>
      </c>
      <c r="F876" s="6" t="str">
        <f>VLOOKUP(A876,Bookings!$A:$F,6,FALSE())</f>
        <v>Economy</v>
      </c>
      <c r="G876" s="6" t="str">
        <f t="array" ref="G876">IFERROR(INDEX(Flights!$E:$E,MATCH(B876,Flights!$A:$A,0)),"")</f>
        <v>Hyderabad</v>
      </c>
      <c r="H876" s="6" t="str">
        <f>VLOOKUP(B876,Flights!A:H,6,FALSE())</f>
        <v>Bengaluru</v>
      </c>
      <c r="I876" s="6" t="str">
        <f t="array" ref="I876">IFERROR(INDEX(Bookings!$G:$G,MATCH(B876,Bookings!$B:$B,0)),"")</f>
        <v>1</v>
      </c>
      <c r="J876" s="5">
        <f>VLOOKUP(B876,Bookings!B:H,7,FALSE())</f>
        <v>7.25</v>
      </c>
      <c r="K876" s="5" t="str">
        <f t="shared" si="1"/>
        <v>Medium</v>
      </c>
      <c r="L876" s="11">
        <f t="array" ref="L876">IFERROR(INDEX(Bookings!$K:$K,MATCH(A876,Bookings!$A:$A,0)),"")</f>
        <v>7971</v>
      </c>
      <c r="M876" s="5" t="str">
        <f t="shared" si="2"/>
        <v>Medium</v>
      </c>
      <c r="N876" s="5">
        <f t="array" ref="N876">IFERROR(INDEX(Bookings!$I:$I,MATCH(A876,Bookings!$A:$A,0)),"")</f>
        <v>31</v>
      </c>
      <c r="O876" s="5" t="str">
        <f t="shared" si="3"/>
        <v>Advance</v>
      </c>
      <c r="P876" s="5" t="str">
        <f t="shared" si="4"/>
        <v>Hyderabad -&gt; Bengaluru</v>
      </c>
    </row>
    <row r="877" ht="15.75" customHeight="1">
      <c r="A877" s="5" t="s">
        <v>2557</v>
      </c>
      <c r="B877" s="5" t="s">
        <v>1883</v>
      </c>
      <c r="C877" s="5" t="s">
        <v>616</v>
      </c>
      <c r="D877" s="5" t="s">
        <v>43</v>
      </c>
      <c r="E877" s="6" t="str">
        <f t="array" ref="E877">IFERROR(INDEX(Airlines!$B:$B,MATCH(D877,Airlines!$A:$A,0)),"")</f>
        <v>Indigo</v>
      </c>
      <c r="F877" s="6" t="str">
        <f>VLOOKUP(A877,Bookings!$A:$F,6,FALSE())</f>
        <v>Economy</v>
      </c>
      <c r="G877" s="6" t="str">
        <f t="array" ref="G877">IFERROR(INDEX(Flights!$E:$E,MATCH(B877,Flights!$A:$A,0)),"")</f>
        <v>Hyderabad</v>
      </c>
      <c r="H877" s="6" t="str">
        <f>VLOOKUP(B877,Flights!A:H,6,FALSE())</f>
        <v>Bengaluru</v>
      </c>
      <c r="I877" s="6" t="str">
        <f t="array" ref="I877">IFERROR(INDEX(Bookings!$G:$G,MATCH(B877,Bookings!$B:$B,0)),"")</f>
        <v>1</v>
      </c>
      <c r="J877" s="5">
        <f>VLOOKUP(B877,Bookings!B:H,7,FALSE())</f>
        <v>0</v>
      </c>
      <c r="K877" s="5" t="str">
        <f t="shared" si="1"/>
        <v>Short</v>
      </c>
      <c r="L877" s="11">
        <f t="array" ref="L877">IFERROR(INDEX(Bookings!$K:$K,MATCH(A877,Bookings!$A:$A,0)),"")</f>
        <v>3072</v>
      </c>
      <c r="M877" s="5" t="str">
        <f t="shared" si="2"/>
        <v>Low</v>
      </c>
      <c r="N877" s="5">
        <f t="array" ref="N877">IFERROR(INDEX(Bookings!$I:$I,MATCH(A877,Bookings!$A:$A,0)),"")</f>
        <v>25</v>
      </c>
      <c r="O877" s="5" t="str">
        <f t="shared" si="3"/>
        <v>Moderate</v>
      </c>
      <c r="P877" s="5" t="str">
        <f t="shared" si="4"/>
        <v>Hyderabad -&gt; Bengaluru</v>
      </c>
    </row>
    <row r="878" ht="15.75" customHeight="1">
      <c r="A878" s="5" t="s">
        <v>2559</v>
      </c>
      <c r="B878" s="5" t="s">
        <v>1910</v>
      </c>
      <c r="C878" s="5" t="s">
        <v>616</v>
      </c>
      <c r="D878" s="5" t="s">
        <v>45</v>
      </c>
      <c r="E878" s="6" t="str">
        <f t="array" ref="E878">IFERROR(INDEX(Airlines!$B:$B,MATCH(D878,Airlines!$A:$A,0)),"")</f>
        <v>Air_India</v>
      </c>
      <c r="F878" s="6" t="str">
        <f>VLOOKUP(A878,Bookings!$A:$F,6,FALSE())</f>
        <v>Business</v>
      </c>
      <c r="G878" s="6" t="str">
        <f t="array" ref="G878">IFERROR(INDEX(Flights!$E:$E,MATCH(B878,Flights!$A:$A,0)),"")</f>
        <v>Hyderabad</v>
      </c>
      <c r="H878" s="6" t="str">
        <f>VLOOKUP(B878,Flights!A:H,6,FALSE())</f>
        <v>Bengaluru</v>
      </c>
      <c r="I878" s="6">
        <f t="array" ref="I878">IFERROR(INDEX(Bookings!$G:$G,MATCH(B878,Bookings!$B:$B,0)),"")</f>
        <v>1</v>
      </c>
      <c r="J878" s="5">
        <f>VLOOKUP(B878,Bookings!B:H,7,FALSE())</f>
        <v>12.92</v>
      </c>
      <c r="K878" s="5" t="str">
        <f t="shared" si="1"/>
        <v>Long</v>
      </c>
      <c r="L878" s="11">
        <f t="array" ref="L878">IFERROR(INDEX(Bookings!$K:$K,MATCH(A878,Bookings!$A:$A,0)),"")</f>
        <v>38043</v>
      </c>
      <c r="M878" s="5" t="str">
        <f t="shared" si="2"/>
        <v>High</v>
      </c>
      <c r="N878" s="5">
        <f t="array" ref="N878">IFERROR(INDEX(Bookings!$I:$I,MATCH(A878,Bookings!$A:$A,0)),"")</f>
        <v>31</v>
      </c>
      <c r="O878" s="5" t="str">
        <f t="shared" si="3"/>
        <v>Advance</v>
      </c>
      <c r="P878" s="5" t="str">
        <f t="shared" si="4"/>
        <v>Hyderabad -&gt; Bengaluru</v>
      </c>
    </row>
    <row r="879" ht="15.75" customHeight="1">
      <c r="A879" s="5" t="s">
        <v>2561</v>
      </c>
      <c r="B879" s="5" t="s">
        <v>1890</v>
      </c>
      <c r="C879" s="5" t="s">
        <v>616</v>
      </c>
      <c r="D879" s="5" t="s">
        <v>45</v>
      </c>
      <c r="E879" s="6" t="str">
        <f t="array" ref="E879">IFERROR(INDEX(Airlines!$B:$B,MATCH(D879,Airlines!$A:$A,0)),"")</f>
        <v>Air_India</v>
      </c>
      <c r="F879" s="6" t="str">
        <f>VLOOKUP(A879,Bookings!$A:$F,6,FALSE())</f>
        <v>Economy</v>
      </c>
      <c r="G879" s="6" t="str">
        <f t="array" ref="G879">IFERROR(INDEX(Flights!$E:$E,MATCH(B879,Flights!$A:$A,0)),"")</f>
        <v>Hyderabad</v>
      </c>
      <c r="H879" s="6" t="str">
        <f>VLOOKUP(B879,Flights!A:H,6,FALSE())</f>
        <v>Bengaluru</v>
      </c>
      <c r="I879" s="6" t="str">
        <f t="array" ref="I879">IFERROR(INDEX(Bookings!$G:$G,MATCH(B879,Bookings!$B:$B,0)),"")</f>
        <v>2+</v>
      </c>
      <c r="J879" s="5">
        <f>VLOOKUP(B879,Bookings!B:H,7,FALSE())</f>
        <v>33.83</v>
      </c>
      <c r="K879" s="5" t="str">
        <f t="shared" si="1"/>
        <v>Long</v>
      </c>
      <c r="L879" s="11">
        <f t="array" ref="L879">IFERROR(INDEX(Bookings!$K:$K,MATCH(A879,Bookings!$A:$A,0)),"")</f>
        <v>12499</v>
      </c>
      <c r="M879" s="5" t="str">
        <f t="shared" si="2"/>
        <v>Medium</v>
      </c>
      <c r="N879" s="5">
        <f t="array" ref="N879">IFERROR(INDEX(Bookings!$I:$I,MATCH(A879,Bookings!$A:$A,0)),"")</f>
        <v>9</v>
      </c>
      <c r="O879" s="5" t="str">
        <f t="shared" si="3"/>
        <v>Short Notice</v>
      </c>
      <c r="P879" s="5" t="str">
        <f t="shared" si="4"/>
        <v>Hyderabad -&gt; Bengaluru</v>
      </c>
    </row>
    <row r="880" ht="15.75" customHeight="1">
      <c r="A880" s="5" t="s">
        <v>2562</v>
      </c>
      <c r="B880" s="5" t="s">
        <v>1933</v>
      </c>
      <c r="C880" s="5" t="s">
        <v>616</v>
      </c>
      <c r="D880" s="5" t="s">
        <v>45</v>
      </c>
      <c r="E880" s="6" t="str">
        <f t="array" ref="E880">IFERROR(INDEX(Airlines!$B:$B,MATCH(D880,Airlines!$A:$A,0)),"")</f>
        <v>Air_India</v>
      </c>
      <c r="F880" s="6" t="str">
        <f>VLOOKUP(A880,Bookings!$A:$F,6,FALSE())</f>
        <v>Economy</v>
      </c>
      <c r="G880" s="6" t="str">
        <f t="array" ref="G880">IFERROR(INDEX(Flights!$E:$E,MATCH(B880,Flights!$A:$A,0)),"")</f>
        <v>Hyderabad</v>
      </c>
      <c r="H880" s="6" t="str">
        <f>VLOOKUP(B880,Flights!A:H,6,FALSE())</f>
        <v>Bengaluru</v>
      </c>
      <c r="I880" s="6" t="str">
        <f t="array" ref="I880">IFERROR(INDEX(Bookings!$G:$G,MATCH(B880,Bookings!$B:$B,0)),"")</f>
        <v>2+</v>
      </c>
      <c r="J880" s="5">
        <f>VLOOKUP(B880,Bookings!B:H,7,FALSE())</f>
        <v>24.83</v>
      </c>
      <c r="K880" s="5" t="str">
        <f t="shared" si="1"/>
        <v>Long</v>
      </c>
      <c r="L880" s="11">
        <f t="array" ref="L880">IFERROR(INDEX(Bookings!$K:$K,MATCH(A880,Bookings!$A:$A,0)),"")</f>
        <v>13339</v>
      </c>
      <c r="M880" s="5" t="str">
        <f t="shared" si="2"/>
        <v>Medium</v>
      </c>
      <c r="N880" s="5">
        <f t="array" ref="N880">IFERROR(INDEX(Bookings!$I:$I,MATCH(A880,Bookings!$A:$A,0)),"")</f>
        <v>10</v>
      </c>
      <c r="O880" s="5" t="str">
        <f t="shared" si="3"/>
        <v>Short Notice</v>
      </c>
      <c r="P880" s="5" t="str">
        <f t="shared" si="4"/>
        <v>Hyderabad -&gt; Bengaluru</v>
      </c>
    </row>
    <row r="881" ht="15.75" customHeight="1">
      <c r="A881" s="5" t="s">
        <v>2564</v>
      </c>
      <c r="B881" s="5" t="s">
        <v>1864</v>
      </c>
      <c r="C881" s="5" t="s">
        <v>616</v>
      </c>
      <c r="D881" s="5" t="s">
        <v>58</v>
      </c>
      <c r="E881" s="6" t="str">
        <f t="array" ref="E881">IFERROR(INDEX(Airlines!$B:$B,MATCH(D881,Airlines!$A:$A,0)),"")</f>
        <v>Go_First</v>
      </c>
      <c r="F881" s="6" t="str">
        <f>VLOOKUP(A881,Bookings!$A:$F,6,FALSE())</f>
        <v>Economy</v>
      </c>
      <c r="G881" s="6" t="str">
        <f t="array" ref="G881">IFERROR(INDEX(Flights!$E:$E,MATCH(B881,Flights!$A:$A,0)),"")</f>
        <v>Hyderabad</v>
      </c>
      <c r="H881" s="6" t="str">
        <f>VLOOKUP(B881,Flights!A:H,6,FALSE())</f>
        <v>Bengaluru</v>
      </c>
      <c r="I881" s="6" t="str">
        <f t="array" ref="I881">IFERROR(INDEX(Bookings!$G:$G,MATCH(B881,Bookings!$B:$B,0)),"")</f>
        <v>1</v>
      </c>
      <c r="J881" s="5">
        <f>VLOOKUP(B881,Bookings!B:H,7,FALSE())</f>
        <v>7.17</v>
      </c>
      <c r="K881" s="5" t="str">
        <f t="shared" si="1"/>
        <v>Medium</v>
      </c>
      <c r="L881" s="11">
        <f t="array" ref="L881">IFERROR(INDEX(Bookings!$K:$K,MATCH(A881,Bookings!$A:$A,0)),"")</f>
        <v>4452</v>
      </c>
      <c r="M881" s="5" t="str">
        <f t="shared" si="2"/>
        <v>Low</v>
      </c>
      <c r="N881" s="5">
        <f t="array" ref="N881">IFERROR(INDEX(Bookings!$I:$I,MATCH(A881,Bookings!$A:$A,0)),"")</f>
        <v>22</v>
      </c>
      <c r="O881" s="5" t="str">
        <f t="shared" si="3"/>
        <v>Moderate</v>
      </c>
      <c r="P881" s="5" t="str">
        <f t="shared" si="4"/>
        <v>Hyderabad -&gt; Bengaluru</v>
      </c>
    </row>
    <row r="882" ht="15.75" customHeight="1">
      <c r="A882" s="5" t="s">
        <v>2567</v>
      </c>
      <c r="B882" s="5" t="s">
        <v>1924</v>
      </c>
      <c r="C882" s="5" t="s">
        <v>616</v>
      </c>
      <c r="D882" s="5" t="s">
        <v>20</v>
      </c>
      <c r="E882" s="6" t="str">
        <f t="array" ref="E882">IFERROR(INDEX(Airlines!$B:$B,MATCH(D882,Airlines!$A:$A,0)),"")</f>
        <v>Vistara</v>
      </c>
      <c r="F882" s="6" t="str">
        <f>VLOOKUP(A882,Bookings!$A:$F,6,FALSE())</f>
        <v>Economy</v>
      </c>
      <c r="G882" s="6" t="str">
        <f t="array" ref="G882">IFERROR(INDEX(Flights!$E:$E,MATCH(B882,Flights!$A:$A,0)),"")</f>
        <v>Hyderabad</v>
      </c>
      <c r="H882" s="6" t="str">
        <f>VLOOKUP(B882,Flights!A:H,6,FALSE())</f>
        <v>Bengaluru</v>
      </c>
      <c r="I882" s="6" t="str">
        <f t="array" ref="I882">IFERROR(INDEX(Bookings!$G:$G,MATCH(B882,Bookings!$B:$B,0)),"")</f>
        <v>2+</v>
      </c>
      <c r="J882" s="5">
        <f>VLOOKUP(B882,Bookings!B:H,7,FALSE())</f>
        <v>10.08</v>
      </c>
      <c r="K882" s="5" t="str">
        <f t="shared" si="1"/>
        <v>Long</v>
      </c>
      <c r="L882" s="11">
        <f t="array" ref="L882">IFERROR(INDEX(Bookings!$K:$K,MATCH(A882,Bookings!$A:$A,0)),"")</f>
        <v>6461</v>
      </c>
      <c r="M882" s="5" t="str">
        <f t="shared" si="2"/>
        <v>Medium</v>
      </c>
      <c r="N882" s="5">
        <f t="array" ref="N882">IFERROR(INDEX(Bookings!$I:$I,MATCH(A882,Bookings!$A:$A,0)),"")</f>
        <v>26</v>
      </c>
      <c r="O882" s="5" t="str">
        <f t="shared" si="3"/>
        <v>Moderate</v>
      </c>
      <c r="P882" s="5" t="str">
        <f t="shared" si="4"/>
        <v>Hyderabad -&gt; Bengaluru</v>
      </c>
    </row>
    <row r="883" ht="15.75" customHeight="1">
      <c r="A883" s="5" t="s">
        <v>2570</v>
      </c>
      <c r="B883" s="5" t="s">
        <v>1877</v>
      </c>
      <c r="C883" s="5" t="s">
        <v>616</v>
      </c>
      <c r="D883" s="5" t="s">
        <v>43</v>
      </c>
      <c r="E883" s="6" t="str">
        <f t="array" ref="E883">IFERROR(INDEX(Airlines!$B:$B,MATCH(D883,Airlines!$A:$A,0)),"")</f>
        <v>Indigo</v>
      </c>
      <c r="F883" s="6" t="str">
        <f>VLOOKUP(A883,Bookings!$A:$F,6,FALSE())</f>
        <v>Economy</v>
      </c>
      <c r="G883" s="6" t="str">
        <f t="array" ref="G883">IFERROR(INDEX(Flights!$E:$E,MATCH(B883,Flights!$A:$A,0)),"")</f>
        <v>Hyderabad</v>
      </c>
      <c r="H883" s="6" t="str">
        <f>VLOOKUP(B883,Flights!A:H,6,FALSE())</f>
        <v>Bengaluru</v>
      </c>
      <c r="I883" s="6" t="str">
        <f t="array" ref="I883">IFERROR(INDEX(Bookings!$G:$G,MATCH(B883,Bookings!$B:$B,0)),"")</f>
        <v>1</v>
      </c>
      <c r="J883" s="5">
        <f>VLOOKUP(B883,Bookings!B:H,7,FALSE())</f>
        <v>7.83</v>
      </c>
      <c r="K883" s="5" t="str">
        <f t="shared" si="1"/>
        <v>Medium</v>
      </c>
      <c r="L883" s="11">
        <f t="array" ref="L883">IFERROR(INDEX(Bookings!$K:$K,MATCH(A883,Bookings!$A:$A,0)),"")</f>
        <v>5136</v>
      </c>
      <c r="M883" s="5" t="str">
        <f t="shared" si="2"/>
        <v>Medium</v>
      </c>
      <c r="N883" s="5">
        <f t="array" ref="N883">IFERROR(INDEX(Bookings!$I:$I,MATCH(A883,Bookings!$A:$A,0)),"")</f>
        <v>27</v>
      </c>
      <c r="O883" s="5" t="str">
        <f t="shared" si="3"/>
        <v>Moderate</v>
      </c>
      <c r="P883" s="5" t="str">
        <f t="shared" si="4"/>
        <v>Hyderabad -&gt; Bengaluru</v>
      </c>
    </row>
    <row r="884" ht="15.75" customHeight="1">
      <c r="A884" s="5" t="s">
        <v>2572</v>
      </c>
      <c r="B884" s="5" t="s">
        <v>1861</v>
      </c>
      <c r="C884" s="5" t="s">
        <v>616</v>
      </c>
      <c r="D884" s="5" t="s">
        <v>29</v>
      </c>
      <c r="E884" s="6" t="str">
        <f t="array" ref="E884">IFERROR(INDEX(Airlines!$B:$B,MATCH(D884,Airlines!$A:$A,0)),"")</f>
        <v>AirAsia</v>
      </c>
      <c r="F884" s="6" t="str">
        <f>VLOOKUP(A884,Bookings!$A:$F,6,FALSE())</f>
        <v>Economy</v>
      </c>
      <c r="G884" s="6" t="str">
        <f t="array" ref="G884">IFERROR(INDEX(Flights!$E:$E,MATCH(B884,Flights!$A:$A,0)),"")</f>
        <v>Hyderabad</v>
      </c>
      <c r="H884" s="6" t="str">
        <f>VLOOKUP(B884,Flights!A:H,6,FALSE())</f>
        <v>Bengaluru</v>
      </c>
      <c r="I884" s="6" t="str">
        <f t="array" ref="I884">IFERROR(INDEX(Bookings!$G:$G,MATCH(B884,Bookings!$B:$B,0)),"")</f>
        <v>1</v>
      </c>
      <c r="J884" s="5">
        <f>VLOOKUP(B884,Bookings!B:H,7,FALSE())</f>
        <v>14.17</v>
      </c>
      <c r="K884" s="5" t="str">
        <f t="shared" si="1"/>
        <v>Long</v>
      </c>
      <c r="L884" s="11">
        <f t="array" ref="L884">IFERROR(INDEX(Bookings!$K:$K,MATCH(A884,Bookings!$A:$A,0)),"")</f>
        <v>2738</v>
      </c>
      <c r="M884" s="5" t="str">
        <f t="shared" si="2"/>
        <v>Low</v>
      </c>
      <c r="N884" s="5">
        <f t="array" ref="N884">IFERROR(INDEX(Bookings!$I:$I,MATCH(A884,Bookings!$A:$A,0)),"")</f>
        <v>44</v>
      </c>
      <c r="O884" s="5" t="str">
        <f t="shared" si="3"/>
        <v>Advance</v>
      </c>
      <c r="P884" s="5" t="str">
        <f t="shared" si="4"/>
        <v>Hyderabad -&gt; Bengaluru</v>
      </c>
    </row>
    <row r="885" ht="15.75" customHeight="1">
      <c r="A885" s="5" t="s">
        <v>2575</v>
      </c>
      <c r="B885" s="5" t="s">
        <v>1881</v>
      </c>
      <c r="C885" s="5" t="s">
        <v>616</v>
      </c>
      <c r="D885" s="5" t="s">
        <v>43</v>
      </c>
      <c r="E885" s="6" t="str">
        <f t="array" ref="E885">IFERROR(INDEX(Airlines!$B:$B,MATCH(D885,Airlines!$A:$A,0)),"")</f>
        <v>Indigo</v>
      </c>
      <c r="F885" s="6" t="str">
        <f>VLOOKUP(A885,Bookings!$A:$F,6,FALSE())</f>
        <v>Economy</v>
      </c>
      <c r="G885" s="6" t="str">
        <f t="array" ref="G885">IFERROR(INDEX(Flights!$E:$E,MATCH(B885,Flights!$A:$A,0)),"")</f>
        <v>Hyderabad</v>
      </c>
      <c r="H885" s="6" t="str">
        <f>VLOOKUP(B885,Flights!A:H,6,FALSE())</f>
        <v>Bengaluru</v>
      </c>
      <c r="I885" s="6" t="str">
        <f t="array" ref="I885">IFERROR(INDEX(Bookings!$G:$G,MATCH(B885,Bookings!$B:$B,0)),"")</f>
        <v>0</v>
      </c>
      <c r="J885" s="5">
        <f>VLOOKUP(B885,Bookings!B:H,7,FALSE())</f>
        <v>1.25</v>
      </c>
      <c r="K885" s="5" t="str">
        <f t="shared" si="1"/>
        <v>Short</v>
      </c>
      <c r="L885" s="11">
        <f t="array" ref="L885">IFERROR(INDEX(Bookings!$K:$K,MATCH(A885,Bookings!$A:$A,0)),"")</f>
        <v>1776</v>
      </c>
      <c r="M885" s="5" t="str">
        <f t="shared" si="2"/>
        <v>Low</v>
      </c>
      <c r="N885" s="5">
        <f t="array" ref="N885">IFERROR(INDEX(Bookings!$I:$I,MATCH(A885,Bookings!$A:$A,0)),"")</f>
        <v>46</v>
      </c>
      <c r="O885" s="5" t="str">
        <f t="shared" si="3"/>
        <v>Advance</v>
      </c>
      <c r="P885" s="5" t="str">
        <f t="shared" si="4"/>
        <v>Hyderabad -&gt; Bengaluru</v>
      </c>
    </row>
    <row r="886" ht="15.75" customHeight="1">
      <c r="A886" s="5" t="s">
        <v>2576</v>
      </c>
      <c r="B886" s="5" t="s">
        <v>1899</v>
      </c>
      <c r="C886" s="5" t="s">
        <v>616</v>
      </c>
      <c r="D886" s="5" t="s">
        <v>43</v>
      </c>
      <c r="E886" s="6" t="str">
        <f t="array" ref="E886">IFERROR(INDEX(Airlines!$B:$B,MATCH(D886,Airlines!$A:$A,0)),"")</f>
        <v>Indigo</v>
      </c>
      <c r="F886" s="6" t="str">
        <f>VLOOKUP(A886,Bookings!$A:$F,6,FALSE())</f>
        <v>Economy</v>
      </c>
      <c r="G886" s="6" t="str">
        <f t="array" ref="G886">IFERROR(INDEX(Flights!$E:$E,MATCH(B886,Flights!$A:$A,0)),"")</f>
        <v>Hyderabad</v>
      </c>
      <c r="H886" s="6" t="str">
        <f>VLOOKUP(B886,Flights!A:H,6,FALSE())</f>
        <v>Bengaluru</v>
      </c>
      <c r="I886" s="6" t="str">
        <f t="array" ref="I886">IFERROR(INDEX(Bookings!$G:$G,MATCH(B886,Bookings!$B:$B,0)),"")</f>
        <v>1</v>
      </c>
      <c r="J886" s="5">
        <f>VLOOKUP(B886,Bookings!B:H,7,FALSE())</f>
        <v>7.67</v>
      </c>
      <c r="K886" s="5" t="str">
        <f t="shared" si="1"/>
        <v>Medium</v>
      </c>
      <c r="L886" s="11">
        <f t="array" ref="L886">IFERROR(INDEX(Bookings!$K:$K,MATCH(A886,Bookings!$A:$A,0)),"")</f>
        <v>3374</v>
      </c>
      <c r="M886" s="5" t="str">
        <f t="shared" si="2"/>
        <v>Low</v>
      </c>
      <c r="N886" s="5">
        <f t="array" ref="N886">IFERROR(INDEX(Bookings!$I:$I,MATCH(A886,Bookings!$A:$A,0)),"")</f>
        <v>46</v>
      </c>
      <c r="O886" s="5" t="str">
        <f t="shared" si="3"/>
        <v>Advance</v>
      </c>
      <c r="P886" s="5" t="str">
        <f t="shared" si="4"/>
        <v>Hyderabad -&gt; Bengaluru</v>
      </c>
    </row>
    <row r="887" ht="15.75" customHeight="1">
      <c r="A887" s="5" t="s">
        <v>2579</v>
      </c>
      <c r="B887" s="5" t="s">
        <v>1866</v>
      </c>
      <c r="C887" s="5" t="s">
        <v>616</v>
      </c>
      <c r="D887" s="5" t="s">
        <v>45</v>
      </c>
      <c r="E887" s="6" t="str">
        <f t="array" ref="E887">IFERROR(INDEX(Airlines!$B:$B,MATCH(D887,Airlines!$A:$A,0)),"")</f>
        <v>Air_India</v>
      </c>
      <c r="F887" s="6" t="str">
        <f>VLOOKUP(A887,Bookings!$A:$F,6,FALSE())</f>
        <v>Economy</v>
      </c>
      <c r="G887" s="6" t="str">
        <f t="array" ref="G887">IFERROR(INDEX(Flights!$E:$E,MATCH(B887,Flights!$A:$A,0)),"")</f>
        <v>Hyderabad</v>
      </c>
      <c r="H887" s="6" t="str">
        <f>VLOOKUP(B887,Flights!A:H,6,FALSE())</f>
        <v>Bengaluru</v>
      </c>
      <c r="I887" s="6" t="str">
        <f t="array" ref="I887">IFERROR(INDEX(Bookings!$G:$G,MATCH(B887,Bookings!$B:$B,0)),"")</f>
        <v>1</v>
      </c>
      <c r="J887" s="5">
        <f>VLOOKUP(B887,Bookings!B:H,7,FALSE())</f>
        <v>17.33</v>
      </c>
      <c r="K887" s="5" t="str">
        <f t="shared" si="1"/>
        <v>Long</v>
      </c>
      <c r="L887" s="11">
        <f t="array" ref="L887">IFERROR(INDEX(Bookings!$K:$K,MATCH(A887,Bookings!$A:$A,0)),"")</f>
        <v>5019</v>
      </c>
      <c r="M887" s="5" t="str">
        <f t="shared" si="2"/>
        <v>Medium</v>
      </c>
      <c r="N887" s="5">
        <f t="array" ref="N887">IFERROR(INDEX(Bookings!$I:$I,MATCH(A887,Bookings!$A:$A,0)),"")</f>
        <v>47</v>
      </c>
      <c r="O887" s="5" t="str">
        <f t="shared" si="3"/>
        <v>Advance</v>
      </c>
      <c r="P887" s="5" t="str">
        <f t="shared" si="4"/>
        <v>Hyderabad -&gt; Bengaluru</v>
      </c>
    </row>
    <row r="888" ht="15.75" customHeight="1">
      <c r="A888" s="5" t="s">
        <v>2582</v>
      </c>
      <c r="B888" s="5" t="s">
        <v>1905</v>
      </c>
      <c r="C888" s="5" t="s">
        <v>616</v>
      </c>
      <c r="D888" s="5" t="s">
        <v>45</v>
      </c>
      <c r="E888" s="6" t="str">
        <f t="array" ref="E888">IFERROR(INDEX(Airlines!$B:$B,MATCH(D888,Airlines!$A:$A,0)),"")</f>
        <v>Air_India</v>
      </c>
      <c r="F888" s="6" t="str">
        <f>VLOOKUP(A888,Bookings!$A:$F,6,FALSE())</f>
        <v>Economy</v>
      </c>
      <c r="G888" s="6" t="str">
        <f t="array" ref="G888">IFERROR(INDEX(Flights!$E:$E,MATCH(B888,Flights!$A:$A,0)),"")</f>
        <v>Hyderabad</v>
      </c>
      <c r="H888" s="6" t="str">
        <f>VLOOKUP(B888,Flights!A:H,6,FALSE())</f>
        <v>Bengaluru</v>
      </c>
      <c r="I888" s="6" t="str">
        <f t="array" ref="I888">IFERROR(INDEX(Bookings!$G:$G,MATCH(B888,Bookings!$B:$B,0)),"")</f>
        <v>1</v>
      </c>
      <c r="J888" s="5">
        <f>VLOOKUP(B888,Bookings!B:H,7,FALSE())</f>
        <v>10.25</v>
      </c>
      <c r="K888" s="5" t="str">
        <f t="shared" si="1"/>
        <v>Long</v>
      </c>
      <c r="L888" s="11">
        <f t="array" ref="L888">IFERROR(INDEX(Bookings!$K:$K,MATCH(A888,Bookings!$A:$A,0)),"")</f>
        <v>5019</v>
      </c>
      <c r="M888" s="5" t="str">
        <f t="shared" si="2"/>
        <v>Medium</v>
      </c>
      <c r="N888" s="5">
        <f t="array" ref="N888">IFERROR(INDEX(Bookings!$I:$I,MATCH(A888,Bookings!$A:$A,0)),"")</f>
        <v>47</v>
      </c>
      <c r="O888" s="5" t="str">
        <f t="shared" si="3"/>
        <v>Advance</v>
      </c>
      <c r="P888" s="5" t="str">
        <f t="shared" si="4"/>
        <v>Hyderabad -&gt; Bengaluru</v>
      </c>
    </row>
    <row r="889" ht="15.75" customHeight="1">
      <c r="A889" s="5" t="s">
        <v>2585</v>
      </c>
      <c r="B889" s="5" t="s">
        <v>1848</v>
      </c>
      <c r="C889" s="5" t="s">
        <v>616</v>
      </c>
      <c r="D889" s="5" t="s">
        <v>20</v>
      </c>
      <c r="E889" s="6" t="str">
        <f t="array" ref="E889">IFERROR(INDEX(Airlines!$B:$B,MATCH(D889,Airlines!$A:$A,0)),"")</f>
        <v>Vistara</v>
      </c>
      <c r="F889" s="6" t="str">
        <f>VLOOKUP(A889,Bookings!$A:$F,6,FALSE())</f>
        <v>Economy</v>
      </c>
      <c r="G889" s="6" t="str">
        <f t="array" ref="G889">IFERROR(INDEX(Flights!$E:$E,MATCH(B889,Flights!$A:$A,0)),"")</f>
        <v>Hyderabad</v>
      </c>
      <c r="H889" s="6" t="str">
        <f>VLOOKUP(B889,Flights!A:H,6,FALSE())</f>
        <v>Bengaluru</v>
      </c>
      <c r="I889" s="6" t="str">
        <f t="array" ref="I889">IFERROR(INDEX(Bookings!$G:$G,MATCH(B889,Bookings!$B:$B,0)),"")</f>
        <v>2+</v>
      </c>
      <c r="J889" s="5">
        <f>VLOOKUP(B889,Bookings!B:H,7,FALSE())</f>
        <v>7</v>
      </c>
      <c r="K889" s="5" t="str">
        <f t="shared" si="1"/>
        <v>Medium</v>
      </c>
      <c r="L889" s="11">
        <f t="array" ref="L889">IFERROR(INDEX(Bookings!$K:$K,MATCH(A889,Bookings!$A:$A,0)),"")</f>
        <v>6461</v>
      </c>
      <c r="M889" s="5" t="str">
        <f t="shared" si="2"/>
        <v>Medium</v>
      </c>
      <c r="N889" s="5">
        <f t="array" ref="N889">IFERROR(INDEX(Bookings!$I:$I,MATCH(A889,Bookings!$A:$A,0)),"")</f>
        <v>46</v>
      </c>
      <c r="O889" s="5" t="str">
        <f t="shared" si="3"/>
        <v>Advance</v>
      </c>
      <c r="P889" s="5" t="str">
        <f t="shared" si="4"/>
        <v>Hyderabad -&gt; Bengaluru</v>
      </c>
    </row>
    <row r="890" ht="15.75" customHeight="1">
      <c r="A890" s="5" t="s">
        <v>2589</v>
      </c>
      <c r="B890" s="5" t="s">
        <v>1950</v>
      </c>
      <c r="C890" s="5" t="s">
        <v>616</v>
      </c>
      <c r="D890" s="5" t="s">
        <v>58</v>
      </c>
      <c r="E890" s="6" t="str">
        <f t="array" ref="E890">IFERROR(INDEX(Airlines!$B:$B,MATCH(D890,Airlines!$A:$A,0)),"")</f>
        <v>Go_First</v>
      </c>
      <c r="F890" s="6" t="str">
        <f>VLOOKUP(A890,Bookings!$A:$F,6,FALSE())</f>
        <v>Economy</v>
      </c>
      <c r="G890" s="6" t="str">
        <f t="array" ref="G890">IFERROR(INDEX(Flights!$E:$E,MATCH(B890,Flights!$A:$A,0)),"")</f>
        <v>Hyderabad</v>
      </c>
      <c r="H890" s="6" t="str">
        <f>VLOOKUP(B890,Flights!A:H,6,FALSE())</f>
        <v>Bengaluru</v>
      </c>
      <c r="I890" s="6" t="str">
        <f t="array" ref="I890">IFERROR(INDEX(Bookings!$G:$G,MATCH(B890,Bookings!$B:$B,0)),"")</f>
        <v>1</v>
      </c>
      <c r="J890" s="5">
        <f>VLOOKUP(B890,Bookings!B:H,7,FALSE())</f>
        <v>13</v>
      </c>
      <c r="K890" s="5" t="str">
        <f t="shared" si="1"/>
        <v>Long</v>
      </c>
      <c r="L890" s="11">
        <f t="array" ref="L890">IFERROR(INDEX(Bookings!$K:$K,MATCH(A890,Bookings!$A:$A,0)),"")</f>
        <v>6256</v>
      </c>
      <c r="M890" s="5" t="str">
        <f t="shared" si="2"/>
        <v>Medium</v>
      </c>
      <c r="N890" s="5">
        <f t="array" ref="N890">IFERROR(INDEX(Bookings!$I:$I,MATCH(A890,Bookings!$A:$A,0)),"")</f>
        <v>46</v>
      </c>
      <c r="O890" s="5" t="str">
        <f t="shared" si="3"/>
        <v>Advance</v>
      </c>
      <c r="P890" s="5" t="str">
        <f t="shared" si="4"/>
        <v>Hyderabad -&gt; Bengaluru</v>
      </c>
    </row>
    <row r="891" ht="15.75" customHeight="1">
      <c r="A891" s="5" t="s">
        <v>2590</v>
      </c>
      <c r="B891" s="5" t="s">
        <v>1930</v>
      </c>
      <c r="C891" s="5" t="s">
        <v>616</v>
      </c>
      <c r="D891" s="5" t="s">
        <v>45</v>
      </c>
      <c r="E891" s="6" t="str">
        <f t="array" ref="E891">IFERROR(INDEX(Airlines!$B:$B,MATCH(D891,Airlines!$A:$A,0)),"")</f>
        <v>Air_India</v>
      </c>
      <c r="F891" s="6" t="str">
        <f>VLOOKUP(A891,Bookings!$A:$F,6,FALSE())</f>
        <v>Economy</v>
      </c>
      <c r="G891" s="6" t="str">
        <f t="array" ref="G891">IFERROR(INDEX(Flights!$E:$E,MATCH(B891,Flights!$A:$A,0)),"")</f>
        <v>Hyderabad</v>
      </c>
      <c r="H891" s="6" t="str">
        <f>VLOOKUP(B891,Flights!A:H,6,FALSE())</f>
        <v>Bengaluru</v>
      </c>
      <c r="I891" s="6" t="str">
        <f t="array" ref="I891">IFERROR(INDEX(Bookings!$G:$G,MATCH(B891,Bookings!$B:$B,0)),"")</f>
        <v>0</v>
      </c>
      <c r="J891" s="5">
        <f>VLOOKUP(B891,Bookings!B:H,7,FALSE())</f>
        <v>1.08</v>
      </c>
      <c r="K891" s="5" t="str">
        <f t="shared" si="1"/>
        <v>Short</v>
      </c>
      <c r="L891" s="11">
        <f t="array" ref="L891">IFERROR(INDEX(Bookings!$K:$K,MATCH(A891,Bookings!$A:$A,0)),"")</f>
        <v>2080</v>
      </c>
      <c r="M891" s="5" t="str">
        <f t="shared" si="2"/>
        <v>Low</v>
      </c>
      <c r="N891" s="5">
        <f t="array" ref="N891">IFERROR(INDEX(Bookings!$I:$I,MATCH(A891,Bookings!$A:$A,0)),"")</f>
        <v>49</v>
      </c>
      <c r="O891" s="5" t="str">
        <f t="shared" si="3"/>
        <v>Advance</v>
      </c>
      <c r="P891" s="5" t="str">
        <f t="shared" si="4"/>
        <v>Hyderabad -&gt; Bengaluru</v>
      </c>
    </row>
    <row r="892" ht="15.75" customHeight="1">
      <c r="A892" s="5" t="s">
        <v>2593</v>
      </c>
      <c r="B892" s="5" t="s">
        <v>1942</v>
      </c>
      <c r="C892" s="5" t="s">
        <v>616</v>
      </c>
      <c r="D892" s="5" t="s">
        <v>45</v>
      </c>
      <c r="E892" s="6" t="str">
        <f t="array" ref="E892">IFERROR(INDEX(Airlines!$B:$B,MATCH(D892,Airlines!$A:$A,0)),"")</f>
        <v>Air_India</v>
      </c>
      <c r="F892" s="6" t="str">
        <f>VLOOKUP(A892,Bookings!$A:$F,6,FALSE())</f>
        <v>Economy</v>
      </c>
      <c r="G892" s="6" t="str">
        <f t="array" ref="G892">IFERROR(INDEX(Flights!$E:$E,MATCH(B892,Flights!$A:$A,0)),"")</f>
        <v>Hyderabad</v>
      </c>
      <c r="H892" s="6" t="str">
        <f>VLOOKUP(B892,Flights!A:H,6,FALSE())</f>
        <v>Bengaluru</v>
      </c>
      <c r="I892" s="6" t="str">
        <f t="array" ref="I892">IFERROR(INDEX(Bookings!$G:$G,MATCH(B892,Bookings!$B:$B,0)),"")</f>
        <v>1</v>
      </c>
      <c r="J892" s="5">
        <f>VLOOKUP(B892,Bookings!B:H,7,FALSE())</f>
        <v>5.67</v>
      </c>
      <c r="K892" s="5" t="str">
        <f t="shared" si="1"/>
        <v>Medium</v>
      </c>
      <c r="L892" s="11">
        <f t="array" ref="L892">IFERROR(INDEX(Bookings!$K:$K,MATCH(A892,Bookings!$A:$A,0)),"")</f>
        <v>4054</v>
      </c>
      <c r="M892" s="5" t="str">
        <f t="shared" si="2"/>
        <v>Low</v>
      </c>
      <c r="N892" s="5">
        <f t="array" ref="N892">IFERROR(INDEX(Bookings!$I:$I,MATCH(A892,Bookings!$A:$A,0)),"")</f>
        <v>48</v>
      </c>
      <c r="O892" s="5" t="str">
        <f t="shared" si="3"/>
        <v>Advance</v>
      </c>
      <c r="P892" s="5" t="str">
        <f t="shared" si="4"/>
        <v>Hyderabad -&gt; Bengaluru</v>
      </c>
    </row>
    <row r="893" ht="15.75" customHeight="1">
      <c r="A893" s="5" t="s">
        <v>2594</v>
      </c>
      <c r="B893" s="5" t="s">
        <v>2027</v>
      </c>
      <c r="C893" s="5" t="s">
        <v>640</v>
      </c>
      <c r="D893" s="5" t="s">
        <v>43</v>
      </c>
      <c r="E893" s="6" t="str">
        <f t="array" ref="E893">IFERROR(INDEX(Airlines!$B:$B,MATCH(D893,Airlines!$A:$A,0)),"")</f>
        <v>Indigo</v>
      </c>
      <c r="F893" s="6" t="str">
        <f>VLOOKUP(A893,Bookings!$A:$F,6,FALSE())</f>
        <v>Economy</v>
      </c>
      <c r="G893" s="6" t="str">
        <f t="array" ref="G893">IFERROR(INDEX(Flights!$E:$E,MATCH(B893,Flights!$A:$A,0)),"")</f>
        <v>Hyderabad</v>
      </c>
      <c r="H893" s="6" t="str">
        <f>VLOOKUP(B893,Flights!A:H,6,FALSE())</f>
        <v>Kolkata</v>
      </c>
      <c r="I893" s="6" t="str">
        <f t="array" ref="I893">IFERROR(INDEX(Bookings!$G:$G,MATCH(B893,Bookings!$B:$B,0)),"")</f>
        <v>1</v>
      </c>
      <c r="J893" s="5">
        <f>VLOOKUP(B893,Bookings!B:H,7,FALSE())</f>
        <v>5.08</v>
      </c>
      <c r="K893" s="5" t="str">
        <f t="shared" si="1"/>
        <v>Medium</v>
      </c>
      <c r="L893" s="11">
        <f t="array" ref="L893">IFERROR(INDEX(Bookings!$K:$K,MATCH(A893,Bookings!$A:$A,0)),"")</f>
        <v>5293</v>
      </c>
      <c r="M893" s="5" t="str">
        <f t="shared" si="2"/>
        <v>Medium</v>
      </c>
      <c r="N893" s="5">
        <f t="array" ref="N893">IFERROR(INDEX(Bookings!$I:$I,MATCH(A893,Bookings!$A:$A,0)),"")</f>
        <v>25</v>
      </c>
      <c r="O893" s="5" t="str">
        <f t="shared" si="3"/>
        <v>Moderate</v>
      </c>
      <c r="P893" s="5" t="str">
        <f t="shared" si="4"/>
        <v>Hyderabad -&gt; Kolkata</v>
      </c>
    </row>
    <row r="894" ht="15.75" customHeight="1">
      <c r="A894" s="5" t="s">
        <v>2597</v>
      </c>
      <c r="B894" s="5" t="s">
        <v>1988</v>
      </c>
      <c r="C894" s="5" t="s">
        <v>640</v>
      </c>
      <c r="D894" s="5" t="s">
        <v>45</v>
      </c>
      <c r="E894" s="6" t="str">
        <f t="array" ref="E894">IFERROR(INDEX(Airlines!$B:$B,MATCH(D894,Airlines!$A:$A,0)),"")</f>
        <v>Air_India</v>
      </c>
      <c r="F894" s="6" t="str">
        <f>VLOOKUP(A894,Bookings!$A:$F,6,FALSE())</f>
        <v>Economy</v>
      </c>
      <c r="G894" s="6" t="str">
        <f t="array" ref="G894">IFERROR(INDEX(Flights!$E:$E,MATCH(B894,Flights!$A:$A,0)),"")</f>
        <v>Hyderabad</v>
      </c>
      <c r="H894" s="6" t="str">
        <f>VLOOKUP(B894,Flights!A:H,6,FALSE())</f>
        <v>Kolkata</v>
      </c>
      <c r="I894" s="6" t="str">
        <f t="array" ref="I894">IFERROR(INDEX(Bookings!$G:$G,MATCH(B894,Bookings!$B:$B,0)),"")</f>
        <v>1</v>
      </c>
      <c r="J894" s="5">
        <f>VLOOKUP(B894,Bookings!B:H,7,FALSE())</f>
        <v>22.33</v>
      </c>
      <c r="K894" s="5" t="str">
        <f t="shared" si="1"/>
        <v>Long</v>
      </c>
      <c r="L894" s="11">
        <f t="array" ref="L894">IFERROR(INDEX(Bookings!$K:$K,MATCH(A894,Bookings!$A:$A,0)),"")</f>
        <v>4368</v>
      </c>
      <c r="M894" s="5" t="str">
        <f t="shared" si="2"/>
        <v>Low</v>
      </c>
      <c r="N894" s="5">
        <f t="array" ref="N894">IFERROR(INDEX(Bookings!$I:$I,MATCH(A894,Bookings!$A:$A,0)),"")</f>
        <v>32</v>
      </c>
      <c r="O894" s="5" t="str">
        <f t="shared" si="3"/>
        <v>Advance</v>
      </c>
      <c r="P894" s="5" t="str">
        <f t="shared" si="4"/>
        <v>Hyderabad -&gt; Kolkata</v>
      </c>
    </row>
    <row r="895" ht="15.75" customHeight="1">
      <c r="A895" s="5" t="s">
        <v>2600</v>
      </c>
      <c r="B895" s="5" t="s">
        <v>2018</v>
      </c>
      <c r="C895" s="5" t="s">
        <v>640</v>
      </c>
      <c r="D895" s="5" t="s">
        <v>43</v>
      </c>
      <c r="E895" s="6" t="str">
        <f t="array" ref="E895">IFERROR(INDEX(Airlines!$B:$B,MATCH(D895,Airlines!$A:$A,0)),"")</f>
        <v>Indigo</v>
      </c>
      <c r="F895" s="6" t="str">
        <f>VLOOKUP(A895,Bookings!$A:$F,6,FALSE())</f>
        <v>Economy</v>
      </c>
      <c r="G895" s="6" t="str">
        <f t="array" ref="G895">IFERROR(INDEX(Flights!$E:$E,MATCH(B895,Flights!$A:$A,0)),"")</f>
        <v>Hyderabad</v>
      </c>
      <c r="H895" s="6" t="str">
        <f>VLOOKUP(B895,Flights!A:H,6,FALSE())</f>
        <v>Kolkata</v>
      </c>
      <c r="I895" s="6" t="str">
        <f t="array" ref="I895">IFERROR(INDEX(Bookings!$G:$G,MATCH(B895,Bookings!$B:$B,0)),"")</f>
        <v>1</v>
      </c>
      <c r="J895" s="5">
        <f>VLOOKUP(B895,Bookings!B:H,7,FALSE())</f>
        <v>5.5</v>
      </c>
      <c r="K895" s="5" t="str">
        <f t="shared" si="1"/>
        <v>Medium</v>
      </c>
      <c r="L895" s="11">
        <f t="array" ref="L895">IFERROR(INDEX(Bookings!$K:$K,MATCH(A895,Bookings!$A:$A,0)),"")</f>
        <v>24561</v>
      </c>
      <c r="M895" s="5" t="str">
        <f t="shared" si="2"/>
        <v>High</v>
      </c>
      <c r="N895" s="5">
        <f t="array" ref="N895">IFERROR(INDEX(Bookings!$I:$I,MATCH(A895,Bookings!$A:$A,0)),"")</f>
        <v>1</v>
      </c>
      <c r="O895" s="5" t="str">
        <f t="shared" si="3"/>
        <v>Last Minute</v>
      </c>
      <c r="P895" s="5" t="str">
        <f t="shared" si="4"/>
        <v>Hyderabad -&gt; Kolkata</v>
      </c>
    </row>
    <row r="896" ht="15.75" customHeight="1">
      <c r="A896" s="5" t="s">
        <v>2602</v>
      </c>
      <c r="B896" s="5" t="s">
        <v>1965</v>
      </c>
      <c r="C896" s="5" t="s">
        <v>640</v>
      </c>
      <c r="D896" s="5" t="s">
        <v>43</v>
      </c>
      <c r="E896" s="6" t="str">
        <f t="array" ref="E896">IFERROR(INDEX(Airlines!$B:$B,MATCH(D896,Airlines!$A:$A,0)),"")</f>
        <v>Indigo</v>
      </c>
      <c r="F896" s="6" t="str">
        <f>VLOOKUP(A896,Bookings!$A:$F,6,FALSE())</f>
        <v>Economy</v>
      </c>
      <c r="G896" s="6" t="str">
        <f t="array" ref="G896">IFERROR(INDEX(Flights!$E:$E,MATCH(B896,Flights!$A:$A,0)),"")</f>
        <v>Hyderabad</v>
      </c>
      <c r="H896" s="6" t="str">
        <f>VLOOKUP(B896,Flights!A:H,6,FALSE())</f>
        <v>Kolkata</v>
      </c>
      <c r="I896" s="6" t="str">
        <f t="array" ref="I896">IFERROR(INDEX(Bookings!$G:$G,MATCH(B896,Bookings!$B:$B,0)),"")</f>
        <v>1</v>
      </c>
      <c r="J896" s="5">
        <f>VLOOKUP(B896,Bookings!B:H,7,FALSE())</f>
        <v>7.25</v>
      </c>
      <c r="K896" s="5" t="str">
        <f t="shared" si="1"/>
        <v>Medium</v>
      </c>
      <c r="L896" s="11">
        <f t="array" ref="L896">IFERROR(INDEX(Bookings!$K:$K,MATCH(A896,Bookings!$A:$A,0)),"")</f>
        <v>4390</v>
      </c>
      <c r="M896" s="5" t="str">
        <f t="shared" si="2"/>
        <v>Low</v>
      </c>
      <c r="N896" s="5">
        <f t="array" ref="N896">IFERROR(INDEX(Bookings!$I:$I,MATCH(A896,Bookings!$A:$A,0)),"")</f>
        <v>39</v>
      </c>
      <c r="O896" s="5" t="str">
        <f t="shared" si="3"/>
        <v>Advance</v>
      </c>
      <c r="P896" s="5" t="str">
        <f t="shared" si="4"/>
        <v>Hyderabad -&gt; Kolkata</v>
      </c>
    </row>
    <row r="897" ht="15.75" customHeight="1">
      <c r="A897" s="5" t="s">
        <v>2603</v>
      </c>
      <c r="B897" s="5" t="s">
        <v>2001</v>
      </c>
      <c r="C897" s="5" t="s">
        <v>640</v>
      </c>
      <c r="D897" s="5" t="s">
        <v>43</v>
      </c>
      <c r="E897" s="6" t="str">
        <f t="array" ref="E897">IFERROR(INDEX(Airlines!$B:$B,MATCH(D897,Airlines!$A:$A,0)),"")</f>
        <v>Indigo</v>
      </c>
      <c r="F897" s="6" t="str">
        <f>VLOOKUP(A897,Bookings!$A:$F,6,FALSE())</f>
        <v>Economy</v>
      </c>
      <c r="G897" s="6" t="str">
        <f t="array" ref="G897">IFERROR(INDEX(Flights!$E:$E,MATCH(B897,Flights!$A:$A,0)),"")</f>
        <v>Hyderabad</v>
      </c>
      <c r="H897" s="6" t="str">
        <f>VLOOKUP(B897,Flights!A:H,6,FALSE())</f>
        <v>Kolkata</v>
      </c>
      <c r="I897" s="6" t="str">
        <f t="array" ref="I897">IFERROR(INDEX(Bookings!$G:$G,MATCH(B897,Bookings!$B:$B,0)),"")</f>
        <v>1</v>
      </c>
      <c r="J897" s="5">
        <f>VLOOKUP(B897,Bookings!B:H,7,FALSE())</f>
        <v>10.08</v>
      </c>
      <c r="K897" s="5" t="str">
        <f t="shared" si="1"/>
        <v>Long</v>
      </c>
      <c r="L897" s="11">
        <f t="array" ref="L897">IFERROR(INDEX(Bookings!$K:$K,MATCH(A897,Bookings!$A:$A,0)),"")</f>
        <v>8034</v>
      </c>
      <c r="M897" s="5" t="str">
        <f t="shared" si="2"/>
        <v>Medium</v>
      </c>
      <c r="N897" s="5">
        <f t="array" ref="N897">IFERROR(INDEX(Bookings!$I:$I,MATCH(A897,Bookings!$A:$A,0)),"")</f>
        <v>4</v>
      </c>
      <c r="O897" s="5" t="str">
        <f t="shared" si="3"/>
        <v>Last Minute</v>
      </c>
      <c r="P897" s="5" t="str">
        <f t="shared" si="4"/>
        <v>Hyderabad -&gt; Kolkata</v>
      </c>
    </row>
    <row r="898" ht="15.75" customHeight="1">
      <c r="A898" s="5" t="s">
        <v>2604</v>
      </c>
      <c r="B898" s="5" t="s">
        <v>1993</v>
      </c>
      <c r="C898" s="5" t="s">
        <v>640</v>
      </c>
      <c r="D898" s="5" t="s">
        <v>20</v>
      </c>
      <c r="E898" s="6" t="str">
        <f t="array" ref="E898">IFERROR(INDEX(Airlines!$B:$B,MATCH(D898,Airlines!$A:$A,0)),"")</f>
        <v>Vistara</v>
      </c>
      <c r="F898" s="6" t="str">
        <f>VLOOKUP(A898,Bookings!$A:$F,6,FALSE())</f>
        <v>Economy</v>
      </c>
      <c r="G898" s="6" t="str">
        <f t="array" ref="G898">IFERROR(INDEX(Flights!$E:$E,MATCH(B898,Flights!$A:$A,0)),"")</f>
        <v>Hyderabad</v>
      </c>
      <c r="H898" s="6" t="str">
        <f>VLOOKUP(B898,Flights!A:H,6,FALSE())</f>
        <v>Kolkata</v>
      </c>
      <c r="I898" s="6" t="str">
        <f t="array" ref="I898">IFERROR(INDEX(Bookings!$G:$G,MATCH(B898,Bookings!$B:$B,0)),"")</f>
        <v>1</v>
      </c>
      <c r="J898" s="5">
        <f>VLOOKUP(B898,Bookings!B:H,7,FALSE())</f>
        <v>11.25</v>
      </c>
      <c r="K898" s="5" t="str">
        <f t="shared" si="1"/>
        <v>Long</v>
      </c>
      <c r="L898" s="11">
        <f t="array" ref="L898">IFERROR(INDEX(Bookings!$K:$K,MATCH(A898,Bookings!$A:$A,0)),"")</f>
        <v>5960</v>
      </c>
      <c r="M898" s="5" t="str">
        <f t="shared" si="2"/>
        <v>Medium</v>
      </c>
      <c r="N898" s="5">
        <f t="array" ref="N898">IFERROR(INDEX(Bookings!$I:$I,MATCH(A898,Bookings!$A:$A,0)),"")</f>
        <v>33</v>
      </c>
      <c r="O898" s="5" t="str">
        <f t="shared" si="3"/>
        <v>Advance</v>
      </c>
      <c r="P898" s="5" t="str">
        <f t="shared" si="4"/>
        <v>Hyderabad -&gt; Kolkata</v>
      </c>
    </row>
    <row r="899" ht="15.75" customHeight="1">
      <c r="A899" s="5" t="s">
        <v>2606</v>
      </c>
      <c r="B899" s="5" t="s">
        <v>2049</v>
      </c>
      <c r="C899" s="5" t="s">
        <v>640</v>
      </c>
      <c r="D899" s="5" t="s">
        <v>43</v>
      </c>
      <c r="E899" s="6" t="str">
        <f t="array" ref="E899">IFERROR(INDEX(Airlines!$B:$B,MATCH(D899,Airlines!$A:$A,0)),"")</f>
        <v>Indigo</v>
      </c>
      <c r="F899" s="6" t="str">
        <f>VLOOKUP(A899,Bookings!$A:$F,6,FALSE())</f>
        <v>Economy</v>
      </c>
      <c r="G899" s="6" t="str">
        <f t="array" ref="G899">IFERROR(INDEX(Flights!$E:$E,MATCH(B899,Flights!$A:$A,0)),"")</f>
        <v>Hyderabad</v>
      </c>
      <c r="H899" s="6" t="str">
        <f>VLOOKUP(B899,Flights!A:H,6,FALSE())</f>
        <v>Kolkata</v>
      </c>
      <c r="I899" s="6" t="str">
        <f t="array" ref="I899">IFERROR(INDEX(Bookings!$G:$G,MATCH(B899,Bookings!$B:$B,0)),"")</f>
        <v>1</v>
      </c>
      <c r="J899" s="5">
        <f>VLOOKUP(B899,Bookings!B:H,7,FALSE())</f>
        <v>8</v>
      </c>
      <c r="K899" s="5" t="str">
        <f t="shared" si="1"/>
        <v>Medium</v>
      </c>
      <c r="L899" s="11">
        <f t="array" ref="L899">IFERROR(INDEX(Bookings!$K:$K,MATCH(A899,Bookings!$A:$A,0)),"")</f>
        <v>16161</v>
      </c>
      <c r="M899" s="5" t="str">
        <f t="shared" si="2"/>
        <v>High</v>
      </c>
      <c r="N899" s="5">
        <f t="array" ref="N899">IFERROR(INDEX(Bookings!$I:$I,MATCH(A899,Bookings!$A:$A,0)),"")</f>
        <v>2</v>
      </c>
      <c r="O899" s="5" t="str">
        <f t="shared" si="3"/>
        <v>Last Minute</v>
      </c>
      <c r="P899" s="5" t="str">
        <f t="shared" si="4"/>
        <v>Hyderabad -&gt; Kolkata</v>
      </c>
    </row>
    <row r="900" ht="15.75" customHeight="1">
      <c r="A900" s="5" t="s">
        <v>2607</v>
      </c>
      <c r="B900" s="5" t="s">
        <v>1996</v>
      </c>
      <c r="C900" s="5" t="s">
        <v>640</v>
      </c>
      <c r="D900" s="5" t="s">
        <v>29</v>
      </c>
      <c r="E900" s="6" t="str">
        <f t="array" ref="E900">IFERROR(INDEX(Airlines!$B:$B,MATCH(D900,Airlines!$A:$A,0)),"")</f>
        <v>AirAsia</v>
      </c>
      <c r="F900" s="6" t="str">
        <f>VLOOKUP(A900,Bookings!$A:$F,6,FALSE())</f>
        <v>Economy</v>
      </c>
      <c r="G900" s="6" t="str">
        <f t="array" ref="G900">IFERROR(INDEX(Flights!$E:$E,MATCH(B900,Flights!$A:$A,0)),"")</f>
        <v>Hyderabad</v>
      </c>
      <c r="H900" s="6" t="str">
        <f>VLOOKUP(B900,Flights!A:H,6,FALSE())</f>
        <v>Kolkata</v>
      </c>
      <c r="I900" s="6" t="str">
        <f t="array" ref="I900">IFERROR(INDEX(Bookings!$G:$G,MATCH(B900,Bookings!$B:$B,0)),"")</f>
        <v>1</v>
      </c>
      <c r="J900" s="5">
        <f>VLOOKUP(B900,Bookings!B:H,7,FALSE())</f>
        <v>13.25</v>
      </c>
      <c r="K900" s="5" t="str">
        <f t="shared" si="1"/>
        <v>Long</v>
      </c>
      <c r="L900" s="11">
        <f t="array" ref="L900">IFERROR(INDEX(Bookings!$K:$K,MATCH(A900,Bookings!$A:$A,0)),"")</f>
        <v>7336</v>
      </c>
      <c r="M900" s="5" t="str">
        <f t="shared" si="2"/>
        <v>Medium</v>
      </c>
      <c r="N900" s="5">
        <f t="array" ref="N900">IFERROR(INDEX(Bookings!$I:$I,MATCH(A900,Bookings!$A:$A,0)),"")</f>
        <v>43</v>
      </c>
      <c r="O900" s="5" t="str">
        <f t="shared" si="3"/>
        <v>Advance</v>
      </c>
      <c r="P900" s="5" t="str">
        <f t="shared" si="4"/>
        <v>Hyderabad -&gt; Kolkata</v>
      </c>
    </row>
    <row r="901" ht="15.75" customHeight="1">
      <c r="A901" s="5" t="s">
        <v>2608</v>
      </c>
      <c r="B901" s="5" t="s">
        <v>2015</v>
      </c>
      <c r="C901" s="5" t="s">
        <v>640</v>
      </c>
      <c r="D901" s="5" t="s">
        <v>45</v>
      </c>
      <c r="E901" s="6" t="str">
        <f t="array" ref="E901">IFERROR(INDEX(Airlines!$B:$B,MATCH(D901,Airlines!$A:$A,0)),"")</f>
        <v>Air_India</v>
      </c>
      <c r="F901" s="6" t="str">
        <f>VLOOKUP(A901,Bookings!$A:$F,6,FALSE())</f>
        <v>Economy</v>
      </c>
      <c r="G901" s="6" t="str">
        <f t="array" ref="G901">IFERROR(INDEX(Flights!$E:$E,MATCH(B901,Flights!$A:$A,0)),"")</f>
        <v>Hyderabad</v>
      </c>
      <c r="H901" s="6" t="str">
        <f>VLOOKUP(B901,Flights!A:H,6,FALSE())</f>
        <v>Kolkata</v>
      </c>
      <c r="I901" s="6" t="str">
        <f t="array" ref="I901">IFERROR(INDEX(Bookings!$G:$G,MATCH(B901,Bookings!$B:$B,0)),"")</f>
        <v>1</v>
      </c>
      <c r="J901" s="5">
        <f>VLOOKUP(B901,Bookings!B:H,7,FALSE())</f>
        <v>28.5</v>
      </c>
      <c r="K901" s="5" t="str">
        <f t="shared" si="1"/>
        <v>Long</v>
      </c>
      <c r="L901" s="11">
        <f t="array" ref="L901">IFERROR(INDEX(Bookings!$K:$K,MATCH(A901,Bookings!$A:$A,0)),"")</f>
        <v>5223</v>
      </c>
      <c r="M901" s="5" t="str">
        <f t="shared" si="2"/>
        <v>Medium</v>
      </c>
      <c r="N901" s="5">
        <f t="array" ref="N901">IFERROR(INDEX(Bookings!$I:$I,MATCH(A901,Bookings!$A:$A,0)),"")</f>
        <v>31</v>
      </c>
      <c r="O901" s="5" t="str">
        <f t="shared" si="3"/>
        <v>Advance</v>
      </c>
      <c r="P901" s="5" t="str">
        <f t="shared" si="4"/>
        <v>Hyderabad -&gt; Kolkata</v>
      </c>
    </row>
    <row r="902" ht="15.75" customHeight="1">
      <c r="A902" s="5" t="s">
        <v>2610</v>
      </c>
      <c r="B902" s="5" t="s">
        <v>1975</v>
      </c>
      <c r="C902" s="5" t="s">
        <v>640</v>
      </c>
      <c r="D902" s="5" t="s">
        <v>58</v>
      </c>
      <c r="E902" s="6" t="str">
        <f t="array" ref="E902">IFERROR(INDEX(Airlines!$B:$B,MATCH(D902,Airlines!$A:$A,0)),"")</f>
        <v>Go_First</v>
      </c>
      <c r="F902" s="6" t="str">
        <f>VLOOKUP(A902,Bookings!$A:$F,6,FALSE())</f>
        <v>Economy</v>
      </c>
      <c r="G902" s="6" t="str">
        <f t="array" ref="G902">IFERROR(INDEX(Flights!$E:$E,MATCH(B902,Flights!$A:$A,0)),"")</f>
        <v>Hyderabad</v>
      </c>
      <c r="H902" s="6" t="str">
        <f>VLOOKUP(B902,Flights!A:H,6,FALSE())</f>
        <v>Kolkata</v>
      </c>
      <c r="I902" s="6" t="str">
        <f t="array" ref="I902">IFERROR(INDEX(Bookings!$G:$G,MATCH(B902,Bookings!$B:$B,0)),"")</f>
        <v>1</v>
      </c>
      <c r="J902" s="5">
        <f>VLOOKUP(B902,Bookings!B:H,7,FALSE())</f>
        <v>15.25</v>
      </c>
      <c r="K902" s="5" t="str">
        <f t="shared" si="1"/>
        <v>Long</v>
      </c>
      <c r="L902" s="11">
        <f t="array" ref="L902">IFERROR(INDEX(Bookings!$K:$K,MATCH(A902,Bookings!$A:$A,0)),"")</f>
        <v>5292</v>
      </c>
      <c r="M902" s="5" t="str">
        <f t="shared" si="2"/>
        <v>Medium</v>
      </c>
      <c r="N902" s="5">
        <f t="array" ref="N902">IFERROR(INDEX(Bookings!$I:$I,MATCH(A902,Bookings!$A:$A,0)),"")</f>
        <v>28</v>
      </c>
      <c r="O902" s="5" t="str">
        <f t="shared" si="3"/>
        <v>Moderate</v>
      </c>
      <c r="P902" s="5" t="str">
        <f t="shared" si="4"/>
        <v>Hyderabad -&gt; Kolkata</v>
      </c>
    </row>
    <row r="903" ht="15.75" customHeight="1">
      <c r="A903" s="5" t="s">
        <v>2612</v>
      </c>
      <c r="B903" s="5" t="s">
        <v>1972</v>
      </c>
      <c r="C903" s="5" t="s">
        <v>640</v>
      </c>
      <c r="D903" s="5" t="s">
        <v>45</v>
      </c>
      <c r="E903" s="6" t="str">
        <f t="array" ref="E903">IFERROR(INDEX(Airlines!$B:$B,MATCH(D903,Airlines!$A:$A,0)),"")</f>
        <v>Air_India</v>
      </c>
      <c r="F903" s="6" t="str">
        <f>VLOOKUP(A903,Bookings!$A:$F,6,FALSE())</f>
        <v>Economy</v>
      </c>
      <c r="G903" s="6" t="str">
        <f t="array" ref="G903">IFERROR(INDEX(Flights!$E:$E,MATCH(B903,Flights!$A:$A,0)),"")</f>
        <v>Hyderabad</v>
      </c>
      <c r="H903" s="6" t="str">
        <f>VLOOKUP(B903,Flights!A:H,6,FALSE())</f>
        <v>Kolkata</v>
      </c>
      <c r="I903" s="6" t="str">
        <f t="array" ref="I903">IFERROR(INDEX(Bookings!$G:$G,MATCH(B903,Bookings!$B:$B,0)),"")</f>
        <v>1</v>
      </c>
      <c r="J903" s="5">
        <f>VLOOKUP(B903,Bookings!B:H,7,FALSE())</f>
        <v>22.08</v>
      </c>
      <c r="K903" s="5" t="str">
        <f t="shared" si="1"/>
        <v>Long</v>
      </c>
      <c r="L903" s="11">
        <f t="array" ref="L903">IFERROR(INDEX(Bookings!$K:$K,MATCH(A903,Bookings!$A:$A,0)),"")</f>
        <v>15583</v>
      </c>
      <c r="M903" s="5" t="str">
        <f t="shared" si="2"/>
        <v>Medium</v>
      </c>
      <c r="N903" s="5">
        <f t="array" ref="N903">IFERROR(INDEX(Bookings!$I:$I,MATCH(A903,Bookings!$A:$A,0)),"")</f>
        <v>3</v>
      </c>
      <c r="O903" s="5" t="str">
        <f t="shared" si="3"/>
        <v>Last Minute</v>
      </c>
      <c r="P903" s="5" t="str">
        <f t="shared" si="4"/>
        <v>Hyderabad -&gt; Kolkata</v>
      </c>
    </row>
    <row r="904" ht="15.75" customHeight="1">
      <c r="A904" s="5" t="s">
        <v>2614</v>
      </c>
      <c r="B904" s="5" t="s">
        <v>1979</v>
      </c>
      <c r="C904" s="5" t="s">
        <v>640</v>
      </c>
      <c r="D904" s="5" t="s">
        <v>45</v>
      </c>
      <c r="E904" s="6" t="str">
        <f t="array" ref="E904">IFERROR(INDEX(Airlines!$B:$B,MATCH(D904,Airlines!$A:$A,0)),"")</f>
        <v>Air_India</v>
      </c>
      <c r="F904" s="6" t="str">
        <f>VLOOKUP(A904,Bookings!$A:$F,6,FALSE())</f>
        <v>Economy</v>
      </c>
      <c r="G904" s="6" t="str">
        <f t="array" ref="G904">IFERROR(INDEX(Flights!$E:$E,MATCH(B904,Flights!$A:$A,0)),"")</f>
        <v>Hyderabad</v>
      </c>
      <c r="H904" s="6" t="str">
        <f>VLOOKUP(B904,Flights!A:H,6,FALSE())</f>
        <v>Kolkata</v>
      </c>
      <c r="I904" s="6" t="str">
        <f t="array" ref="I904">IFERROR(INDEX(Bookings!$G:$G,MATCH(B904,Bookings!$B:$B,0)),"")</f>
        <v>2+</v>
      </c>
      <c r="J904" s="5">
        <f>VLOOKUP(B904,Bookings!B:H,7,FALSE())</f>
        <v>33.17</v>
      </c>
      <c r="K904" s="5" t="str">
        <f t="shared" si="1"/>
        <v>Long</v>
      </c>
      <c r="L904" s="11">
        <f t="array" ref="L904">IFERROR(INDEX(Bookings!$K:$K,MATCH(A904,Bookings!$A:$A,0)),"")</f>
        <v>16311</v>
      </c>
      <c r="M904" s="5" t="str">
        <f t="shared" si="2"/>
        <v>High</v>
      </c>
      <c r="N904" s="5">
        <f t="array" ref="N904">IFERROR(INDEX(Bookings!$I:$I,MATCH(A904,Bookings!$A:$A,0)),"")</f>
        <v>3</v>
      </c>
      <c r="O904" s="5" t="str">
        <f t="shared" si="3"/>
        <v>Last Minute</v>
      </c>
      <c r="P904" s="5" t="str">
        <f t="shared" si="4"/>
        <v>Hyderabad -&gt; Kolkata</v>
      </c>
    </row>
    <row r="905" ht="15.75" customHeight="1">
      <c r="A905" s="5" t="s">
        <v>2615</v>
      </c>
      <c r="B905" s="5" t="s">
        <v>2040</v>
      </c>
      <c r="C905" s="5" t="s">
        <v>640</v>
      </c>
      <c r="D905" s="5" t="s">
        <v>20</v>
      </c>
      <c r="E905" s="6" t="str">
        <f t="array" ref="E905">IFERROR(INDEX(Airlines!$B:$B,MATCH(D905,Airlines!$A:$A,0)),"")</f>
        <v>Vistara</v>
      </c>
      <c r="F905" s="6" t="str">
        <f>VLOOKUP(A905,Bookings!$A:$F,6,FALSE())</f>
        <v>Business</v>
      </c>
      <c r="G905" s="6" t="str">
        <f t="array" ref="G905">IFERROR(INDEX(Flights!$E:$E,MATCH(B905,Flights!$A:$A,0)),"")</f>
        <v>Hyderabad</v>
      </c>
      <c r="H905" s="6" t="str">
        <f>VLOOKUP(B905,Flights!A:H,6,FALSE())</f>
        <v>Kolkata</v>
      </c>
      <c r="I905" s="6" t="str">
        <f t="array" ref="I905">IFERROR(INDEX(Bookings!$G:$G,MATCH(B905,Bookings!$B:$B,0)),"")</f>
        <v>2+</v>
      </c>
      <c r="J905" s="5">
        <f>VLOOKUP(B905,Bookings!B:H,7,FALSE())</f>
        <v>23.25</v>
      </c>
      <c r="K905" s="5" t="str">
        <f t="shared" si="1"/>
        <v>Long</v>
      </c>
      <c r="L905" s="11">
        <f t="array" ref="L905">IFERROR(INDEX(Bookings!$K:$K,MATCH(A905,Bookings!$A:$A,0)),"")</f>
        <v>71979</v>
      </c>
      <c r="M905" s="5" t="str">
        <f t="shared" si="2"/>
        <v>High</v>
      </c>
      <c r="N905" s="5">
        <f t="array" ref="N905">IFERROR(INDEX(Bookings!$I:$I,MATCH(A905,Bookings!$A:$A,0)),"")</f>
        <v>3</v>
      </c>
      <c r="O905" s="5" t="str">
        <f t="shared" si="3"/>
        <v>Last Minute</v>
      </c>
      <c r="P905" s="5" t="str">
        <f t="shared" si="4"/>
        <v>Hyderabad -&gt; Kolkata</v>
      </c>
    </row>
    <row r="906" ht="15.75" customHeight="1">
      <c r="A906" s="5" t="s">
        <v>2617</v>
      </c>
      <c r="B906" s="5" t="s">
        <v>2056</v>
      </c>
      <c r="C906" s="5" t="s">
        <v>640</v>
      </c>
      <c r="D906" s="5" t="s">
        <v>43</v>
      </c>
      <c r="E906" s="6" t="str">
        <f t="array" ref="E906">IFERROR(INDEX(Airlines!$B:$B,MATCH(D906,Airlines!$A:$A,0)),"")</f>
        <v>Indigo</v>
      </c>
      <c r="F906" s="6" t="str">
        <f>VLOOKUP(A906,Bookings!$A:$F,6,FALSE())</f>
        <v>Economy</v>
      </c>
      <c r="G906" s="6" t="str">
        <f t="array" ref="G906">IFERROR(INDEX(Flights!$E:$E,MATCH(B906,Flights!$A:$A,0)),"")</f>
        <v>Hyderabad</v>
      </c>
      <c r="H906" s="6" t="str">
        <f>VLOOKUP(B906,Flights!A:H,6,FALSE())</f>
        <v>Kolkata</v>
      </c>
      <c r="I906" s="6" t="str">
        <f t="array" ref="I906">IFERROR(INDEX(Bookings!$G:$G,MATCH(B906,Bookings!$B:$B,0)),"")</f>
        <v>1</v>
      </c>
      <c r="J906" s="5">
        <f>VLOOKUP(B906,Bookings!B:H,7,FALSE())</f>
        <v>7.25</v>
      </c>
      <c r="K906" s="5" t="str">
        <f t="shared" si="1"/>
        <v>Medium</v>
      </c>
      <c r="L906" s="11">
        <f t="array" ref="L906">IFERROR(INDEX(Bookings!$K:$K,MATCH(A906,Bookings!$A:$A,0)),"")</f>
        <v>20676</v>
      </c>
      <c r="M906" s="5" t="str">
        <f t="shared" si="2"/>
        <v>High</v>
      </c>
      <c r="N906" s="5">
        <f t="array" ref="N906">IFERROR(INDEX(Bookings!$I:$I,MATCH(A906,Bookings!$A:$A,0)),"")</f>
        <v>3</v>
      </c>
      <c r="O906" s="5" t="str">
        <f t="shared" si="3"/>
        <v>Last Minute</v>
      </c>
      <c r="P906" s="5" t="str">
        <f t="shared" si="4"/>
        <v>Hyderabad -&gt; Kolkata</v>
      </c>
    </row>
    <row r="907" ht="15.75" customHeight="1">
      <c r="A907" s="5" t="s">
        <v>2619</v>
      </c>
      <c r="B907" s="5" t="s">
        <v>2033</v>
      </c>
      <c r="C907" s="5" t="s">
        <v>640</v>
      </c>
      <c r="D907" s="5" t="s">
        <v>45</v>
      </c>
      <c r="E907" s="6" t="str">
        <f t="array" ref="E907">IFERROR(INDEX(Airlines!$B:$B,MATCH(D907,Airlines!$A:$A,0)),"")</f>
        <v>Air_India</v>
      </c>
      <c r="F907" s="6" t="str">
        <f>VLOOKUP(A907,Bookings!$A:$F,6,FALSE())</f>
        <v>Business</v>
      </c>
      <c r="G907" s="6" t="str">
        <f t="array" ref="G907">IFERROR(INDEX(Flights!$E:$E,MATCH(B907,Flights!$A:$A,0)),"")</f>
        <v>Hyderabad</v>
      </c>
      <c r="H907" s="6" t="str">
        <f>VLOOKUP(B907,Flights!A:H,6,FALSE())</f>
        <v>Kolkata</v>
      </c>
      <c r="I907" s="6" t="str">
        <f t="array" ref="I907">IFERROR(INDEX(Bookings!$G:$G,MATCH(B907,Bookings!$B:$B,0)),"")</f>
        <v>1</v>
      </c>
      <c r="J907" s="5">
        <f>VLOOKUP(B907,Bookings!B:H,7,FALSE())</f>
        <v>20.5</v>
      </c>
      <c r="K907" s="5" t="str">
        <f t="shared" si="1"/>
        <v>Long</v>
      </c>
      <c r="L907" s="11">
        <f t="array" ref="L907">IFERROR(INDEX(Bookings!$K:$K,MATCH(A907,Bookings!$A:$A,0)),"")</f>
        <v>39948</v>
      </c>
      <c r="M907" s="5" t="str">
        <f t="shared" si="2"/>
        <v>High</v>
      </c>
      <c r="N907" s="5" t="str">
        <f t="array" ref="N907">IFERROR(INDEX(Bookings!$I:$I,MATCH(A907,Bookings!$A:$A,0)),"")</f>
        <v/>
      </c>
      <c r="O907" s="5" t="str">
        <f t="shared" si="3"/>
        <v>Last Minute</v>
      </c>
      <c r="P907" s="5" t="str">
        <f t="shared" si="4"/>
        <v>Hyderabad -&gt; Kolkata</v>
      </c>
    </row>
    <row r="908" ht="15.75" customHeight="1">
      <c r="A908" s="5" t="s">
        <v>2622</v>
      </c>
      <c r="B908" s="5" t="s">
        <v>2053</v>
      </c>
      <c r="C908" s="5" t="s">
        <v>640</v>
      </c>
      <c r="D908" s="5" t="s">
        <v>45</v>
      </c>
      <c r="E908" s="6" t="str">
        <f t="array" ref="E908">IFERROR(INDEX(Airlines!$B:$B,MATCH(D908,Airlines!$A:$A,0)),"")</f>
        <v>Air_India</v>
      </c>
      <c r="F908" s="6" t="str">
        <f>VLOOKUP(A908,Bookings!$A:$F,6,FALSE())</f>
        <v>Economy</v>
      </c>
      <c r="G908" s="6" t="str">
        <f t="array" ref="G908">IFERROR(INDEX(Flights!$E:$E,MATCH(B908,Flights!$A:$A,0)),"")</f>
        <v>Hyderabad</v>
      </c>
      <c r="H908" s="6" t="str">
        <f>VLOOKUP(B908,Flights!A:H,6,FALSE())</f>
        <v>Kolkata</v>
      </c>
      <c r="I908" s="6" t="str">
        <f t="array" ref="I908">IFERROR(INDEX(Bookings!$G:$G,MATCH(B908,Bookings!$B:$B,0)),"")</f>
        <v>1</v>
      </c>
      <c r="J908" s="5">
        <f>VLOOKUP(B908,Bookings!B:H,7,FALSE())</f>
        <v>15.67</v>
      </c>
      <c r="K908" s="5" t="str">
        <f t="shared" si="1"/>
        <v>Long</v>
      </c>
      <c r="L908" s="11">
        <f t="array" ref="L908">IFERROR(INDEX(Bookings!$K:$K,MATCH(A908,Bookings!$A:$A,0)),"")</f>
        <v>21883</v>
      </c>
      <c r="M908" s="5" t="str">
        <f t="shared" si="2"/>
        <v>High</v>
      </c>
      <c r="N908" s="5">
        <f t="array" ref="N908">IFERROR(INDEX(Bookings!$I:$I,MATCH(A908,Bookings!$A:$A,0)),"")</f>
        <v>3</v>
      </c>
      <c r="O908" s="5" t="str">
        <f t="shared" si="3"/>
        <v>Last Minute</v>
      </c>
      <c r="P908" s="5" t="str">
        <f t="shared" si="4"/>
        <v>Hyderabad -&gt; Kolkata</v>
      </c>
    </row>
    <row r="909" ht="15.75" customHeight="1">
      <c r="A909" s="5" t="s">
        <v>2623</v>
      </c>
      <c r="B909" s="5" t="s">
        <v>1984</v>
      </c>
      <c r="C909" s="5" t="s">
        <v>640</v>
      </c>
      <c r="D909" s="5" t="s">
        <v>43</v>
      </c>
      <c r="E909" s="6" t="str">
        <f t="array" ref="E909">IFERROR(INDEX(Airlines!$B:$B,MATCH(D909,Airlines!$A:$A,0)),"")</f>
        <v>Indigo</v>
      </c>
      <c r="F909" s="6" t="str">
        <f>VLOOKUP(A909,Bookings!$A:$F,6,FALSE())</f>
        <v>Economy</v>
      </c>
      <c r="G909" s="6" t="str">
        <f t="array" ref="G909">IFERROR(INDEX(Flights!$E:$E,MATCH(B909,Flights!$A:$A,0)),"")</f>
        <v>Hyderabad</v>
      </c>
      <c r="H909" s="6" t="str">
        <f>VLOOKUP(B909,Flights!A:H,6,FALSE())</f>
        <v>Kolkata</v>
      </c>
      <c r="I909" s="6" t="str">
        <f t="array" ref="I909">IFERROR(INDEX(Bookings!$G:$G,MATCH(B909,Bookings!$B:$B,0)),"")</f>
        <v>1</v>
      </c>
      <c r="J909" s="5">
        <f>VLOOKUP(B909,Bookings!B:H,7,FALSE())</f>
        <v>8.67</v>
      </c>
      <c r="K909" s="5" t="str">
        <f t="shared" si="1"/>
        <v>Medium</v>
      </c>
      <c r="L909" s="11">
        <f t="array" ref="L909">IFERROR(INDEX(Bookings!$K:$K,MATCH(A909,Bookings!$A:$A,0)),"")</f>
        <v>5293</v>
      </c>
      <c r="M909" s="5" t="str">
        <f t="shared" si="2"/>
        <v>Medium</v>
      </c>
      <c r="N909" s="5">
        <f t="array" ref="N909">IFERROR(INDEX(Bookings!$I:$I,MATCH(A909,Bookings!$A:$A,0)),"")</f>
        <v>4</v>
      </c>
      <c r="O909" s="5" t="str">
        <f t="shared" si="3"/>
        <v>Last Minute</v>
      </c>
      <c r="P909" s="5" t="str">
        <f t="shared" si="4"/>
        <v>Hyderabad -&gt; Kolkata</v>
      </c>
    </row>
    <row r="910" ht="15.75" customHeight="1">
      <c r="A910" s="5" t="s">
        <v>2627</v>
      </c>
      <c r="B910" s="5" t="s">
        <v>1998</v>
      </c>
      <c r="C910" s="5" t="s">
        <v>640</v>
      </c>
      <c r="D910" s="5" t="s">
        <v>43</v>
      </c>
      <c r="E910" s="6" t="str">
        <f t="array" ref="E910">IFERROR(INDEX(Airlines!$B:$B,MATCH(D910,Airlines!$A:$A,0)),"")</f>
        <v>Indigo</v>
      </c>
      <c r="F910" s="6" t="str">
        <f>VLOOKUP(A910,Bookings!$A:$F,6,FALSE())</f>
        <v>Economy</v>
      </c>
      <c r="G910" s="6" t="str">
        <f t="array" ref="G910">IFERROR(INDEX(Flights!$E:$E,MATCH(B910,Flights!$A:$A,0)),"")</f>
        <v>Hyderabad</v>
      </c>
      <c r="H910" s="6" t="str">
        <f>VLOOKUP(B910,Flights!A:H,6,FALSE())</f>
        <v>Kolkata</v>
      </c>
      <c r="I910" s="6" t="str">
        <f t="array" ref="I910">IFERROR(INDEX(Bookings!$G:$G,MATCH(B910,Bookings!$B:$B,0)),"")</f>
        <v>1</v>
      </c>
      <c r="J910" s="5">
        <f>VLOOKUP(B910,Bookings!B:H,7,FALSE())</f>
        <v>7.08</v>
      </c>
      <c r="K910" s="5" t="str">
        <f t="shared" si="1"/>
        <v>Medium</v>
      </c>
      <c r="L910" s="11">
        <f t="array" ref="L910">IFERROR(INDEX(Bookings!$K:$K,MATCH(A910,Bookings!$A:$A,0)),"")</f>
        <v>8034</v>
      </c>
      <c r="M910" s="5" t="str">
        <f t="shared" si="2"/>
        <v>Medium</v>
      </c>
      <c r="N910" s="5">
        <f t="array" ref="N910">IFERROR(INDEX(Bookings!$I:$I,MATCH(A910,Bookings!$A:$A,0)),"")</f>
        <v>4</v>
      </c>
      <c r="O910" s="5" t="str">
        <f t="shared" si="3"/>
        <v>Last Minute</v>
      </c>
      <c r="P910" s="5" t="str">
        <f t="shared" si="4"/>
        <v>Hyderabad -&gt; Kolkata</v>
      </c>
    </row>
    <row r="911" ht="15.75" customHeight="1">
      <c r="A911" s="5" t="s">
        <v>2629</v>
      </c>
      <c r="B911" s="5" t="s">
        <v>2066</v>
      </c>
      <c r="C911" s="5" t="s">
        <v>640</v>
      </c>
      <c r="D911" s="5" t="s">
        <v>45</v>
      </c>
      <c r="E911" s="6" t="str">
        <f t="array" ref="E911">IFERROR(INDEX(Airlines!$B:$B,MATCH(D911,Airlines!$A:$A,0)),"")</f>
        <v>Air_India</v>
      </c>
      <c r="F911" s="6" t="str">
        <f>VLOOKUP(A911,Bookings!$A:$F,6,FALSE())</f>
        <v>Business</v>
      </c>
      <c r="G911" s="6" t="str">
        <f t="array" ref="G911">IFERROR(INDEX(Flights!$E:$E,MATCH(B911,Flights!$A:$A,0)),"")</f>
        <v>Hyderabad</v>
      </c>
      <c r="H911" s="6" t="str">
        <f>VLOOKUP(B911,Flights!A:H,6,FALSE())</f>
        <v>Kolkata</v>
      </c>
      <c r="I911" s="6" t="str">
        <f t="array" ref="I911">IFERROR(INDEX(Bookings!$G:$G,MATCH(B911,Bookings!$B:$B,0)),"")</f>
        <v>1</v>
      </c>
      <c r="J911" s="5">
        <f>VLOOKUP(B911,Bookings!B:H,7,FALSE())</f>
        <v>9.33</v>
      </c>
      <c r="K911" s="5" t="str">
        <f t="shared" si="1"/>
        <v>Medium</v>
      </c>
      <c r="L911" s="11">
        <f t="array" ref="L911">IFERROR(INDEX(Bookings!$K:$K,MATCH(A911,Bookings!$A:$A,0)),"")</f>
        <v>51707</v>
      </c>
      <c r="M911" s="5" t="str">
        <f t="shared" si="2"/>
        <v>High</v>
      </c>
      <c r="N911" s="5">
        <f t="array" ref="N911">IFERROR(INDEX(Bookings!$I:$I,MATCH(A911,Bookings!$A:$A,0)),"")</f>
        <v>32</v>
      </c>
      <c r="O911" s="5" t="str">
        <f t="shared" si="3"/>
        <v>Advance</v>
      </c>
      <c r="P911" s="5" t="str">
        <f t="shared" si="4"/>
        <v>Hyderabad -&gt; Kolkata</v>
      </c>
    </row>
    <row r="912" ht="15.75" customHeight="1">
      <c r="A912" s="5" t="s">
        <v>2630</v>
      </c>
      <c r="B912" s="5" t="s">
        <v>2063</v>
      </c>
      <c r="C912" s="5" t="s">
        <v>640</v>
      </c>
      <c r="D912" s="5" t="s">
        <v>72</v>
      </c>
      <c r="E912" s="6" t="str">
        <f t="array" ref="E912">IFERROR(INDEX(Airlines!$B:$B,MATCH(D912,Airlines!$A:$A,0)),"")</f>
        <v>Spicejet</v>
      </c>
      <c r="F912" s="6" t="str">
        <f>VLOOKUP(A912,Bookings!$A:$F,6,FALSE())</f>
        <v>Economy</v>
      </c>
      <c r="G912" s="6" t="str">
        <f t="array" ref="G912">IFERROR(INDEX(Flights!$E:$E,MATCH(B912,Flights!$A:$A,0)),"")</f>
        <v>Hyderabad</v>
      </c>
      <c r="H912" s="6" t="str">
        <f>VLOOKUP(B912,Flights!A:H,6,FALSE())</f>
        <v>Kolkata</v>
      </c>
      <c r="I912" s="6" t="str">
        <f t="array" ref="I912">IFERROR(INDEX(Bookings!$G:$G,MATCH(B912,Bookings!$B:$B,0)),"")</f>
        <v>0</v>
      </c>
      <c r="J912" s="5">
        <f>VLOOKUP(B912,Bookings!B:H,7,FALSE())</f>
        <v>1.75</v>
      </c>
      <c r="K912" s="5" t="str">
        <f t="shared" si="1"/>
        <v>Short</v>
      </c>
      <c r="L912" s="11">
        <f t="array" ref="L912">IFERROR(INDEX(Bookings!$K:$K,MATCH(A912,Bookings!$A:$A,0)),"")</f>
        <v>7336</v>
      </c>
      <c r="M912" s="5" t="str">
        <f t="shared" si="2"/>
        <v>Medium</v>
      </c>
      <c r="N912" s="5">
        <f t="array" ref="N912">IFERROR(INDEX(Bookings!$I:$I,MATCH(A912,Bookings!$A:$A,0)),"")</f>
        <v>7</v>
      </c>
      <c r="O912" s="5" t="str">
        <f t="shared" si="3"/>
        <v>Last Minute</v>
      </c>
      <c r="P912" s="5" t="str">
        <f t="shared" si="4"/>
        <v>Hyderabad -&gt; Kolkata</v>
      </c>
    </row>
    <row r="913" ht="15.75" customHeight="1">
      <c r="A913" s="5" t="s">
        <v>2631</v>
      </c>
      <c r="B913" s="5" t="s">
        <v>1960</v>
      </c>
      <c r="C913" s="5" t="s">
        <v>640</v>
      </c>
      <c r="D913" s="5" t="s">
        <v>45</v>
      </c>
      <c r="E913" s="6" t="str">
        <f t="array" ref="E913">IFERROR(INDEX(Airlines!$B:$B,MATCH(D913,Airlines!$A:$A,0)),"")</f>
        <v>Air_India</v>
      </c>
      <c r="F913" s="6" t="str">
        <f>VLOOKUP(A913,Bookings!$A:$F,6,FALSE())</f>
        <v>Economy</v>
      </c>
      <c r="G913" s="6" t="str">
        <f t="array" ref="G913">IFERROR(INDEX(Flights!$E:$E,MATCH(B913,Flights!$A:$A,0)),"")</f>
        <v>Hyderabad</v>
      </c>
      <c r="H913" s="6" t="str">
        <f>VLOOKUP(B913,Flights!A:H,6,FALSE())</f>
        <v>Kolkata</v>
      </c>
      <c r="I913" s="6" t="str">
        <f t="array" ref="I913">IFERROR(INDEX(Bookings!$G:$G,MATCH(B913,Bookings!$B:$B,0)),"")</f>
        <v>1</v>
      </c>
      <c r="J913" s="5">
        <f>VLOOKUP(B913,Bookings!B:H,7,FALSE())</f>
        <v>12.67</v>
      </c>
      <c r="K913" s="5" t="str">
        <f t="shared" si="1"/>
        <v>Long</v>
      </c>
      <c r="L913" s="11">
        <f t="array" ref="L913">IFERROR(INDEX(Bookings!$K:$K,MATCH(A913,Bookings!$A:$A,0)),"")</f>
        <v>5706</v>
      </c>
      <c r="M913" s="5" t="str">
        <f t="shared" si="2"/>
        <v>Medium</v>
      </c>
      <c r="N913" s="5">
        <f t="array" ref="N913">IFERROR(INDEX(Bookings!$I:$I,MATCH(A913,Bookings!$A:$A,0)),"")</f>
        <v>17</v>
      </c>
      <c r="O913" s="5" t="str">
        <f t="shared" si="3"/>
        <v>Moderate</v>
      </c>
      <c r="P913" s="5" t="str">
        <f t="shared" si="4"/>
        <v>Hyderabad -&gt; Kolkata</v>
      </c>
    </row>
    <row r="914" ht="15.75" customHeight="1">
      <c r="A914" s="5" t="s">
        <v>2633</v>
      </c>
      <c r="B914" s="5" t="s">
        <v>1968</v>
      </c>
      <c r="C914" s="5" t="s">
        <v>640</v>
      </c>
      <c r="D914" s="5" t="s">
        <v>43</v>
      </c>
      <c r="E914" s="6" t="str">
        <f t="array" ref="E914">IFERROR(INDEX(Airlines!$B:$B,MATCH(D914,Airlines!$A:$A,0)),"")</f>
        <v>Indigo</v>
      </c>
      <c r="F914" s="6" t="str">
        <f>VLOOKUP(A914,Bookings!$A:$F,6,FALSE())</f>
        <v>Economy</v>
      </c>
      <c r="G914" s="6" t="str">
        <f t="array" ref="G914">IFERROR(INDEX(Flights!$E:$E,MATCH(B914,Flights!$A:$A,0)),"")</f>
        <v>Hyderabad</v>
      </c>
      <c r="H914" s="6" t="str">
        <f>VLOOKUP(B914,Flights!A:H,6,FALSE())</f>
        <v>Kolkata</v>
      </c>
      <c r="I914" s="6" t="str">
        <f t="array" ref="I914">IFERROR(INDEX(Bookings!$G:$G,MATCH(B914,Bookings!$B:$B,0)),"")</f>
        <v>1</v>
      </c>
      <c r="J914" s="5">
        <f>VLOOKUP(B914,Bookings!B:H,7,FALSE())</f>
        <v>7.83</v>
      </c>
      <c r="K914" s="5" t="str">
        <f t="shared" si="1"/>
        <v>Medium</v>
      </c>
      <c r="L914" s="11">
        <f t="array" ref="L914">IFERROR(INDEX(Bookings!$K:$K,MATCH(A914,Bookings!$A:$A,0)),"")</f>
        <v>8034</v>
      </c>
      <c r="M914" s="5" t="str">
        <f t="shared" si="2"/>
        <v>Medium</v>
      </c>
      <c r="N914" s="5">
        <f t="array" ref="N914">IFERROR(INDEX(Bookings!$I:$I,MATCH(A914,Bookings!$A:$A,0)),"")</f>
        <v>7</v>
      </c>
      <c r="O914" s="5" t="str">
        <f t="shared" si="3"/>
        <v>Last Minute</v>
      </c>
      <c r="P914" s="5" t="str">
        <f t="shared" si="4"/>
        <v>Hyderabad -&gt; Kolkata</v>
      </c>
    </row>
    <row r="915" ht="15.75" customHeight="1">
      <c r="A915" s="5" t="s">
        <v>2634</v>
      </c>
      <c r="B915" s="5" t="s">
        <v>1982</v>
      </c>
      <c r="C915" s="5" t="s">
        <v>640</v>
      </c>
      <c r="D915" s="5" t="s">
        <v>45</v>
      </c>
      <c r="E915" s="6" t="str">
        <f t="array" ref="E915">IFERROR(INDEX(Airlines!$B:$B,MATCH(D915,Airlines!$A:$A,0)),"")</f>
        <v>Air_India</v>
      </c>
      <c r="F915" s="6" t="str">
        <f>VLOOKUP(A915,Bookings!$A:$F,6,FALSE())</f>
        <v>Economy</v>
      </c>
      <c r="G915" s="6" t="str">
        <f t="array" ref="G915">IFERROR(INDEX(Flights!$E:$E,MATCH(B915,Flights!$A:$A,0)),"")</f>
        <v>Hyderabad</v>
      </c>
      <c r="H915" s="6" t="str">
        <f>VLOOKUP(B915,Flights!A:H,6,FALSE())</f>
        <v>Kolkata</v>
      </c>
      <c r="I915" s="6" t="str">
        <f t="array" ref="I915">IFERROR(INDEX(Bookings!$G:$G,MATCH(B915,Bookings!$B:$B,0)),"")</f>
        <v>1</v>
      </c>
      <c r="J915" s="5">
        <f>VLOOKUP(B915,Bookings!B:H,7,FALSE())</f>
        <v>30.25</v>
      </c>
      <c r="K915" s="5" t="str">
        <f t="shared" si="1"/>
        <v>Long</v>
      </c>
      <c r="L915" s="11">
        <f t="array" ref="L915">IFERROR(INDEX(Bookings!$K:$K,MATCH(A915,Bookings!$A:$A,0)),"")</f>
        <v>12740</v>
      </c>
      <c r="M915" s="5" t="str">
        <f t="shared" si="2"/>
        <v>Medium</v>
      </c>
      <c r="N915" s="5">
        <f t="array" ref="N915">IFERROR(INDEX(Bookings!$I:$I,MATCH(A915,Bookings!$A:$A,0)),"")</f>
        <v>8</v>
      </c>
      <c r="O915" s="5" t="str">
        <f t="shared" si="3"/>
        <v>Short Notice</v>
      </c>
      <c r="P915" s="5" t="str">
        <f t="shared" si="4"/>
        <v>Hyderabad -&gt; Kolkata</v>
      </c>
    </row>
    <row r="916" ht="15.75" customHeight="1">
      <c r="A916" s="5" t="s">
        <v>2635</v>
      </c>
      <c r="B916" s="5" t="s">
        <v>2008</v>
      </c>
      <c r="C916" s="5" t="s">
        <v>640</v>
      </c>
      <c r="D916" s="5" t="s">
        <v>43</v>
      </c>
      <c r="E916" s="6" t="str">
        <f t="array" ref="E916">IFERROR(INDEX(Airlines!$B:$B,MATCH(D916,Airlines!$A:$A,0)),"")</f>
        <v>Indigo</v>
      </c>
      <c r="F916" s="6" t="str">
        <f>VLOOKUP(A916,Bookings!$A:$F,6,FALSE())</f>
        <v>Economy</v>
      </c>
      <c r="G916" s="6" t="str">
        <f t="array" ref="G916">IFERROR(INDEX(Flights!$E:$E,MATCH(B916,Flights!$A:$A,0)),"")</f>
        <v>Hyderabad</v>
      </c>
      <c r="H916" s="6" t="str">
        <f>VLOOKUP(B916,Flights!A:H,6,FALSE())</f>
        <v>Kolkata</v>
      </c>
      <c r="I916" s="6" t="str">
        <f t="array" ref="I916">IFERROR(INDEX(Bookings!$G:$G,MATCH(B916,Bookings!$B:$B,0)),"")</f>
        <v>1</v>
      </c>
      <c r="J916" s="5">
        <f>VLOOKUP(B916,Bookings!B:H,7,FALSE())</f>
        <v>9</v>
      </c>
      <c r="K916" s="5" t="str">
        <f t="shared" si="1"/>
        <v>Medium</v>
      </c>
      <c r="L916" s="11">
        <f t="array" ref="L916">IFERROR(INDEX(Bookings!$K:$K,MATCH(A916,Bookings!$A:$A,0)),"")</f>
        <v>14428</v>
      </c>
      <c r="M916" s="5" t="str">
        <f t="shared" si="2"/>
        <v>Medium</v>
      </c>
      <c r="N916" s="5">
        <f t="array" ref="N916">IFERROR(INDEX(Bookings!$I:$I,MATCH(A916,Bookings!$A:$A,0)),"")</f>
        <v>9</v>
      </c>
      <c r="O916" s="5" t="str">
        <f t="shared" si="3"/>
        <v>Short Notice</v>
      </c>
      <c r="P916" s="5" t="str">
        <f t="shared" si="4"/>
        <v>Hyderabad -&gt; Kolkata</v>
      </c>
    </row>
    <row r="917" ht="15.75" customHeight="1">
      <c r="A917" s="5" t="s">
        <v>2637</v>
      </c>
      <c r="B917" s="5" t="s">
        <v>2036</v>
      </c>
      <c r="C917" s="5" t="s">
        <v>640</v>
      </c>
      <c r="D917" s="5" t="s">
        <v>20</v>
      </c>
      <c r="E917" s="6" t="str">
        <f t="array" ref="E917">IFERROR(INDEX(Airlines!$B:$B,MATCH(D917,Airlines!$A:$A,0)),"")</f>
        <v>Vistara</v>
      </c>
      <c r="F917" s="6" t="str">
        <f>VLOOKUP(A917,Bookings!$A:$F,6,FALSE())</f>
        <v>Business</v>
      </c>
      <c r="G917" s="6" t="str">
        <f t="array" ref="G917">IFERROR(INDEX(Flights!$E:$E,MATCH(B917,Flights!$A:$A,0)),"")</f>
        <v>Hyderabad</v>
      </c>
      <c r="H917" s="6" t="str">
        <f>VLOOKUP(B917,Flights!A:H,6,FALSE())</f>
        <v>Kolkata</v>
      </c>
      <c r="I917" s="6" t="str">
        <f t="array" ref="I917">IFERROR(INDEX(Bookings!$G:$G,MATCH(B917,Bookings!$B:$B,0)),"")</f>
        <v>1</v>
      </c>
      <c r="J917" s="5">
        <f>VLOOKUP(B917,Bookings!B:H,7,FALSE())</f>
        <v>26.75</v>
      </c>
      <c r="K917" s="5" t="str">
        <f t="shared" si="1"/>
        <v>Long</v>
      </c>
      <c r="L917" s="11">
        <f t="array" ref="L917">IFERROR(INDEX(Bookings!$K:$K,MATCH(A917,Bookings!$A:$A,0)),"")</f>
        <v>51819</v>
      </c>
      <c r="M917" s="5" t="str">
        <f t="shared" si="2"/>
        <v>High</v>
      </c>
      <c r="N917" s="5">
        <f t="array" ref="N917">IFERROR(INDEX(Bookings!$I:$I,MATCH(A917,Bookings!$A:$A,0)),"")</f>
        <v>43</v>
      </c>
      <c r="O917" s="5" t="str">
        <f t="shared" si="3"/>
        <v>Advance</v>
      </c>
      <c r="P917" s="5" t="str">
        <f t="shared" si="4"/>
        <v>Hyderabad -&gt; Kolkata</v>
      </c>
    </row>
    <row r="918" ht="15.75" customHeight="1">
      <c r="A918" s="5" t="s">
        <v>2639</v>
      </c>
      <c r="B918" s="5" t="s">
        <v>2023</v>
      </c>
      <c r="C918" s="5" t="s">
        <v>640</v>
      </c>
      <c r="D918" s="5" t="s">
        <v>58</v>
      </c>
      <c r="E918" s="6" t="str">
        <f t="array" ref="E918">IFERROR(INDEX(Airlines!$B:$B,MATCH(D918,Airlines!$A:$A,0)),"")</f>
        <v>Go_First</v>
      </c>
      <c r="F918" s="6" t="str">
        <f>VLOOKUP(A918,Bookings!$A:$F,6,FALSE())</f>
        <v>Economy</v>
      </c>
      <c r="G918" s="6" t="str">
        <f t="array" ref="G918">IFERROR(INDEX(Flights!$E:$E,MATCH(B918,Flights!$A:$A,0)),"")</f>
        <v>Hyderabad</v>
      </c>
      <c r="H918" s="6" t="str">
        <f>VLOOKUP(B918,Flights!A:H,6,FALSE())</f>
        <v>Kolkata</v>
      </c>
      <c r="I918" s="6" t="str">
        <f t="array" ref="I918">IFERROR(INDEX(Bookings!$G:$G,MATCH(B918,Bookings!$B:$B,0)),"")</f>
        <v>1</v>
      </c>
      <c r="J918" s="5">
        <f>VLOOKUP(B918,Bookings!B:H,7,FALSE())</f>
        <v>9.67</v>
      </c>
      <c r="K918" s="5" t="str">
        <f t="shared" si="1"/>
        <v>Medium</v>
      </c>
      <c r="L918" s="11">
        <f t="array" ref="L918">IFERROR(INDEX(Bookings!$K:$K,MATCH(A918,Bookings!$A:$A,0)),"")</f>
        <v>5754</v>
      </c>
      <c r="M918" s="5" t="str">
        <f t="shared" si="2"/>
        <v>Medium</v>
      </c>
      <c r="N918" s="5">
        <f t="array" ref="N918">IFERROR(INDEX(Bookings!$I:$I,MATCH(A918,Bookings!$A:$A,0)),"")</f>
        <v>42</v>
      </c>
      <c r="O918" s="5" t="str">
        <f t="shared" si="3"/>
        <v>Advance</v>
      </c>
      <c r="P918" s="5" t="str">
        <f t="shared" si="4"/>
        <v>Hyderabad -&gt; Kolkata</v>
      </c>
    </row>
    <row r="919" ht="15.75" customHeight="1">
      <c r="A919" s="5" t="s">
        <v>2641</v>
      </c>
      <c r="B919" s="5" t="s">
        <v>2038</v>
      </c>
      <c r="C919" s="5" t="s">
        <v>640</v>
      </c>
      <c r="D919" s="5" t="s">
        <v>45</v>
      </c>
      <c r="E919" s="6" t="str">
        <f t="array" ref="E919">IFERROR(INDEX(Airlines!$B:$B,MATCH(D919,Airlines!$A:$A,0)),"")</f>
        <v>Air_India</v>
      </c>
      <c r="F919" s="6" t="str">
        <f>VLOOKUP(A919,Bookings!$A:$F,6,FALSE())</f>
        <v>Economy</v>
      </c>
      <c r="G919" s="6" t="str">
        <f t="array" ref="G919">IFERROR(INDEX(Flights!$E:$E,MATCH(B919,Flights!$A:$A,0)),"")</f>
        <v>Hyderabad</v>
      </c>
      <c r="H919" s="6" t="str">
        <f>VLOOKUP(B919,Flights!A:H,6,FALSE())</f>
        <v>Kolkata</v>
      </c>
      <c r="I919" s="6">
        <f t="array" ref="I919">IFERROR(INDEX(Bookings!$G:$G,MATCH(B919,Bookings!$B:$B,0)),"")</f>
        <v>1</v>
      </c>
      <c r="J919" s="5">
        <f>VLOOKUP(B919,Bookings!B:H,7,FALSE())</f>
        <v>24.42</v>
      </c>
      <c r="K919" s="5" t="str">
        <f t="shared" si="1"/>
        <v>Long</v>
      </c>
      <c r="L919" s="11">
        <f t="array" ref="L919">IFERROR(INDEX(Bookings!$K:$K,MATCH(A919,Bookings!$A:$A,0)),"")</f>
        <v>5100</v>
      </c>
      <c r="M919" s="5" t="str">
        <f t="shared" si="2"/>
        <v>Medium</v>
      </c>
      <c r="N919" s="5">
        <f t="array" ref="N919">IFERROR(INDEX(Bookings!$I:$I,MATCH(A919,Bookings!$A:$A,0)),"")</f>
        <v>40</v>
      </c>
      <c r="O919" s="5" t="str">
        <f t="shared" si="3"/>
        <v>Advance</v>
      </c>
      <c r="P919" s="5" t="str">
        <f t="shared" si="4"/>
        <v>Hyderabad -&gt; Kolkata</v>
      </c>
    </row>
    <row r="920" ht="15.75" customHeight="1">
      <c r="A920" s="5" t="s">
        <v>2643</v>
      </c>
      <c r="B920" s="5" t="s">
        <v>2059</v>
      </c>
      <c r="C920" s="5" t="s">
        <v>640</v>
      </c>
      <c r="D920" s="5" t="s">
        <v>43</v>
      </c>
      <c r="E920" s="6" t="str">
        <f t="array" ref="E920">IFERROR(INDEX(Airlines!$B:$B,MATCH(D920,Airlines!$A:$A,0)),"")</f>
        <v>Indigo</v>
      </c>
      <c r="F920" s="6" t="str">
        <f>VLOOKUP(A920,Bookings!$A:$F,6,FALSE())</f>
        <v>Economy</v>
      </c>
      <c r="G920" s="6" t="str">
        <f t="array" ref="G920">IFERROR(INDEX(Flights!$E:$E,MATCH(B920,Flights!$A:$A,0)),"")</f>
        <v>Hyderabad</v>
      </c>
      <c r="H920" s="6" t="str">
        <f>VLOOKUP(B920,Flights!A:H,6,FALSE())</f>
        <v>Kolkata</v>
      </c>
      <c r="I920" s="6" t="str">
        <f t="array" ref="I920">IFERROR(INDEX(Bookings!$G:$G,MATCH(B920,Bookings!$B:$B,0)),"")</f>
        <v>2+</v>
      </c>
      <c r="J920" s="5">
        <f>VLOOKUP(B920,Bookings!B:H,7,FALSE())</f>
        <v>6.67</v>
      </c>
      <c r="K920" s="5" t="str">
        <f t="shared" si="1"/>
        <v>Medium</v>
      </c>
      <c r="L920" s="11">
        <f t="array" ref="L920">IFERROR(INDEX(Bookings!$K:$K,MATCH(A920,Bookings!$A:$A,0)),"")</f>
        <v>2109</v>
      </c>
      <c r="M920" s="5" t="str">
        <f t="shared" si="2"/>
        <v>Low</v>
      </c>
      <c r="N920" s="5">
        <f t="array" ref="N920">IFERROR(INDEX(Bookings!$I:$I,MATCH(A920,Bookings!$A:$A,0)),"")</f>
        <v>40</v>
      </c>
      <c r="O920" s="5" t="str">
        <f t="shared" si="3"/>
        <v>Advance</v>
      </c>
      <c r="P920" s="5" t="str">
        <f t="shared" si="4"/>
        <v>Hyderabad -&gt; Kolkata</v>
      </c>
    </row>
    <row r="921" ht="15.75" customHeight="1">
      <c r="A921" s="5" t="s">
        <v>2645</v>
      </c>
      <c r="B921" s="5" t="s">
        <v>2006</v>
      </c>
      <c r="C921" s="5" t="s">
        <v>640</v>
      </c>
      <c r="D921" s="5" t="s">
        <v>45</v>
      </c>
      <c r="E921" s="6" t="str">
        <f t="array" ref="E921">IFERROR(INDEX(Airlines!$B:$B,MATCH(D921,Airlines!$A:$A,0)),"")</f>
        <v>Air_India</v>
      </c>
      <c r="F921" s="6" t="str">
        <f>VLOOKUP(A921,Bookings!$A:$F,6,FALSE())</f>
        <v>Economy</v>
      </c>
      <c r="G921" s="6" t="str">
        <f t="array" ref="G921">IFERROR(INDEX(Flights!$E:$E,MATCH(B921,Flights!$A:$A,0)),"")</f>
        <v>Hyderabad</v>
      </c>
      <c r="H921" s="6" t="str">
        <f>VLOOKUP(B921,Flights!A:H,6,FALSE())</f>
        <v>Kolkata</v>
      </c>
      <c r="I921" s="6" t="str">
        <f t="array" ref="I921">IFERROR(INDEX(Bookings!$G:$G,MATCH(B921,Bookings!$B:$B,0)),"")</f>
        <v>1</v>
      </c>
      <c r="J921" s="5">
        <f>VLOOKUP(B921,Bookings!B:H,7,FALSE())</f>
        <v>28.75</v>
      </c>
      <c r="K921" s="5" t="str">
        <f t="shared" si="1"/>
        <v>Long</v>
      </c>
      <c r="L921" s="11">
        <f t="array" ref="L921">IFERROR(INDEX(Bookings!$K:$K,MATCH(A921,Bookings!$A:$A,0)),"")</f>
        <v>7336</v>
      </c>
      <c r="M921" s="5" t="str">
        <f t="shared" si="2"/>
        <v>Medium</v>
      </c>
      <c r="N921" s="5">
        <f t="array" ref="N921">IFERROR(INDEX(Bookings!$I:$I,MATCH(A921,Bookings!$A:$A,0)),"")</f>
        <v>27</v>
      </c>
      <c r="O921" s="5" t="str">
        <f t="shared" si="3"/>
        <v>Moderate</v>
      </c>
      <c r="P921" s="5" t="str">
        <f t="shared" si="4"/>
        <v>Hyderabad -&gt; Kolkata</v>
      </c>
    </row>
    <row r="922" ht="15.75" customHeight="1">
      <c r="A922" s="5" t="s">
        <v>2647</v>
      </c>
      <c r="B922" s="5" t="s">
        <v>2047</v>
      </c>
      <c r="C922" s="5" t="s">
        <v>640</v>
      </c>
      <c r="D922" s="5" t="s">
        <v>20</v>
      </c>
      <c r="E922" s="6" t="str">
        <f t="array" ref="E922">IFERROR(INDEX(Airlines!$B:$B,MATCH(D922,Airlines!$A:$A,0)),"")</f>
        <v>Vistara</v>
      </c>
      <c r="F922" s="6" t="str">
        <f>VLOOKUP(A922,Bookings!$A:$F,6,FALSE())</f>
        <v>Business</v>
      </c>
      <c r="G922" s="6" t="str">
        <f t="array" ref="G922">IFERROR(INDEX(Flights!$E:$E,MATCH(B922,Flights!$A:$A,0)),"")</f>
        <v>Hyderabad</v>
      </c>
      <c r="H922" s="6" t="str">
        <f>VLOOKUP(B922,Flights!A:H,6,FALSE())</f>
        <v>Kolkata</v>
      </c>
      <c r="I922" s="6" t="str">
        <f t="array" ref="I922">IFERROR(INDEX(Bookings!$G:$G,MATCH(B922,Bookings!$B:$B,0)),"")</f>
        <v>1</v>
      </c>
      <c r="J922" s="5">
        <f>VLOOKUP(B922,Bookings!B:H,7,FALSE())</f>
        <v>28</v>
      </c>
      <c r="K922" s="5" t="str">
        <f t="shared" si="1"/>
        <v>Long</v>
      </c>
      <c r="L922" s="11">
        <f t="array" ref="L922">IFERROR(INDEX(Bookings!$K:$K,MATCH(A922,Bookings!$A:$A,0)),"")</f>
        <v>48851</v>
      </c>
      <c r="M922" s="5" t="str">
        <f t="shared" si="2"/>
        <v>High</v>
      </c>
      <c r="N922" s="5">
        <f t="array" ref="N922">IFERROR(INDEX(Bookings!$I:$I,MATCH(A922,Bookings!$A:$A,0)),"")</f>
        <v>44</v>
      </c>
      <c r="O922" s="5" t="str">
        <f t="shared" si="3"/>
        <v>Advance</v>
      </c>
      <c r="P922" s="5" t="str">
        <f t="shared" si="4"/>
        <v>Hyderabad -&gt; Kolkata</v>
      </c>
    </row>
    <row r="923" ht="15.75" customHeight="1">
      <c r="A923" s="5" t="s">
        <v>2648</v>
      </c>
      <c r="B923" s="5" t="s">
        <v>2051</v>
      </c>
      <c r="C923" s="5" t="s">
        <v>640</v>
      </c>
      <c r="D923" s="5" t="s">
        <v>45</v>
      </c>
      <c r="E923" s="6" t="str">
        <f t="array" ref="E923">IFERROR(INDEX(Airlines!$B:$B,MATCH(D923,Airlines!$A:$A,0)),"")</f>
        <v>Air_India</v>
      </c>
      <c r="F923" s="6" t="str">
        <f>VLOOKUP(A923,Bookings!$A:$F,6,FALSE())</f>
        <v>Economy</v>
      </c>
      <c r="G923" s="6" t="str">
        <f t="array" ref="G923">IFERROR(INDEX(Flights!$E:$E,MATCH(B923,Flights!$A:$A,0)),"")</f>
        <v>Hyderabad</v>
      </c>
      <c r="H923" s="6" t="str">
        <f>VLOOKUP(B923,Flights!A:H,6,FALSE())</f>
        <v>Kolkata</v>
      </c>
      <c r="I923" s="6" t="str">
        <f t="array" ref="I923">IFERROR(INDEX(Bookings!$G:$G,MATCH(B923,Bookings!$B:$B,0)),"")</f>
        <v>1</v>
      </c>
      <c r="J923" s="5">
        <f>VLOOKUP(B923,Bookings!B:H,7,FALSE())</f>
        <v>16.67</v>
      </c>
      <c r="K923" s="5" t="str">
        <f t="shared" si="1"/>
        <v>Long</v>
      </c>
      <c r="L923" s="11">
        <f t="array" ref="L923">IFERROR(INDEX(Bookings!$K:$K,MATCH(A923,Bookings!$A:$A,0)),"")</f>
        <v>4122</v>
      </c>
      <c r="M923" s="5" t="str">
        <f t="shared" si="2"/>
        <v>Low</v>
      </c>
      <c r="N923" s="5">
        <f t="array" ref="N923">IFERROR(INDEX(Bookings!$I:$I,MATCH(A923,Bookings!$A:$A,0)),"")</f>
        <v>46</v>
      </c>
      <c r="O923" s="5" t="str">
        <f t="shared" si="3"/>
        <v>Advance</v>
      </c>
      <c r="P923" s="5" t="str">
        <f t="shared" si="4"/>
        <v>Hyderabad -&gt; Kolkata</v>
      </c>
    </row>
    <row r="924" ht="15.75" customHeight="1">
      <c r="A924" s="5" t="s">
        <v>2650</v>
      </c>
      <c r="B924" s="5" t="s">
        <v>2004</v>
      </c>
      <c r="C924" s="5" t="s">
        <v>640</v>
      </c>
      <c r="D924" s="5" t="s">
        <v>45</v>
      </c>
      <c r="E924" s="6" t="str">
        <f t="array" ref="E924">IFERROR(INDEX(Airlines!$B:$B,MATCH(D924,Airlines!$A:$A,0)),"")</f>
        <v>Air_India</v>
      </c>
      <c r="F924" s="6" t="str">
        <f>VLOOKUP(A924,Bookings!$A:$F,6,FALSE())</f>
        <v>Economy</v>
      </c>
      <c r="G924" s="6" t="str">
        <f t="array" ref="G924">IFERROR(INDEX(Flights!$E:$E,MATCH(B924,Flights!$A:$A,0)),"")</f>
        <v>Hyderabad</v>
      </c>
      <c r="H924" s="6" t="str">
        <f>VLOOKUP(B924,Flights!A:H,6,FALSE())</f>
        <v>Kolkata</v>
      </c>
      <c r="I924" s="6" t="str">
        <f t="array" ref="I924">IFERROR(INDEX(Bookings!$G:$G,MATCH(B924,Bookings!$B:$B,0)),"")</f>
        <v>1</v>
      </c>
      <c r="J924" s="5">
        <f>VLOOKUP(B924,Bookings!B:H,7,FALSE())</f>
        <v>8.83</v>
      </c>
      <c r="K924" s="5" t="str">
        <f t="shared" si="1"/>
        <v>Medium</v>
      </c>
      <c r="L924" s="11">
        <f t="array" ref="L924">IFERROR(INDEX(Bookings!$K:$K,MATCH(A924,Bookings!$A:$A,0)),"")</f>
        <v>6312</v>
      </c>
      <c r="M924" s="5" t="str">
        <f t="shared" si="2"/>
        <v>Medium</v>
      </c>
      <c r="N924" s="5">
        <f t="array" ref="N924">IFERROR(INDEX(Bookings!$I:$I,MATCH(A924,Bookings!$A:$A,0)),"")</f>
        <v>45</v>
      </c>
      <c r="O924" s="5" t="str">
        <f t="shared" si="3"/>
        <v>Advance</v>
      </c>
      <c r="P924" s="5" t="str">
        <f t="shared" si="4"/>
        <v>Hyderabad -&gt; Kolkata</v>
      </c>
    </row>
    <row r="925" ht="15.75" customHeight="1">
      <c r="A925" s="5" t="s">
        <v>2651</v>
      </c>
      <c r="B925" s="5" t="s">
        <v>1977</v>
      </c>
      <c r="C925" s="5" t="s">
        <v>640</v>
      </c>
      <c r="D925" s="5" t="s">
        <v>20</v>
      </c>
      <c r="E925" s="6" t="str">
        <f t="array" ref="E925">IFERROR(INDEX(Airlines!$B:$B,MATCH(D925,Airlines!$A:$A,0)),"")</f>
        <v>Vistara</v>
      </c>
      <c r="F925" s="6" t="str">
        <f>VLOOKUP(A925,Bookings!$A:$F,6,FALSE())</f>
        <v>Economy</v>
      </c>
      <c r="G925" s="6" t="str">
        <f t="array" ref="G925">IFERROR(INDEX(Flights!$E:$E,MATCH(B925,Flights!$A:$A,0)),"")</f>
        <v>Hyderabad</v>
      </c>
      <c r="H925" s="6" t="str">
        <f>VLOOKUP(B925,Flights!A:H,6,FALSE())</f>
        <v>Kolkata</v>
      </c>
      <c r="I925" s="6" t="str">
        <f t="array" ref="I925">IFERROR(INDEX(Bookings!$G:$G,MATCH(B925,Bookings!$B:$B,0)),"")</f>
        <v>2+</v>
      </c>
      <c r="J925" s="5">
        <f>VLOOKUP(B925,Bookings!B:H,7,FALSE())</f>
        <v>22.42</v>
      </c>
      <c r="K925" s="5" t="str">
        <f t="shared" si="1"/>
        <v>Long</v>
      </c>
      <c r="L925" s="11">
        <f t="array" ref="L925">IFERROR(INDEX(Bookings!$K:$K,MATCH(A925,Bookings!$A:$A,0)),"")</f>
        <v>7692</v>
      </c>
      <c r="M925" s="5" t="str">
        <f t="shared" si="2"/>
        <v>Medium</v>
      </c>
      <c r="N925" s="5">
        <f t="array" ref="N925">IFERROR(INDEX(Bookings!$I:$I,MATCH(A925,Bookings!$A:$A,0)),"")</f>
        <v>47</v>
      </c>
      <c r="O925" s="5" t="str">
        <f t="shared" si="3"/>
        <v>Advance</v>
      </c>
      <c r="P925" s="5" t="str">
        <f t="shared" si="4"/>
        <v>Hyderabad -&gt; Kolkata</v>
      </c>
    </row>
    <row r="926" ht="15.75" customHeight="1">
      <c r="A926" s="5" t="s">
        <v>2652</v>
      </c>
      <c r="B926" s="5" t="s">
        <v>2045</v>
      </c>
      <c r="C926" s="5" t="s">
        <v>640</v>
      </c>
      <c r="D926" s="5" t="s">
        <v>43</v>
      </c>
      <c r="E926" s="6" t="str">
        <f t="array" ref="E926">IFERROR(INDEX(Airlines!$B:$B,MATCH(D926,Airlines!$A:$A,0)),"")</f>
        <v>Indigo</v>
      </c>
      <c r="F926" s="6" t="str">
        <f>VLOOKUP(A926,Bookings!$A:$F,6,FALSE())</f>
        <v>Economy</v>
      </c>
      <c r="G926" s="6" t="str">
        <f t="array" ref="G926">IFERROR(INDEX(Flights!$E:$E,MATCH(B926,Flights!$A:$A,0)),"")</f>
        <v>Hyderabad</v>
      </c>
      <c r="H926" s="6" t="str">
        <f>VLOOKUP(B926,Flights!A:H,6,FALSE())</f>
        <v>Kolkata</v>
      </c>
      <c r="I926" s="6" t="str">
        <f t="array" ref="I926">IFERROR(INDEX(Bookings!$G:$G,MATCH(B926,Bookings!$B:$B,0)),"")</f>
        <v>0</v>
      </c>
      <c r="J926" s="5">
        <f>VLOOKUP(B926,Bookings!B:H,7,FALSE())</f>
        <v>2.25</v>
      </c>
      <c r="K926" s="5" t="str">
        <f t="shared" si="1"/>
        <v>Short</v>
      </c>
      <c r="L926" s="11">
        <f t="array" ref="L926">IFERROR(INDEX(Bookings!$K:$K,MATCH(A926,Bookings!$A:$A,0)),"")</f>
        <v>2815</v>
      </c>
      <c r="M926" s="5" t="str">
        <f t="shared" si="2"/>
        <v>Low</v>
      </c>
      <c r="N926" s="5">
        <f t="array" ref="N926">IFERROR(INDEX(Bookings!$I:$I,MATCH(A926,Bookings!$A:$A,0)),"")</f>
        <v>46</v>
      </c>
      <c r="O926" s="5" t="str">
        <f t="shared" si="3"/>
        <v>Advance</v>
      </c>
      <c r="P926" s="5" t="str">
        <f t="shared" si="4"/>
        <v>Hyderabad -&gt; Kolkata</v>
      </c>
    </row>
    <row r="927" ht="15.75" customHeight="1">
      <c r="A927" s="5" t="s">
        <v>2654</v>
      </c>
      <c r="B927" s="5" t="s">
        <v>2012</v>
      </c>
      <c r="C927" s="5" t="s">
        <v>640</v>
      </c>
      <c r="D927" s="5" t="s">
        <v>43</v>
      </c>
      <c r="E927" s="6" t="str">
        <f t="array" ref="E927">IFERROR(INDEX(Airlines!$B:$B,MATCH(D927,Airlines!$A:$A,0)),"")</f>
        <v>Indigo</v>
      </c>
      <c r="F927" s="6" t="str">
        <f>VLOOKUP(A927,Bookings!$A:$F,6,FALSE())</f>
        <v>Economy</v>
      </c>
      <c r="G927" s="6" t="str">
        <f t="array" ref="G927">IFERROR(INDEX(Flights!$E:$E,MATCH(B927,Flights!$A:$A,0)),"")</f>
        <v>Hyderabad</v>
      </c>
      <c r="H927" s="6" t="str">
        <f>VLOOKUP(B927,Flights!A:H,6,FALSE())</f>
        <v>Kolkata</v>
      </c>
      <c r="I927" s="6" t="str">
        <f t="array" ref="I927">IFERROR(INDEX(Bookings!$G:$G,MATCH(B927,Bookings!$B:$B,0)),"")</f>
        <v>1</v>
      </c>
      <c r="J927" s="5">
        <f>VLOOKUP(B927,Bookings!B:H,7,FALSE())</f>
        <v>8</v>
      </c>
      <c r="K927" s="5" t="str">
        <f t="shared" si="1"/>
        <v>Medium</v>
      </c>
      <c r="L927" s="11">
        <f t="array" ref="L927">IFERROR(INDEX(Bookings!$K:$K,MATCH(A927,Bookings!$A:$A,0)),"")</f>
        <v>7336</v>
      </c>
      <c r="M927" s="5" t="str">
        <f t="shared" si="2"/>
        <v>Medium</v>
      </c>
      <c r="N927" s="5">
        <f t="array" ref="N927">IFERROR(INDEX(Bookings!$I:$I,MATCH(A927,Bookings!$A:$A,0)),"")</f>
        <v>47</v>
      </c>
      <c r="O927" s="5" t="str">
        <f t="shared" si="3"/>
        <v>Advance</v>
      </c>
      <c r="P927" s="5" t="str">
        <f t="shared" si="4"/>
        <v>Hyderabad -&gt; Kolkata</v>
      </c>
    </row>
    <row r="928" ht="15.75" customHeight="1">
      <c r="A928" s="5" t="s">
        <v>2656</v>
      </c>
      <c r="B928" s="5" t="s">
        <v>1991</v>
      </c>
      <c r="C928" s="5" t="s">
        <v>640</v>
      </c>
      <c r="D928" s="5" t="s">
        <v>45</v>
      </c>
      <c r="E928" s="6" t="str">
        <f t="array" ref="E928">IFERROR(INDEX(Airlines!$B:$B,MATCH(D928,Airlines!$A:$A,0)),"")</f>
        <v>Air_India</v>
      </c>
      <c r="F928" s="6" t="str">
        <f>VLOOKUP(A928,Bookings!$A:$F,6,FALSE())</f>
        <v>Economy</v>
      </c>
      <c r="G928" s="6" t="str">
        <f t="array" ref="G928">IFERROR(INDEX(Flights!$E:$E,MATCH(B928,Flights!$A:$A,0)),"")</f>
        <v>Hyderabad</v>
      </c>
      <c r="H928" s="6" t="str">
        <f>VLOOKUP(B928,Flights!A:H,6,FALSE())</f>
        <v>Kolkata</v>
      </c>
      <c r="I928" s="6" t="str">
        <f t="array" ref="I928">IFERROR(INDEX(Bookings!$G:$G,MATCH(B928,Bookings!$B:$B,0)),"")</f>
        <v>1</v>
      </c>
      <c r="J928" s="5">
        <f>VLOOKUP(B928,Bookings!B:H,7,FALSE())</f>
        <v>32.83</v>
      </c>
      <c r="K928" s="5" t="str">
        <f t="shared" si="1"/>
        <v>Long</v>
      </c>
      <c r="L928" s="11">
        <f t="array" ref="L928">IFERROR(INDEX(Bookings!$K:$K,MATCH(A928,Bookings!$A:$A,0)),"")</f>
        <v>6312</v>
      </c>
      <c r="M928" s="5" t="str">
        <f t="shared" si="2"/>
        <v>Medium</v>
      </c>
      <c r="N928" s="5">
        <f t="array" ref="N928">IFERROR(INDEX(Bookings!$I:$I,MATCH(A928,Bookings!$A:$A,0)),"")</f>
        <v>46</v>
      </c>
      <c r="O928" s="5" t="str">
        <f t="shared" si="3"/>
        <v>Advance</v>
      </c>
      <c r="P928" s="5" t="str">
        <f t="shared" si="4"/>
        <v>Hyderabad -&gt; Kolkata</v>
      </c>
    </row>
    <row r="929" ht="15.75" customHeight="1">
      <c r="A929" s="5" t="s">
        <v>2658</v>
      </c>
      <c r="B929" s="5" t="s">
        <v>2021</v>
      </c>
      <c r="C929" s="5" t="s">
        <v>640</v>
      </c>
      <c r="D929" s="5" t="s">
        <v>45</v>
      </c>
      <c r="E929" s="6" t="str">
        <f t="array" ref="E929">IFERROR(INDEX(Airlines!$B:$B,MATCH(D929,Airlines!$A:$A,0)),"")</f>
        <v>Air_India</v>
      </c>
      <c r="F929" s="6" t="str">
        <f>VLOOKUP(A929,Bookings!$A:$F,6,FALSE())</f>
        <v>Economy</v>
      </c>
      <c r="G929" s="6" t="str">
        <f t="array" ref="G929">IFERROR(INDEX(Flights!$E:$E,MATCH(B929,Flights!$A:$A,0)),"")</f>
        <v>Hyderabad</v>
      </c>
      <c r="H929" s="6" t="str">
        <f>VLOOKUP(B929,Flights!A:H,6,FALSE())</f>
        <v>Kolkata</v>
      </c>
      <c r="I929" s="6" t="str">
        <f t="array" ref="I929">IFERROR(INDEX(Bookings!$G:$G,MATCH(B929,Bookings!$B:$B,0)),"")</f>
        <v>1</v>
      </c>
      <c r="J929" s="5">
        <f>VLOOKUP(B929,Bookings!B:H,7,FALSE())</f>
        <v>28.75</v>
      </c>
      <c r="K929" s="5" t="str">
        <f t="shared" si="1"/>
        <v>Long</v>
      </c>
      <c r="L929" s="11">
        <f t="array" ref="L929">IFERROR(INDEX(Bookings!$K:$K,MATCH(A929,Bookings!$A:$A,0)),"")</f>
        <v>4789</v>
      </c>
      <c r="M929" s="5" t="str">
        <f t="shared" si="2"/>
        <v>Medium</v>
      </c>
      <c r="N929" s="5">
        <f t="array" ref="N929">IFERROR(INDEX(Bookings!$I:$I,MATCH(A929,Bookings!$A:$A,0)),"")</f>
        <v>49</v>
      </c>
      <c r="O929" s="5" t="str">
        <f t="shared" si="3"/>
        <v>Advance</v>
      </c>
      <c r="P929" s="5" t="str">
        <f t="shared" si="4"/>
        <v>Hyderabad -&gt; Kolkata</v>
      </c>
    </row>
    <row r="930" ht="15.75" customHeight="1">
      <c r="A930" s="5" t="s">
        <v>2660</v>
      </c>
      <c r="B930" s="5" t="s">
        <v>2069</v>
      </c>
      <c r="C930" s="5" t="s">
        <v>671</v>
      </c>
      <c r="D930" s="5" t="s">
        <v>20</v>
      </c>
      <c r="E930" s="6" t="str">
        <f t="array" ref="E930">IFERROR(INDEX(Airlines!$B:$B,MATCH(D930,Airlines!$A:$A,0)),"")</f>
        <v>Vistara</v>
      </c>
      <c r="F930" s="6" t="str">
        <f>VLOOKUP(A930,Bookings!$A:$F,6,FALSE())</f>
        <v>Economy</v>
      </c>
      <c r="G930" s="6" t="str">
        <f t="array" ref="G930">IFERROR(INDEX(Flights!$E:$E,MATCH(B930,Flights!$A:$A,0)),"")</f>
        <v>Hyderabad</v>
      </c>
      <c r="H930" s="6" t="str">
        <f>VLOOKUP(B930,Flights!A:H,6,FALSE())</f>
        <v>Chennai</v>
      </c>
      <c r="I930" s="6" t="str">
        <f t="array" ref="I930">IFERROR(INDEX(Bookings!$G:$G,MATCH(B930,Bookings!$B:$B,0)),"")</f>
        <v>1</v>
      </c>
      <c r="J930" s="5">
        <f>VLOOKUP(B930,Bookings!B:H,7,FALSE())</f>
        <v>26.92</v>
      </c>
      <c r="K930" s="5" t="str">
        <f t="shared" si="1"/>
        <v>Long</v>
      </c>
      <c r="L930" s="11">
        <f t="array" ref="L930">IFERROR(INDEX(Bookings!$K:$K,MATCH(A930,Bookings!$A:$A,0)),"")</f>
        <v>7336</v>
      </c>
      <c r="M930" s="5" t="str">
        <f t="shared" si="2"/>
        <v>Medium</v>
      </c>
      <c r="N930" s="5">
        <f t="array" ref="N930">IFERROR(INDEX(Bookings!$I:$I,MATCH(A930,Bookings!$A:$A,0)),"")</f>
        <v>24</v>
      </c>
      <c r="O930" s="5" t="str">
        <f t="shared" si="3"/>
        <v>Moderate</v>
      </c>
      <c r="P930" s="5" t="str">
        <f t="shared" si="4"/>
        <v>Hyderabad -&gt; Chennai</v>
      </c>
    </row>
    <row r="931" ht="15.75" customHeight="1">
      <c r="A931" s="5" t="s">
        <v>2662</v>
      </c>
      <c r="B931" s="5" t="s">
        <v>2096</v>
      </c>
      <c r="C931" s="5" t="s">
        <v>671</v>
      </c>
      <c r="D931" s="5" t="s">
        <v>45</v>
      </c>
      <c r="E931" s="6" t="str">
        <f t="array" ref="E931">IFERROR(INDEX(Airlines!$B:$B,MATCH(D931,Airlines!$A:$A,0)),"")</f>
        <v>Air_India</v>
      </c>
      <c r="F931" s="6" t="str">
        <f>VLOOKUP(A931,Bookings!$A:$F,6,FALSE())</f>
        <v>Economy</v>
      </c>
      <c r="G931" s="6" t="str">
        <f t="array" ref="G931">IFERROR(INDEX(Flights!$E:$E,MATCH(B931,Flights!$A:$A,0)),"")</f>
        <v>Hyderabad</v>
      </c>
      <c r="H931" s="6" t="str">
        <f>VLOOKUP(B931,Flights!A:H,6,FALSE())</f>
        <v>Chennai</v>
      </c>
      <c r="I931" s="6" t="str">
        <f t="array" ref="I931">IFERROR(INDEX(Bookings!$G:$G,MATCH(B931,Bookings!$B:$B,0)),"")</f>
        <v>1</v>
      </c>
      <c r="J931" s="5">
        <f>VLOOKUP(B931,Bookings!B:H,7,FALSE())</f>
        <v>15.83</v>
      </c>
      <c r="K931" s="5" t="str">
        <f t="shared" si="1"/>
        <v>Long</v>
      </c>
      <c r="L931" s="11">
        <f t="array" ref="L931">IFERROR(INDEX(Bookings!$K:$K,MATCH(A931,Bookings!$A:$A,0)),"")</f>
        <v>4229</v>
      </c>
      <c r="M931" s="5" t="str">
        <f t="shared" si="2"/>
        <v>Low</v>
      </c>
      <c r="N931" s="5">
        <f t="array" ref="N931">IFERROR(INDEX(Bookings!$I:$I,MATCH(A931,Bookings!$A:$A,0)),"")</f>
        <v>40</v>
      </c>
      <c r="O931" s="5" t="str">
        <f t="shared" si="3"/>
        <v>Advance</v>
      </c>
      <c r="P931" s="5" t="str">
        <f t="shared" si="4"/>
        <v>Hyderabad -&gt; Chennai</v>
      </c>
    </row>
    <row r="932" ht="15.75" customHeight="1">
      <c r="A932" s="5" t="s">
        <v>2663</v>
      </c>
      <c r="B932" s="5" t="s">
        <v>2152</v>
      </c>
      <c r="C932" s="5" t="s">
        <v>671</v>
      </c>
      <c r="D932" s="5" t="s">
        <v>45</v>
      </c>
      <c r="E932" s="6" t="str">
        <f t="array" ref="E932">IFERROR(INDEX(Airlines!$B:$B,MATCH(D932,Airlines!$A:$A,0)),"")</f>
        <v>Air_India</v>
      </c>
      <c r="F932" s="6" t="str">
        <f>VLOOKUP(A932,Bookings!$A:$F,6,FALSE())</f>
        <v>Economy</v>
      </c>
      <c r="G932" s="6" t="str">
        <f t="array" ref="G932">IFERROR(INDEX(Flights!$E:$E,MATCH(B932,Flights!$A:$A,0)),"")</f>
        <v>Hyderabad</v>
      </c>
      <c r="H932" s="6" t="str">
        <f>VLOOKUP(B932,Flights!A:H,6,FALSE())</f>
        <v>Chennai</v>
      </c>
      <c r="I932" s="6" t="str">
        <f t="array" ref="I932">IFERROR(INDEX(Bookings!$G:$G,MATCH(B932,Bookings!$B:$B,0)),"")</f>
        <v>1</v>
      </c>
      <c r="J932" s="5">
        <f>VLOOKUP(B932,Bookings!B:H,7,FALSE())</f>
        <v>24.5</v>
      </c>
      <c r="K932" s="5" t="str">
        <f t="shared" si="1"/>
        <v>Long</v>
      </c>
      <c r="L932" s="11">
        <f t="array" ref="L932">IFERROR(INDEX(Bookings!$K:$K,MATCH(A932,Bookings!$A:$A,0)),"")</f>
        <v>29128</v>
      </c>
      <c r="M932" s="5" t="str">
        <f t="shared" si="2"/>
        <v>High</v>
      </c>
      <c r="N932" s="5">
        <f t="array" ref="N932">IFERROR(INDEX(Bookings!$I:$I,MATCH(A932,Bookings!$A:$A,0)),"")</f>
        <v>1</v>
      </c>
      <c r="O932" s="5" t="str">
        <f t="shared" si="3"/>
        <v>Last Minute</v>
      </c>
      <c r="P932" s="5" t="str">
        <f t="shared" si="4"/>
        <v>Hyderabad -&gt; Chennai</v>
      </c>
    </row>
    <row r="933" ht="15.75" customHeight="1">
      <c r="A933" s="5" t="s">
        <v>2664</v>
      </c>
      <c r="B933" s="5" t="s">
        <v>2122</v>
      </c>
      <c r="C933" s="5" t="s">
        <v>671</v>
      </c>
      <c r="D933" s="5" t="s">
        <v>45</v>
      </c>
      <c r="E933" s="6" t="str">
        <f t="array" ref="E933">IFERROR(INDEX(Airlines!$B:$B,MATCH(D933,Airlines!$A:$A,0)),"")</f>
        <v>Air_India</v>
      </c>
      <c r="F933" s="6" t="str">
        <f>VLOOKUP(A933,Bookings!$A:$F,6,FALSE())</f>
        <v>Economy</v>
      </c>
      <c r="G933" s="6" t="str">
        <f t="array" ref="G933">IFERROR(INDEX(Flights!$E:$E,MATCH(B933,Flights!$A:$A,0)),"")</f>
        <v>Hyderabad</v>
      </c>
      <c r="H933" s="6" t="str">
        <f>VLOOKUP(B933,Flights!A:H,6,FALSE())</f>
        <v>Chennai</v>
      </c>
      <c r="I933" s="6" t="str">
        <f t="array" ref="I933">IFERROR(INDEX(Bookings!$G:$G,MATCH(B933,Bookings!$B:$B,0)),"")</f>
        <v>0</v>
      </c>
      <c r="J933" s="5">
        <f>VLOOKUP(B933,Bookings!B:H,7,FALSE())</f>
        <v>1.5</v>
      </c>
      <c r="K933" s="5" t="str">
        <f t="shared" si="1"/>
        <v>Short</v>
      </c>
      <c r="L933" s="11">
        <f t="array" ref="L933">IFERROR(INDEX(Bookings!$K:$K,MATCH(A933,Bookings!$A:$A,0)),"")</f>
        <v>1776</v>
      </c>
      <c r="M933" s="5" t="str">
        <f t="shared" si="2"/>
        <v>Low</v>
      </c>
      <c r="N933" s="5">
        <f t="array" ref="N933">IFERROR(INDEX(Bookings!$I:$I,MATCH(A933,Bookings!$A:$A,0)),"")</f>
        <v>29</v>
      </c>
      <c r="O933" s="5" t="str">
        <f t="shared" si="3"/>
        <v>Moderate</v>
      </c>
      <c r="P933" s="5" t="str">
        <f t="shared" si="4"/>
        <v>Hyderabad -&gt; Chennai</v>
      </c>
    </row>
    <row r="934" ht="15.75" customHeight="1">
      <c r="A934" s="5" t="s">
        <v>2665</v>
      </c>
      <c r="B934" s="5" t="s">
        <v>2102</v>
      </c>
      <c r="C934" s="5" t="s">
        <v>671</v>
      </c>
      <c r="D934" s="5" t="s">
        <v>43</v>
      </c>
      <c r="E934" s="6" t="str">
        <f t="array" ref="E934">IFERROR(INDEX(Airlines!$B:$B,MATCH(D934,Airlines!$A:$A,0)),"")</f>
        <v>Indigo</v>
      </c>
      <c r="F934" s="6" t="str">
        <f>VLOOKUP(A934,Bookings!$A:$F,6,FALSE())</f>
        <v>Economy</v>
      </c>
      <c r="G934" s="6" t="str">
        <f t="array" ref="G934">IFERROR(INDEX(Flights!$E:$E,MATCH(B934,Flights!$A:$A,0)),"")</f>
        <v>Hyderabad</v>
      </c>
      <c r="H934" s="6" t="str">
        <f>VLOOKUP(B934,Flights!A:H,6,FALSE())</f>
        <v>Chennai</v>
      </c>
      <c r="I934" s="6" t="str">
        <f t="array" ref="I934">IFERROR(INDEX(Bookings!$G:$G,MATCH(B934,Bookings!$B:$B,0)),"")</f>
        <v>1</v>
      </c>
      <c r="J934" s="5">
        <f>VLOOKUP(B934,Bookings!B:H,7,FALSE())</f>
        <v>10</v>
      </c>
      <c r="K934" s="5" t="str">
        <f t="shared" si="1"/>
        <v>Medium</v>
      </c>
      <c r="L934" s="11">
        <f t="array" ref="L934">IFERROR(INDEX(Bookings!$K:$K,MATCH(A934,Bookings!$A:$A,0)),"")</f>
        <v>2874</v>
      </c>
      <c r="M934" s="5" t="str">
        <f t="shared" si="2"/>
        <v>Low</v>
      </c>
      <c r="N934" s="5">
        <f t="array" ref="N934">IFERROR(INDEX(Bookings!$I:$I,MATCH(A934,Bookings!$A:$A,0)),"")</f>
        <v>36</v>
      </c>
      <c r="O934" s="5" t="str">
        <f t="shared" si="3"/>
        <v>Advance</v>
      </c>
      <c r="P934" s="5" t="str">
        <f t="shared" si="4"/>
        <v>Hyderabad -&gt; Chennai</v>
      </c>
    </row>
    <row r="935" ht="15.75" customHeight="1">
      <c r="A935" s="5" t="s">
        <v>2666</v>
      </c>
      <c r="B935" s="5" t="s">
        <v>2105</v>
      </c>
      <c r="C935" s="5" t="s">
        <v>671</v>
      </c>
      <c r="D935" s="5" t="s">
        <v>43</v>
      </c>
      <c r="E935" s="6" t="str">
        <f t="array" ref="E935">IFERROR(INDEX(Airlines!$B:$B,MATCH(D935,Airlines!$A:$A,0)),"")</f>
        <v>Indigo</v>
      </c>
      <c r="F935" s="6" t="str">
        <f>VLOOKUP(A935,Bookings!$A:$F,6,FALSE())</f>
        <v>Economy</v>
      </c>
      <c r="G935" s="6" t="str">
        <f t="array" ref="G935">IFERROR(INDEX(Flights!$E:$E,MATCH(B935,Flights!$A:$A,0)),"")</f>
        <v>Hyderabad</v>
      </c>
      <c r="H935" s="6" t="str">
        <f>VLOOKUP(B935,Flights!A:H,6,FALSE())</f>
        <v>Chennai</v>
      </c>
      <c r="I935" s="6" t="str">
        <f t="array" ref="I935">IFERROR(INDEX(Bookings!$G:$G,MATCH(B935,Bookings!$B:$B,0)),"")</f>
        <v>1</v>
      </c>
      <c r="J935" s="5">
        <f>VLOOKUP(B935,Bookings!B:H,7,FALSE())</f>
        <v>6</v>
      </c>
      <c r="K935" s="5" t="str">
        <f t="shared" si="1"/>
        <v>Medium</v>
      </c>
      <c r="L935" s="11">
        <f t="array" ref="L935">IFERROR(INDEX(Bookings!$K:$K,MATCH(A935,Bookings!$A:$A,0)),"")</f>
        <v>12118</v>
      </c>
      <c r="M935" s="5" t="str">
        <f t="shared" si="2"/>
        <v>Medium</v>
      </c>
      <c r="N935" s="5">
        <f t="array" ref="N935">IFERROR(INDEX(Bookings!$I:$I,MATCH(A935,Bookings!$A:$A,0)),"")</f>
        <v>2</v>
      </c>
      <c r="O935" s="5" t="str">
        <f t="shared" si="3"/>
        <v>Last Minute</v>
      </c>
      <c r="P935" s="5" t="str">
        <f t="shared" si="4"/>
        <v>Hyderabad -&gt; Chennai</v>
      </c>
    </row>
    <row r="936" ht="15.75" customHeight="1">
      <c r="A936" s="5" t="s">
        <v>2667</v>
      </c>
      <c r="B936" s="5" t="s">
        <v>2109</v>
      </c>
      <c r="C936" s="5" t="s">
        <v>671</v>
      </c>
      <c r="D936" s="5" t="s">
        <v>45</v>
      </c>
      <c r="E936" s="6" t="str">
        <f t="array" ref="E936">IFERROR(INDEX(Airlines!$B:$B,MATCH(D936,Airlines!$A:$A,0)),"")</f>
        <v>Air_India</v>
      </c>
      <c r="F936" s="6" t="str">
        <f>VLOOKUP(A936,Bookings!$A:$F,6,FALSE())</f>
        <v>Economy</v>
      </c>
      <c r="G936" s="6" t="str">
        <f t="array" ref="G936">IFERROR(INDEX(Flights!$E:$E,MATCH(B936,Flights!$A:$A,0)),"")</f>
        <v>Hyderabad</v>
      </c>
      <c r="H936" s="6" t="str">
        <f>VLOOKUP(B936,Flights!A:H,6,FALSE())</f>
        <v>Chennai</v>
      </c>
      <c r="I936" s="6" t="str">
        <f t="array" ref="I936">IFERROR(INDEX(Bookings!$G:$G,MATCH(B936,Bookings!$B:$B,0)),"")</f>
        <v>2+</v>
      </c>
      <c r="J936" s="5">
        <f>VLOOKUP(B936,Bookings!B:H,7,FALSE())</f>
        <v>22.17</v>
      </c>
      <c r="K936" s="5" t="str">
        <f t="shared" si="1"/>
        <v>Long</v>
      </c>
      <c r="L936" s="11">
        <f t="array" ref="L936">IFERROR(INDEX(Bookings!$K:$K,MATCH(A936,Bookings!$A:$A,0)),"")</f>
        <v>15368</v>
      </c>
      <c r="M936" s="5" t="str">
        <f t="shared" si="2"/>
        <v>Medium</v>
      </c>
      <c r="N936" s="5">
        <f t="array" ref="N936">IFERROR(INDEX(Bookings!$I:$I,MATCH(A936,Bookings!$A:$A,0)),"")</f>
        <v>3</v>
      </c>
      <c r="O936" s="5" t="str">
        <f t="shared" si="3"/>
        <v>Last Minute</v>
      </c>
      <c r="P936" s="5" t="str">
        <f t="shared" si="4"/>
        <v>Hyderabad -&gt; Chennai</v>
      </c>
    </row>
    <row r="937" ht="15.75" customHeight="1">
      <c r="A937" s="5" t="s">
        <v>2668</v>
      </c>
      <c r="B937" s="5" t="s">
        <v>2094</v>
      </c>
      <c r="C937" s="5" t="s">
        <v>671</v>
      </c>
      <c r="D937" s="5" t="s">
        <v>20</v>
      </c>
      <c r="E937" s="6" t="str">
        <f t="array" ref="E937">IFERROR(INDEX(Airlines!$B:$B,MATCH(D937,Airlines!$A:$A,0)),"")</f>
        <v>Vistara</v>
      </c>
      <c r="F937" s="6" t="str">
        <f>VLOOKUP(A937,Bookings!$A:$F,6,FALSE())</f>
        <v>Economy</v>
      </c>
      <c r="G937" s="6" t="str">
        <f t="array" ref="G937">IFERROR(INDEX(Flights!$E:$E,MATCH(B937,Flights!$A:$A,0)),"")</f>
        <v>Hyderabad</v>
      </c>
      <c r="H937" s="6" t="str">
        <f>VLOOKUP(B937,Flights!A:H,6,FALSE())</f>
        <v>Chennai</v>
      </c>
      <c r="I937" s="6" t="str">
        <f t="array" ref="I937">IFERROR(INDEX(Bookings!$G:$G,MATCH(B937,Bookings!$B:$B,0)),"")</f>
        <v>1</v>
      </c>
      <c r="J937" s="5">
        <f>VLOOKUP(B937,Bookings!B:H,7,FALSE())</f>
        <v>23.67</v>
      </c>
      <c r="K937" s="5" t="str">
        <f t="shared" si="1"/>
        <v>Long</v>
      </c>
      <c r="L937" s="11">
        <f t="array" ref="L937">IFERROR(INDEX(Bookings!$K:$K,MATCH(A937,Bookings!$A:$A,0)),"")</f>
        <v>7336</v>
      </c>
      <c r="M937" s="5" t="str">
        <f t="shared" si="2"/>
        <v>Medium</v>
      </c>
      <c r="N937" s="5">
        <f t="array" ref="N937">IFERROR(INDEX(Bookings!$I:$I,MATCH(A937,Bookings!$A:$A,0)),"")</f>
        <v>34</v>
      </c>
      <c r="O937" s="5" t="str">
        <f t="shared" si="3"/>
        <v>Advance</v>
      </c>
      <c r="P937" s="5" t="str">
        <f t="shared" si="4"/>
        <v>Hyderabad -&gt; Chennai</v>
      </c>
    </row>
    <row r="938" ht="15.75" customHeight="1">
      <c r="A938" s="5" t="s">
        <v>2670</v>
      </c>
      <c r="B938" s="5" t="s">
        <v>2143</v>
      </c>
      <c r="C938" s="5" t="s">
        <v>671</v>
      </c>
      <c r="D938" s="5" t="s">
        <v>72</v>
      </c>
      <c r="E938" s="6" t="str">
        <f t="array" ref="E938">IFERROR(INDEX(Airlines!$B:$B,MATCH(D938,Airlines!$A:$A,0)),"")</f>
        <v>Spicejet</v>
      </c>
      <c r="F938" s="6" t="str">
        <f>VLOOKUP(A938,Bookings!$A:$F,6,FALSE())</f>
        <v>Economy</v>
      </c>
      <c r="G938" s="6" t="str">
        <f t="array" ref="G938">IFERROR(INDEX(Flights!$E:$E,MATCH(B938,Flights!$A:$A,0)),"")</f>
        <v>Hyderabad</v>
      </c>
      <c r="H938" s="6" t="str">
        <f>VLOOKUP(B938,Flights!A:H,6,FALSE())</f>
        <v>Chennai</v>
      </c>
      <c r="I938" s="6" t="str">
        <f t="array" ref="I938">IFERROR(INDEX(Bookings!$G:$G,MATCH(B938,Bookings!$B:$B,0)),"")</f>
        <v>0</v>
      </c>
      <c r="J938" s="5">
        <f>VLOOKUP(B938,Bookings!B:H,7,FALSE())</f>
        <v>1.25</v>
      </c>
      <c r="K938" s="5" t="str">
        <f t="shared" si="1"/>
        <v>Short</v>
      </c>
      <c r="L938" s="11">
        <f t="array" ref="L938">IFERROR(INDEX(Bookings!$K:$K,MATCH(A938,Bookings!$A:$A,0)),"")</f>
        <v>1566</v>
      </c>
      <c r="M938" s="5" t="str">
        <f t="shared" si="2"/>
        <v>Low</v>
      </c>
      <c r="N938" s="5">
        <f t="array" ref="N938">IFERROR(INDEX(Bookings!$I:$I,MATCH(A938,Bookings!$A:$A,0)),"")</f>
        <v>38</v>
      </c>
      <c r="O938" s="5" t="str">
        <f t="shared" si="3"/>
        <v>Advance</v>
      </c>
      <c r="P938" s="5" t="str">
        <f t="shared" si="4"/>
        <v>Hyderabad -&gt; Chennai</v>
      </c>
    </row>
    <row r="939" ht="15.75" customHeight="1">
      <c r="A939" s="5" t="s">
        <v>2672</v>
      </c>
      <c r="B939" s="5" t="s">
        <v>2142</v>
      </c>
      <c r="C939" s="5" t="s">
        <v>671</v>
      </c>
      <c r="D939" s="5" t="s">
        <v>20</v>
      </c>
      <c r="E939" s="6" t="str">
        <f t="array" ref="E939">IFERROR(INDEX(Airlines!$B:$B,MATCH(D939,Airlines!$A:$A,0)),"")</f>
        <v>Vistara</v>
      </c>
      <c r="F939" s="6" t="str">
        <f>VLOOKUP(A939,Bookings!$A:$F,6,FALSE())</f>
        <v>Economy</v>
      </c>
      <c r="G939" s="6" t="str">
        <f t="array" ref="G939">IFERROR(INDEX(Flights!$E:$E,MATCH(B939,Flights!$A:$A,0)),"")</f>
        <v>Hyderabad</v>
      </c>
      <c r="H939" s="6" t="str">
        <f>VLOOKUP(B939,Flights!A:H,6,FALSE())</f>
        <v>Chennai</v>
      </c>
      <c r="I939" s="6" t="str">
        <f t="array" ref="I939">IFERROR(INDEX(Bookings!$G:$G,MATCH(B939,Bookings!$B:$B,0)),"")</f>
        <v>1</v>
      </c>
      <c r="J939" s="5">
        <f>VLOOKUP(B939,Bookings!B:H,7,FALSE())</f>
        <v>23.58</v>
      </c>
      <c r="K939" s="5" t="str">
        <f t="shared" si="1"/>
        <v>Long</v>
      </c>
      <c r="L939" s="11">
        <f t="array" ref="L939">IFERROR(INDEX(Bookings!$K:$K,MATCH(A939,Bookings!$A:$A,0)),"")</f>
        <v>4324</v>
      </c>
      <c r="M939" s="5" t="str">
        <f t="shared" si="2"/>
        <v>Low</v>
      </c>
      <c r="N939" s="5">
        <f t="array" ref="N939">IFERROR(INDEX(Bookings!$I:$I,MATCH(A939,Bookings!$A:$A,0)),"")</f>
        <v>37</v>
      </c>
      <c r="O939" s="5" t="str">
        <f t="shared" si="3"/>
        <v>Advance</v>
      </c>
      <c r="P939" s="5" t="str">
        <f t="shared" si="4"/>
        <v>Hyderabad -&gt; Chennai</v>
      </c>
    </row>
    <row r="940" ht="15.75" customHeight="1">
      <c r="A940" s="5" t="s">
        <v>2674</v>
      </c>
      <c r="B940" s="5" t="s">
        <v>2083</v>
      </c>
      <c r="C940" s="5" t="s">
        <v>671</v>
      </c>
      <c r="D940" s="5" t="s">
        <v>45</v>
      </c>
      <c r="E940" s="6" t="str">
        <f t="array" ref="E940">IFERROR(INDEX(Airlines!$B:$B,MATCH(D940,Airlines!$A:$A,0)),"")</f>
        <v>Air_India</v>
      </c>
      <c r="F940" s="6" t="str">
        <f>VLOOKUP(A940,Bookings!$A:$F,6,FALSE())</f>
        <v>Economy</v>
      </c>
      <c r="G940" s="6" t="str">
        <f t="array" ref="G940">IFERROR(INDEX(Flights!$E:$E,MATCH(B940,Flights!$A:$A,0)),"")</f>
        <v>Hyderabad</v>
      </c>
      <c r="H940" s="6" t="str">
        <f>VLOOKUP(B940,Flights!A:H,6,FALSE())</f>
        <v>Chennai</v>
      </c>
      <c r="I940" s="6" t="str">
        <f t="array" ref="I940">IFERROR(INDEX(Bookings!$G:$G,MATCH(B940,Bookings!$B:$B,0)),"")</f>
        <v>2+</v>
      </c>
      <c r="J940" s="5">
        <f>VLOOKUP(B940,Bookings!B:H,7,FALSE())</f>
        <v>14.5</v>
      </c>
      <c r="K940" s="5" t="str">
        <f t="shared" si="1"/>
        <v>Long</v>
      </c>
      <c r="L940" s="11">
        <f t="array" ref="L940">IFERROR(INDEX(Bookings!$K:$K,MATCH(A940,Bookings!$A:$A,0)),"")</f>
        <v>16843</v>
      </c>
      <c r="M940" s="5" t="str">
        <f t="shared" si="2"/>
        <v>High</v>
      </c>
      <c r="N940" s="5">
        <f t="array" ref="N940">IFERROR(INDEX(Bookings!$I:$I,MATCH(A940,Bookings!$A:$A,0)),"")</f>
        <v>3</v>
      </c>
      <c r="O940" s="5" t="str">
        <f t="shared" si="3"/>
        <v>Last Minute</v>
      </c>
      <c r="P940" s="5" t="str">
        <f t="shared" si="4"/>
        <v>Hyderabad -&gt; Chennai</v>
      </c>
    </row>
    <row r="941" ht="15.75" customHeight="1">
      <c r="A941" s="5" t="s">
        <v>2675</v>
      </c>
      <c r="B941" s="5" t="s">
        <v>2150</v>
      </c>
      <c r="C941" s="5" t="s">
        <v>671</v>
      </c>
      <c r="D941" s="5" t="s">
        <v>45</v>
      </c>
      <c r="E941" s="6" t="str">
        <f t="array" ref="E941">IFERROR(INDEX(Airlines!$B:$B,MATCH(D941,Airlines!$A:$A,0)),"")</f>
        <v>Air_India</v>
      </c>
      <c r="F941" s="6" t="str">
        <f>VLOOKUP(A941,Bookings!$A:$F,6,FALSE())</f>
        <v>Economy</v>
      </c>
      <c r="G941" s="6" t="str">
        <f t="array" ref="G941">IFERROR(INDEX(Flights!$E:$E,MATCH(B941,Flights!$A:$A,0)),"")</f>
        <v>Hyderabad</v>
      </c>
      <c r="H941" s="6" t="str">
        <f>VLOOKUP(B941,Flights!A:H,6,FALSE())</f>
        <v>Chennai</v>
      </c>
      <c r="I941" s="6" t="str">
        <f t="array" ref="I941">IFERROR(INDEX(Bookings!$G:$G,MATCH(B941,Bookings!$B:$B,0)),"")</f>
        <v>1</v>
      </c>
      <c r="J941" s="5">
        <f>VLOOKUP(B941,Bookings!B:H,7,FALSE())</f>
        <v>7.67</v>
      </c>
      <c r="K941" s="5" t="str">
        <f t="shared" si="1"/>
        <v>Medium</v>
      </c>
      <c r="L941" s="11">
        <f t="array" ref="L941">IFERROR(INDEX(Bookings!$K:$K,MATCH(A941,Bookings!$A:$A,0)),"")</f>
        <v>4229</v>
      </c>
      <c r="M941" s="5" t="str">
        <f t="shared" si="2"/>
        <v>Low</v>
      </c>
      <c r="N941" s="5">
        <f t="array" ref="N941">IFERROR(INDEX(Bookings!$I:$I,MATCH(A941,Bookings!$A:$A,0)),"")</f>
        <v>43</v>
      </c>
      <c r="O941" s="5" t="str">
        <f t="shared" si="3"/>
        <v>Advance</v>
      </c>
      <c r="P941" s="5" t="str">
        <f t="shared" si="4"/>
        <v>Hyderabad -&gt; Chennai</v>
      </c>
    </row>
    <row r="942" ht="15.75" customHeight="1">
      <c r="A942" s="5" t="s">
        <v>2676</v>
      </c>
      <c r="B942" s="5" t="s">
        <v>2172</v>
      </c>
      <c r="C942" s="5" t="s">
        <v>671</v>
      </c>
      <c r="D942" s="5" t="s">
        <v>20</v>
      </c>
      <c r="E942" s="6" t="str">
        <f t="array" ref="E942">IFERROR(INDEX(Airlines!$B:$B,MATCH(D942,Airlines!$A:$A,0)),"")</f>
        <v>Vistara</v>
      </c>
      <c r="F942" s="6" t="str">
        <f>VLOOKUP(A942,Bookings!$A:$F,6,FALSE())</f>
        <v>Business</v>
      </c>
      <c r="G942" s="6" t="str">
        <f t="array" ref="G942">IFERROR(INDEX(Flights!$E:$E,MATCH(B942,Flights!$A:$A,0)),"")</f>
        <v>Hyderabad</v>
      </c>
      <c r="H942" s="6" t="str">
        <f>VLOOKUP(B942,Flights!A:H,6,FALSE())</f>
        <v>Chennai</v>
      </c>
      <c r="I942" s="6" t="str">
        <f t="array" ref="I942">IFERROR(INDEX(Bookings!$G:$G,MATCH(B942,Bookings!$B:$B,0)),"")</f>
        <v>1</v>
      </c>
      <c r="J942" s="5">
        <f>VLOOKUP(B942,Bookings!B:H,7,FALSE())</f>
        <v>6</v>
      </c>
      <c r="K942" s="5" t="str">
        <f t="shared" si="1"/>
        <v>Medium</v>
      </c>
      <c r="L942" s="11">
        <f t="array" ref="L942">IFERROR(INDEX(Bookings!$K:$K,MATCH(A942,Bookings!$A:$A,0)),"")</f>
        <v>51707</v>
      </c>
      <c r="M942" s="5" t="str">
        <f t="shared" si="2"/>
        <v>High</v>
      </c>
      <c r="N942" s="5">
        <f t="array" ref="N942">IFERROR(INDEX(Bookings!$I:$I,MATCH(A942,Bookings!$A:$A,0)),"")</f>
        <v>34</v>
      </c>
      <c r="O942" s="5" t="str">
        <f t="shared" si="3"/>
        <v>Advance</v>
      </c>
      <c r="P942" s="5" t="str">
        <f t="shared" si="4"/>
        <v>Hyderabad -&gt; Chennai</v>
      </c>
    </row>
    <row r="943" ht="15.75" customHeight="1">
      <c r="A943" s="5" t="s">
        <v>2677</v>
      </c>
      <c r="B943" s="5" t="s">
        <v>2124</v>
      </c>
      <c r="C943" s="5" t="s">
        <v>671</v>
      </c>
      <c r="D943" s="5" t="s">
        <v>43</v>
      </c>
      <c r="E943" s="6" t="str">
        <f t="array" ref="E943">IFERROR(INDEX(Airlines!$B:$B,MATCH(D943,Airlines!$A:$A,0)),"")</f>
        <v>Indigo</v>
      </c>
      <c r="F943" s="6" t="str">
        <f>VLOOKUP(A943,Bookings!$A:$F,6,FALSE())</f>
        <v>Economy</v>
      </c>
      <c r="G943" s="6" t="str">
        <f t="array" ref="G943">IFERROR(INDEX(Flights!$E:$E,MATCH(B943,Flights!$A:$A,0)),"")</f>
        <v>Hyderabad</v>
      </c>
      <c r="H943" s="6" t="str">
        <f>VLOOKUP(B943,Flights!A:H,6,FALSE())</f>
        <v>Chennai</v>
      </c>
      <c r="I943" s="6" t="str">
        <f t="array" ref="I943">IFERROR(INDEX(Bookings!$G:$G,MATCH(B943,Bookings!$B:$B,0)),"")</f>
        <v>1</v>
      </c>
      <c r="J943" s="5">
        <f>VLOOKUP(B943,Bookings!B:H,7,FALSE())</f>
        <v>3.25</v>
      </c>
      <c r="K943" s="5" t="str">
        <f t="shared" si="1"/>
        <v>Short</v>
      </c>
      <c r="L943" s="11">
        <f t="array" ref="L943">IFERROR(INDEX(Bookings!$K:$K,MATCH(A943,Bookings!$A:$A,0)),"")</f>
        <v>1543</v>
      </c>
      <c r="M943" s="5" t="str">
        <f t="shared" si="2"/>
        <v>Low</v>
      </c>
      <c r="N943" s="5">
        <f t="array" ref="N943">IFERROR(INDEX(Bookings!$I:$I,MATCH(A943,Bookings!$A:$A,0)),"")</f>
        <v>39</v>
      </c>
      <c r="O943" s="5" t="str">
        <f t="shared" si="3"/>
        <v>Advance</v>
      </c>
      <c r="P943" s="5" t="str">
        <f t="shared" si="4"/>
        <v>Hyderabad -&gt; Chennai</v>
      </c>
    </row>
    <row r="944" ht="15.75" customHeight="1">
      <c r="A944" s="5" t="s">
        <v>2678</v>
      </c>
      <c r="B944" s="5" t="s">
        <v>2114</v>
      </c>
      <c r="C944" s="5" t="s">
        <v>671</v>
      </c>
      <c r="D944" s="5" t="s">
        <v>20</v>
      </c>
      <c r="E944" s="6" t="str">
        <f t="array" ref="E944">IFERROR(INDEX(Airlines!$B:$B,MATCH(D944,Airlines!$A:$A,0)),"")</f>
        <v>Vistara</v>
      </c>
      <c r="F944" s="6" t="str">
        <f>VLOOKUP(A944,Bookings!$A:$F,6,FALSE())</f>
        <v>Economy</v>
      </c>
      <c r="G944" s="6" t="str">
        <f t="array" ref="G944">IFERROR(INDEX(Flights!$E:$E,MATCH(B944,Flights!$A:$A,0)),"")</f>
        <v>Hyderabad</v>
      </c>
      <c r="H944" s="6" t="str">
        <f>VLOOKUP(B944,Flights!A:H,6,FALSE())</f>
        <v>Chennai</v>
      </c>
      <c r="I944" s="6" t="str">
        <f t="array" ref="I944">IFERROR(INDEX(Bookings!$G:$G,MATCH(B944,Bookings!$B:$B,0)),"")</f>
        <v>1</v>
      </c>
      <c r="J944" s="5">
        <f>VLOOKUP(B944,Bookings!B:H,7,FALSE())</f>
        <v>19.92</v>
      </c>
      <c r="K944" s="5" t="str">
        <f t="shared" si="1"/>
        <v>Long</v>
      </c>
      <c r="L944" s="11">
        <f t="array" ref="L944">IFERROR(INDEX(Bookings!$K:$K,MATCH(A944,Bookings!$A:$A,0)),"")</f>
        <v>7336</v>
      </c>
      <c r="M944" s="5" t="str">
        <f t="shared" si="2"/>
        <v>Medium</v>
      </c>
      <c r="N944" s="5">
        <f t="array" ref="N944">IFERROR(INDEX(Bookings!$I:$I,MATCH(A944,Bookings!$A:$A,0)),"")</f>
        <v>45</v>
      </c>
      <c r="O944" s="5" t="str">
        <f t="shared" si="3"/>
        <v>Advance</v>
      </c>
      <c r="P944" s="5" t="str">
        <f t="shared" si="4"/>
        <v>Hyderabad -&gt; Chennai</v>
      </c>
    </row>
    <row r="945" ht="15.75" customHeight="1">
      <c r="A945" s="5" t="s">
        <v>2679</v>
      </c>
      <c r="B945" s="5" t="s">
        <v>2072</v>
      </c>
      <c r="C945" s="5" t="s">
        <v>671</v>
      </c>
      <c r="D945" s="5" t="s">
        <v>20</v>
      </c>
      <c r="E945" s="6" t="str">
        <f t="array" ref="E945">IFERROR(INDEX(Airlines!$B:$B,MATCH(D945,Airlines!$A:$A,0)),"")</f>
        <v>Vistara</v>
      </c>
      <c r="F945" s="6" t="str">
        <f>VLOOKUP(A945,Bookings!$A:$F,6,FALSE())</f>
        <v>Economy</v>
      </c>
      <c r="G945" s="6" t="str">
        <f t="array" ref="G945">IFERROR(INDEX(Flights!$E:$E,MATCH(B945,Flights!$A:$A,0)),"")</f>
        <v>Hyderabad</v>
      </c>
      <c r="H945" s="6" t="str">
        <f>VLOOKUP(B945,Flights!A:H,6,FALSE())</f>
        <v>Chennai</v>
      </c>
      <c r="I945" s="6" t="str">
        <f t="array" ref="I945">IFERROR(INDEX(Bookings!$G:$G,MATCH(B945,Bookings!$B:$B,0)),"")</f>
        <v>1</v>
      </c>
      <c r="J945" s="5">
        <f>VLOOKUP(B945,Bookings!B:H,7,FALSE())</f>
        <v>7</v>
      </c>
      <c r="K945" s="5" t="str">
        <f t="shared" si="1"/>
        <v>Medium</v>
      </c>
      <c r="L945" s="11">
        <f t="array" ref="L945">IFERROR(INDEX(Bookings!$K:$K,MATCH(A945,Bookings!$A:$A,0)),"")</f>
        <v>6287</v>
      </c>
      <c r="M945" s="5" t="str">
        <f t="shared" si="2"/>
        <v>Medium</v>
      </c>
      <c r="N945" s="5">
        <f t="array" ref="N945">IFERROR(INDEX(Bookings!$I:$I,MATCH(A945,Bookings!$A:$A,0)),"")</f>
        <v>45</v>
      </c>
      <c r="O945" s="5" t="str">
        <f t="shared" si="3"/>
        <v>Advance</v>
      </c>
      <c r="P945" s="5" t="str">
        <f t="shared" si="4"/>
        <v>Hyderabad -&gt; Chennai</v>
      </c>
    </row>
    <row r="946" ht="15.75" customHeight="1">
      <c r="A946" s="5" t="s">
        <v>2680</v>
      </c>
      <c r="B946" s="5" t="s">
        <v>2121</v>
      </c>
      <c r="C946" s="5" t="s">
        <v>671</v>
      </c>
      <c r="D946" s="5" t="s">
        <v>20</v>
      </c>
      <c r="E946" s="6" t="str">
        <f t="array" ref="E946">IFERROR(INDEX(Airlines!$B:$B,MATCH(D946,Airlines!$A:$A,0)),"")</f>
        <v>Vistara</v>
      </c>
      <c r="F946" s="6" t="str">
        <f>VLOOKUP(A946,Bookings!$A:$F,6,FALSE())</f>
        <v>Economy</v>
      </c>
      <c r="G946" s="6" t="str">
        <f t="array" ref="G946">IFERROR(INDEX(Flights!$E:$E,MATCH(B946,Flights!$A:$A,0)),"")</f>
        <v>Hyderabad</v>
      </c>
      <c r="H946" s="6" t="str">
        <f>VLOOKUP(B946,Flights!A:H,6,FALSE())</f>
        <v>Chennai</v>
      </c>
      <c r="I946" s="6" t="str">
        <f t="array" ref="I946">IFERROR(INDEX(Bookings!$G:$G,MATCH(B946,Bookings!$B:$B,0)),"")</f>
        <v>1</v>
      </c>
      <c r="J946" s="5">
        <f>VLOOKUP(B946,Bookings!B:H,7,FALSE())</f>
        <v>9.58</v>
      </c>
      <c r="K946" s="5" t="str">
        <f t="shared" si="1"/>
        <v>Medium</v>
      </c>
      <c r="L946" s="11">
        <f t="array" ref="L946">IFERROR(INDEX(Bookings!$K:$K,MATCH(A946,Bookings!$A:$A,0)),"")</f>
        <v>7302</v>
      </c>
      <c r="M946" s="5" t="str">
        <f t="shared" si="2"/>
        <v>Medium</v>
      </c>
      <c r="N946" s="5">
        <f t="array" ref="N946">IFERROR(INDEX(Bookings!$I:$I,MATCH(A946,Bookings!$A:$A,0)),"")</f>
        <v>43</v>
      </c>
      <c r="O946" s="5" t="str">
        <f t="shared" si="3"/>
        <v>Advance</v>
      </c>
      <c r="P946" s="5" t="str">
        <f t="shared" si="4"/>
        <v>Hyderabad -&gt; Chennai</v>
      </c>
    </row>
    <row r="947" ht="15.75" customHeight="1">
      <c r="A947" s="5" t="s">
        <v>2681</v>
      </c>
      <c r="B947" s="5" t="s">
        <v>2119</v>
      </c>
      <c r="C947" s="5" t="s">
        <v>671</v>
      </c>
      <c r="D947" s="5" t="s">
        <v>20</v>
      </c>
      <c r="E947" s="6" t="str">
        <f t="array" ref="E947">IFERROR(INDEX(Airlines!$B:$B,MATCH(D947,Airlines!$A:$A,0)),"")</f>
        <v>Vistara</v>
      </c>
      <c r="F947" s="6" t="str">
        <f>VLOOKUP(A947,Bookings!$A:$F,6,FALSE())</f>
        <v>Business</v>
      </c>
      <c r="G947" s="6" t="str">
        <f t="array" ref="G947">IFERROR(INDEX(Flights!$E:$E,MATCH(B947,Flights!$A:$A,0)),"")</f>
        <v>Hyderabad</v>
      </c>
      <c r="H947" s="6" t="str">
        <f>VLOOKUP(B947,Flights!A:H,6,FALSE())</f>
        <v>Chennai</v>
      </c>
      <c r="I947" s="6" t="str">
        <f t="array" ref="I947">IFERROR(INDEX(Bookings!$G:$G,MATCH(B947,Bookings!$B:$B,0)),"")</f>
        <v>1</v>
      </c>
      <c r="J947" s="5">
        <f>VLOOKUP(B947,Bookings!B:H,7,FALSE())</f>
        <v>14.58</v>
      </c>
      <c r="K947" s="5" t="str">
        <f t="shared" si="1"/>
        <v>Long</v>
      </c>
      <c r="L947" s="11">
        <f t="array" ref="L947">IFERROR(INDEX(Bookings!$K:$K,MATCH(A947,Bookings!$A:$A,0)),"")</f>
        <v>45189</v>
      </c>
      <c r="M947" s="5" t="str">
        <f t="shared" si="2"/>
        <v>High</v>
      </c>
      <c r="N947" s="5">
        <f t="array" ref="N947">IFERROR(INDEX(Bookings!$I:$I,MATCH(A947,Bookings!$A:$A,0)),"")</f>
        <v>5</v>
      </c>
      <c r="O947" s="5" t="str">
        <f t="shared" si="3"/>
        <v>Last Minute</v>
      </c>
      <c r="P947" s="5" t="str">
        <f t="shared" si="4"/>
        <v>Hyderabad -&gt; Chennai</v>
      </c>
    </row>
    <row r="948" ht="15.75" customHeight="1">
      <c r="A948" s="5" t="s">
        <v>2682</v>
      </c>
      <c r="B948" s="5" t="s">
        <v>2146</v>
      </c>
      <c r="C948" s="5" t="s">
        <v>671</v>
      </c>
      <c r="D948" s="5" t="s">
        <v>20</v>
      </c>
      <c r="E948" s="6" t="str">
        <f t="array" ref="E948">IFERROR(INDEX(Airlines!$B:$B,MATCH(D948,Airlines!$A:$A,0)),"")</f>
        <v>Vistara</v>
      </c>
      <c r="F948" s="6" t="str">
        <f>VLOOKUP(A948,Bookings!$A:$F,6,FALSE())</f>
        <v>Economy</v>
      </c>
      <c r="G948" s="6" t="str">
        <f t="array" ref="G948">IFERROR(INDEX(Flights!$E:$E,MATCH(B948,Flights!$A:$A,0)),"")</f>
        <v>Hyderabad</v>
      </c>
      <c r="H948" s="6" t="str">
        <f>VLOOKUP(B948,Flights!A:H,6,FALSE())</f>
        <v>Chennai</v>
      </c>
      <c r="I948" s="6" t="str">
        <f t="array" ref="I948">IFERROR(INDEX(Bookings!$G:$G,MATCH(B948,Bookings!$B:$B,0)),"")</f>
        <v>2+</v>
      </c>
      <c r="J948" s="5">
        <f>VLOOKUP(B948,Bookings!B:H,7,FALSE())</f>
        <v>14.33</v>
      </c>
      <c r="K948" s="5" t="str">
        <f t="shared" si="1"/>
        <v>Long</v>
      </c>
      <c r="L948" s="11">
        <f t="array" ref="L948">IFERROR(INDEX(Bookings!$K:$K,MATCH(A948,Bookings!$A:$A,0)),"")</f>
        <v>13240</v>
      </c>
      <c r="M948" s="5" t="str">
        <f t="shared" si="2"/>
        <v>Medium</v>
      </c>
      <c r="N948" s="5">
        <f t="array" ref="N948">IFERROR(INDEX(Bookings!$I:$I,MATCH(A948,Bookings!$A:$A,0)),"")</f>
        <v>14</v>
      </c>
      <c r="O948" s="5" t="str">
        <f t="shared" si="3"/>
        <v>Short Notice</v>
      </c>
      <c r="P948" s="5" t="str">
        <f t="shared" si="4"/>
        <v>Hyderabad -&gt; Chennai</v>
      </c>
    </row>
    <row r="949" ht="15.75" customHeight="1">
      <c r="A949" s="5" t="s">
        <v>2683</v>
      </c>
      <c r="B949" s="5" t="s">
        <v>2086</v>
      </c>
      <c r="C949" s="5" t="s">
        <v>671</v>
      </c>
      <c r="D949" s="5" t="s">
        <v>45</v>
      </c>
      <c r="E949" s="6" t="str">
        <f t="array" ref="E949">IFERROR(INDEX(Airlines!$B:$B,MATCH(D949,Airlines!$A:$A,0)),"")</f>
        <v>Air_India</v>
      </c>
      <c r="F949" s="6" t="str">
        <f>VLOOKUP(A949,Bookings!$A:$F,6,FALSE())</f>
        <v>Economy</v>
      </c>
      <c r="G949" s="6" t="str">
        <f t="array" ref="G949">IFERROR(INDEX(Flights!$E:$E,MATCH(B949,Flights!$A:$A,0)),"")</f>
        <v>Hyderabad</v>
      </c>
      <c r="H949" s="6" t="str">
        <f>VLOOKUP(B949,Flights!A:H,6,FALSE())</f>
        <v>Chennai</v>
      </c>
      <c r="I949" s="6" t="str">
        <f t="array" ref="I949">IFERROR(INDEX(Bookings!$G:$G,MATCH(B949,Bookings!$B:$B,0)),"")</f>
        <v>1</v>
      </c>
      <c r="J949" s="5">
        <f>VLOOKUP(B949,Bookings!B:H,7,FALSE())</f>
        <v>12.5</v>
      </c>
      <c r="K949" s="5" t="str">
        <f t="shared" si="1"/>
        <v>Long</v>
      </c>
      <c r="L949" s="11">
        <f t="array" ref="L949">IFERROR(INDEX(Bookings!$K:$K,MATCH(A949,Bookings!$A:$A,0)),"")</f>
        <v>14008</v>
      </c>
      <c r="M949" s="5" t="str">
        <f t="shared" si="2"/>
        <v>Medium</v>
      </c>
      <c r="N949" s="5">
        <f t="array" ref="N949">IFERROR(INDEX(Bookings!$I:$I,MATCH(A949,Bookings!$A:$A,0)),"")</f>
        <v>14</v>
      </c>
      <c r="O949" s="5" t="str">
        <f t="shared" si="3"/>
        <v>Short Notice</v>
      </c>
      <c r="P949" s="5" t="str">
        <f t="shared" si="4"/>
        <v>Hyderabad -&gt; Chennai</v>
      </c>
    </row>
    <row r="950" ht="15.75" customHeight="1">
      <c r="A950" s="5" t="s">
        <v>2684</v>
      </c>
      <c r="B950" s="5" t="s">
        <v>2170</v>
      </c>
      <c r="C950" s="5" t="s">
        <v>671</v>
      </c>
      <c r="D950" s="5" t="s">
        <v>43</v>
      </c>
      <c r="E950" s="6" t="str">
        <f t="array" ref="E950">IFERROR(INDEX(Airlines!$B:$B,MATCH(D950,Airlines!$A:$A,0)),"")</f>
        <v>Indigo</v>
      </c>
      <c r="F950" s="6" t="str">
        <f>VLOOKUP(A950,Bookings!$A:$F,6,FALSE())</f>
        <v>Economy</v>
      </c>
      <c r="G950" s="6" t="str">
        <f t="array" ref="G950">IFERROR(INDEX(Flights!$E:$E,MATCH(B950,Flights!$A:$A,0)),"")</f>
        <v>Hyderabad</v>
      </c>
      <c r="H950" s="6" t="str">
        <f>VLOOKUP(B950,Flights!A:H,6,FALSE())</f>
        <v>Chennai</v>
      </c>
      <c r="I950" s="6" t="str">
        <f t="array" ref="I950">IFERROR(INDEX(Bookings!$G:$G,MATCH(B950,Bookings!$B:$B,0)),"")</f>
        <v>1</v>
      </c>
      <c r="J950" s="5">
        <f>VLOOKUP(B950,Bookings!B:H,7,FALSE())</f>
        <v>4.08</v>
      </c>
      <c r="K950" s="5" t="str">
        <f t="shared" si="1"/>
        <v>Medium</v>
      </c>
      <c r="L950" s="11">
        <f t="array" ref="L950">IFERROR(INDEX(Bookings!$K:$K,MATCH(A950,Bookings!$A:$A,0)),"")</f>
        <v>1543</v>
      </c>
      <c r="M950" s="5" t="str">
        <f t="shared" si="2"/>
        <v>Low</v>
      </c>
      <c r="N950" s="5">
        <f t="array" ref="N950">IFERROR(INDEX(Bookings!$I:$I,MATCH(A950,Bookings!$A:$A,0)),"")</f>
        <v>44</v>
      </c>
      <c r="O950" s="5" t="str">
        <f t="shared" si="3"/>
        <v>Advance</v>
      </c>
      <c r="P950" s="5" t="str">
        <f t="shared" si="4"/>
        <v>Hyderabad -&gt; Chennai</v>
      </c>
    </row>
    <row r="951" ht="15.75" customHeight="1">
      <c r="A951" s="5" t="s">
        <v>2685</v>
      </c>
      <c r="B951" s="5" t="s">
        <v>2081</v>
      </c>
      <c r="C951" s="5" t="s">
        <v>671</v>
      </c>
      <c r="D951" s="5" t="s">
        <v>43</v>
      </c>
      <c r="E951" s="6" t="str">
        <f t="array" ref="E951">IFERROR(INDEX(Airlines!$B:$B,MATCH(D951,Airlines!$A:$A,0)),"")</f>
        <v>Indigo</v>
      </c>
      <c r="F951" s="6" t="str">
        <f>VLOOKUP(A951,Bookings!$A:$F,6,FALSE())</f>
        <v>Economy</v>
      </c>
      <c r="G951" s="6" t="str">
        <f t="array" ref="G951">IFERROR(INDEX(Flights!$E:$E,MATCH(B951,Flights!$A:$A,0)),"")</f>
        <v>Hyderabad</v>
      </c>
      <c r="H951" s="6" t="str">
        <f>VLOOKUP(B951,Flights!A:H,6,FALSE())</f>
        <v>Chennai</v>
      </c>
      <c r="I951" s="6" t="str">
        <f t="array" ref="I951">IFERROR(INDEX(Bookings!$G:$G,MATCH(B951,Bookings!$B:$B,0)),"")</f>
        <v>1</v>
      </c>
      <c r="J951" s="5">
        <f>VLOOKUP(B951,Bookings!B:H,7,FALSE())</f>
        <v>6.83</v>
      </c>
      <c r="K951" s="5" t="str">
        <f t="shared" si="1"/>
        <v>Medium</v>
      </c>
      <c r="L951" s="11">
        <f t="array" ref="L951">IFERROR(INDEX(Bookings!$K:$K,MATCH(A951,Bookings!$A:$A,0)),"")</f>
        <v>3772</v>
      </c>
      <c r="M951" s="5" t="str">
        <f t="shared" si="2"/>
        <v>Low</v>
      </c>
      <c r="N951" s="5">
        <f t="array" ref="N951">IFERROR(INDEX(Bookings!$I:$I,MATCH(A951,Bookings!$A:$A,0)),"")</f>
        <v>16</v>
      </c>
      <c r="O951" s="5" t="str">
        <f t="shared" si="3"/>
        <v>Moderate</v>
      </c>
      <c r="P951" s="5" t="str">
        <f t="shared" si="4"/>
        <v>Hyderabad -&gt; Chennai</v>
      </c>
    </row>
    <row r="952" ht="15.75" customHeight="1">
      <c r="A952" s="5" t="s">
        <v>2686</v>
      </c>
      <c r="B952" s="5" t="s">
        <v>2165</v>
      </c>
      <c r="C952" s="5" t="s">
        <v>671</v>
      </c>
      <c r="D952" s="5" t="s">
        <v>43</v>
      </c>
      <c r="E952" s="6" t="str">
        <f t="array" ref="E952">IFERROR(INDEX(Airlines!$B:$B,MATCH(D952,Airlines!$A:$A,0)),"")</f>
        <v>Indigo</v>
      </c>
      <c r="F952" s="6" t="str">
        <f>VLOOKUP(A952,Bookings!$A:$F,6,FALSE())</f>
        <v>Economy</v>
      </c>
      <c r="G952" s="6" t="str">
        <f t="array" ref="G952">IFERROR(INDEX(Flights!$E:$E,MATCH(B952,Flights!$A:$A,0)),"")</f>
        <v>Hyderabad</v>
      </c>
      <c r="H952" s="6" t="str">
        <f>VLOOKUP(B952,Flights!A:H,6,FALSE())</f>
        <v>Chennai</v>
      </c>
      <c r="I952" s="6" t="str">
        <f t="array" ref="I952">IFERROR(INDEX(Bookings!$G:$G,MATCH(B952,Bookings!$B:$B,0)),"")</f>
        <v>1</v>
      </c>
      <c r="J952" s="5">
        <f>VLOOKUP(B952,Bookings!B:H,7,FALSE())</f>
        <v>7.5</v>
      </c>
      <c r="K952" s="5" t="str">
        <f t="shared" si="1"/>
        <v>Medium</v>
      </c>
      <c r="L952" s="11">
        <f t="array" ref="L952">IFERROR(INDEX(Bookings!$K:$K,MATCH(A952,Bookings!$A:$A,0)),"")</f>
        <v>1543</v>
      </c>
      <c r="M952" s="5" t="str">
        <f t="shared" si="2"/>
        <v>Low</v>
      </c>
      <c r="N952" s="5">
        <f t="array" ref="N952">IFERROR(INDEX(Bookings!$I:$I,MATCH(A952,Bookings!$A:$A,0)),"")</f>
        <v>40</v>
      </c>
      <c r="O952" s="5" t="str">
        <f t="shared" si="3"/>
        <v>Advance</v>
      </c>
      <c r="P952" s="5" t="str">
        <f t="shared" si="4"/>
        <v>Hyderabad -&gt; Chennai</v>
      </c>
    </row>
    <row r="953" ht="15.75" customHeight="1">
      <c r="A953" s="5" t="s">
        <v>2687</v>
      </c>
      <c r="B953" s="5" t="s">
        <v>2074</v>
      </c>
      <c r="C953" s="5" t="s">
        <v>671</v>
      </c>
      <c r="D953" s="5" t="s">
        <v>43</v>
      </c>
      <c r="E953" s="6" t="str">
        <f t="array" ref="E953">IFERROR(INDEX(Airlines!$B:$B,MATCH(D953,Airlines!$A:$A,0)),"")</f>
        <v>Indigo</v>
      </c>
      <c r="F953" s="6" t="str">
        <f>VLOOKUP(A953,Bookings!$A:$F,6,FALSE())</f>
        <v>Economy</v>
      </c>
      <c r="G953" s="6" t="str">
        <f t="array" ref="G953">IFERROR(INDEX(Flights!$E:$E,MATCH(B953,Flights!$A:$A,0)),"")</f>
        <v>Hyderabad</v>
      </c>
      <c r="H953" s="6" t="str">
        <f>VLOOKUP(B953,Flights!A:H,6,FALSE())</f>
        <v>Chennai</v>
      </c>
      <c r="I953" s="6" t="str">
        <f t="array" ref="I953">IFERROR(INDEX(Bookings!$G:$G,MATCH(B953,Bookings!$B:$B,0)),"")</f>
        <v>1</v>
      </c>
      <c r="J953" s="5">
        <f>VLOOKUP(B953,Bookings!B:H,7,FALSE())</f>
        <v>6.5</v>
      </c>
      <c r="K953" s="5" t="str">
        <f t="shared" si="1"/>
        <v>Medium</v>
      </c>
      <c r="L953" s="11">
        <f t="array" ref="L953">IFERROR(INDEX(Bookings!$K:$K,MATCH(A953,Bookings!$A:$A,0)),"")</f>
        <v>3451</v>
      </c>
      <c r="M953" s="5" t="str">
        <f t="shared" si="2"/>
        <v>Low</v>
      </c>
      <c r="N953" s="5">
        <f t="array" ref="N953">IFERROR(INDEX(Bookings!$I:$I,MATCH(A953,Bookings!$A:$A,0)),"")</f>
        <v>44</v>
      </c>
      <c r="O953" s="5" t="str">
        <f t="shared" si="3"/>
        <v>Advance</v>
      </c>
      <c r="P953" s="5" t="str">
        <f t="shared" si="4"/>
        <v>Hyderabad -&gt; Chennai</v>
      </c>
    </row>
    <row r="954" ht="15.75" customHeight="1">
      <c r="A954" s="5" t="s">
        <v>2688</v>
      </c>
      <c r="B954" s="5" t="s">
        <v>2127</v>
      </c>
      <c r="C954" s="5" t="s">
        <v>671</v>
      </c>
      <c r="D954" s="5" t="s">
        <v>45</v>
      </c>
      <c r="E954" s="6" t="str">
        <f t="array" ref="E954">IFERROR(INDEX(Airlines!$B:$B,MATCH(D954,Airlines!$A:$A,0)),"")</f>
        <v>Air_India</v>
      </c>
      <c r="F954" s="6" t="str">
        <f>VLOOKUP(A954,Bookings!$A:$F,6,FALSE())</f>
        <v>Economy</v>
      </c>
      <c r="G954" s="6" t="str">
        <f t="array" ref="G954">IFERROR(INDEX(Flights!$E:$E,MATCH(B954,Flights!$A:$A,0)),"")</f>
        <v>Hyderabad</v>
      </c>
      <c r="H954" s="6" t="str">
        <f>VLOOKUP(B954,Flights!A:H,6,FALSE())</f>
        <v>Chennai</v>
      </c>
      <c r="I954" s="6" t="str">
        <f t="array" ref="I954">IFERROR(INDEX(Bookings!$G:$G,MATCH(B954,Bookings!$B:$B,0)),"")</f>
        <v>2+</v>
      </c>
      <c r="J954" s="5">
        <f>VLOOKUP(B954,Bookings!B:H,7,FALSE())</f>
        <v>14.83</v>
      </c>
      <c r="K954" s="5" t="str">
        <f t="shared" si="1"/>
        <v>Long</v>
      </c>
      <c r="L954" s="11">
        <f t="array" ref="L954">IFERROR(INDEX(Bookings!$K:$K,MATCH(A954,Bookings!$A:$A,0)),"")</f>
        <v>20623</v>
      </c>
      <c r="M954" s="5" t="str">
        <f t="shared" si="2"/>
        <v>High</v>
      </c>
      <c r="N954" s="5">
        <f t="array" ref="N954">IFERROR(INDEX(Bookings!$I:$I,MATCH(A954,Bookings!$A:$A,0)),"")</f>
        <v>9</v>
      </c>
      <c r="O954" s="5" t="str">
        <f t="shared" si="3"/>
        <v>Short Notice</v>
      </c>
      <c r="P954" s="5" t="str">
        <f t="shared" si="4"/>
        <v>Hyderabad -&gt; Chennai</v>
      </c>
    </row>
    <row r="955" ht="15.75" customHeight="1">
      <c r="A955" s="5" t="s">
        <v>2689</v>
      </c>
      <c r="B955" s="5" t="s">
        <v>2130</v>
      </c>
      <c r="C955" s="5" t="s">
        <v>671</v>
      </c>
      <c r="D955" s="5" t="s">
        <v>43</v>
      </c>
      <c r="E955" s="6" t="str">
        <f t="array" ref="E955">IFERROR(INDEX(Airlines!$B:$B,MATCH(D955,Airlines!$A:$A,0)),"")</f>
        <v>Indigo</v>
      </c>
      <c r="F955" s="6" t="str">
        <f>VLOOKUP(A955,Bookings!$A:$F,6,FALSE())</f>
        <v>Economy</v>
      </c>
      <c r="G955" s="6" t="str">
        <f t="array" ref="G955">IFERROR(INDEX(Flights!$E:$E,MATCH(B955,Flights!$A:$A,0)),"")</f>
        <v>Hyderabad</v>
      </c>
      <c r="H955" s="6" t="str">
        <f>VLOOKUP(B955,Flights!A:H,6,FALSE())</f>
        <v>Chennai</v>
      </c>
      <c r="I955" s="6" t="str">
        <f t="array" ref="I955">IFERROR(INDEX(Bookings!$G:$G,MATCH(B955,Bookings!$B:$B,0)),"")</f>
        <v>1</v>
      </c>
      <c r="J955" s="5">
        <f>VLOOKUP(B955,Bookings!B:H,7,FALSE())</f>
        <v>8.33</v>
      </c>
      <c r="K955" s="5" t="str">
        <f t="shared" si="1"/>
        <v>Medium</v>
      </c>
      <c r="L955" s="11">
        <f t="array" ref="L955">IFERROR(INDEX(Bookings!$K:$K,MATCH(A955,Bookings!$A:$A,0)),"")</f>
        <v>1543</v>
      </c>
      <c r="M955" s="5" t="str">
        <f t="shared" si="2"/>
        <v>Low</v>
      </c>
      <c r="N955" s="5">
        <f t="array" ref="N955">IFERROR(INDEX(Bookings!$I:$I,MATCH(A955,Bookings!$A:$A,0)),"")</f>
        <v>43</v>
      </c>
      <c r="O955" s="5" t="str">
        <f t="shared" si="3"/>
        <v>Advance</v>
      </c>
      <c r="P955" s="5" t="str">
        <f t="shared" si="4"/>
        <v>Hyderabad -&gt; Chennai</v>
      </c>
    </row>
    <row r="956" ht="15.75" customHeight="1">
      <c r="A956" s="5" t="s">
        <v>2690</v>
      </c>
      <c r="B956" s="5" t="s">
        <v>2076</v>
      </c>
      <c r="C956" s="5" t="s">
        <v>671</v>
      </c>
      <c r="D956" s="5" t="s">
        <v>45</v>
      </c>
      <c r="E956" s="6" t="str">
        <f t="array" ref="E956">IFERROR(INDEX(Airlines!$B:$B,MATCH(D956,Airlines!$A:$A,0)),"")</f>
        <v>Air_India</v>
      </c>
      <c r="F956" s="6" t="str">
        <f>VLOOKUP(A956,Bookings!$A:$F,6,FALSE())</f>
        <v>Economy</v>
      </c>
      <c r="G956" s="6" t="str">
        <f t="array" ref="G956">IFERROR(INDEX(Flights!$E:$E,MATCH(B956,Flights!$A:$A,0)),"")</f>
        <v>Hyderabad</v>
      </c>
      <c r="H956" s="6" t="str">
        <f>VLOOKUP(B956,Flights!A:H,6,FALSE())</f>
        <v>Chennai</v>
      </c>
      <c r="I956" s="6" t="str">
        <f t="array" ref="I956">IFERROR(INDEX(Bookings!$G:$G,MATCH(B956,Bookings!$B:$B,0)),"")</f>
        <v>2+</v>
      </c>
      <c r="J956" s="5">
        <f>VLOOKUP(B956,Bookings!B:H,7,FALSE())</f>
        <v>26.25</v>
      </c>
      <c r="K956" s="5" t="str">
        <f t="shared" si="1"/>
        <v>Long</v>
      </c>
      <c r="L956" s="11">
        <f t="array" ref="L956">IFERROR(INDEX(Bookings!$K:$K,MATCH(A956,Bookings!$A:$A,0)),"")</f>
        <v>7336</v>
      </c>
      <c r="M956" s="5" t="str">
        <f t="shared" si="2"/>
        <v>Medium</v>
      </c>
      <c r="N956" s="5">
        <f t="array" ref="N956">IFERROR(INDEX(Bookings!$I:$I,MATCH(A956,Bookings!$A:$A,0)),"")</f>
        <v>12</v>
      </c>
      <c r="O956" s="5" t="str">
        <f t="shared" si="3"/>
        <v>Short Notice</v>
      </c>
      <c r="P956" s="5" t="str">
        <f t="shared" si="4"/>
        <v>Hyderabad -&gt; Chennai</v>
      </c>
    </row>
    <row r="957" ht="15.75" customHeight="1">
      <c r="A957" s="5" t="s">
        <v>2691</v>
      </c>
      <c r="B957" s="5" t="s">
        <v>2128</v>
      </c>
      <c r="C957" s="5" t="s">
        <v>671</v>
      </c>
      <c r="D957" s="5" t="s">
        <v>45</v>
      </c>
      <c r="E957" s="6" t="str">
        <f t="array" ref="E957">IFERROR(INDEX(Airlines!$B:$B,MATCH(D957,Airlines!$A:$A,0)),"")</f>
        <v>Air_India</v>
      </c>
      <c r="F957" s="6" t="str">
        <f>VLOOKUP(A957,Bookings!$A:$F,6,FALSE())</f>
        <v>Economy</v>
      </c>
      <c r="G957" s="6" t="str">
        <f t="array" ref="G957">IFERROR(INDEX(Flights!$E:$E,MATCH(B957,Flights!$A:$A,0)),"")</f>
        <v>Hyderabad</v>
      </c>
      <c r="H957" s="6" t="str">
        <f>VLOOKUP(B957,Flights!A:H,6,FALSE())</f>
        <v>Chennai</v>
      </c>
      <c r="I957" s="6" t="str">
        <f t="array" ref="I957">IFERROR(INDEX(Bookings!$G:$G,MATCH(B957,Bookings!$B:$B,0)),"")</f>
        <v>2+</v>
      </c>
      <c r="J957" s="5">
        <f>VLOOKUP(B957,Bookings!B:H,7,FALSE())</f>
        <v>23.58</v>
      </c>
      <c r="K957" s="5" t="str">
        <f t="shared" si="1"/>
        <v>Long</v>
      </c>
      <c r="L957" s="11">
        <f t="array" ref="L957">IFERROR(INDEX(Bookings!$K:$K,MATCH(A957,Bookings!$A:$A,0)),"")</f>
        <v>13339</v>
      </c>
      <c r="M957" s="5" t="str">
        <f t="shared" si="2"/>
        <v>Medium</v>
      </c>
      <c r="N957" s="5">
        <f t="array" ref="N957">IFERROR(INDEX(Bookings!$I:$I,MATCH(A957,Bookings!$A:$A,0)),"")</f>
        <v>12</v>
      </c>
      <c r="O957" s="5" t="str">
        <f t="shared" si="3"/>
        <v>Short Notice</v>
      </c>
      <c r="P957" s="5" t="str">
        <f t="shared" si="4"/>
        <v>Hyderabad -&gt; Chennai</v>
      </c>
    </row>
    <row r="958" ht="15.75" customHeight="1">
      <c r="A958" s="5" t="s">
        <v>2692</v>
      </c>
      <c r="B958" s="5" t="s">
        <v>2157</v>
      </c>
      <c r="C958" s="5" t="s">
        <v>671</v>
      </c>
      <c r="D958" s="5" t="s">
        <v>20</v>
      </c>
      <c r="E958" s="6" t="str">
        <f t="array" ref="E958">IFERROR(INDEX(Airlines!$B:$B,MATCH(D958,Airlines!$A:$A,0)),"")</f>
        <v>Vistara</v>
      </c>
      <c r="F958" s="6" t="str">
        <f>VLOOKUP(A958,Bookings!$A:$F,6,FALSE())</f>
        <v>Economy</v>
      </c>
      <c r="G958" s="6" t="str">
        <f t="array" ref="G958">IFERROR(INDEX(Flights!$E:$E,MATCH(B958,Flights!$A:$A,0)),"")</f>
        <v>Hyderabad</v>
      </c>
      <c r="H958" s="6" t="str">
        <f>VLOOKUP(B958,Flights!A:H,6,FALSE())</f>
        <v>Chennai</v>
      </c>
      <c r="I958" s="6" t="str">
        <f t="array" ref="I958">IFERROR(INDEX(Bookings!$G:$G,MATCH(B958,Bookings!$B:$B,0)),"")</f>
        <v>1</v>
      </c>
      <c r="J958" s="5">
        <f>VLOOKUP(B958,Bookings!B:H,7,FALSE())</f>
        <v>16.25</v>
      </c>
      <c r="K958" s="5" t="str">
        <f t="shared" si="1"/>
        <v>Long</v>
      </c>
      <c r="L958" s="11">
        <f t="array" ref="L958">IFERROR(INDEX(Bookings!$K:$K,MATCH(A958,Bookings!$A:$A,0)),"")</f>
        <v>7617</v>
      </c>
      <c r="M958" s="5" t="str">
        <f t="shared" si="2"/>
        <v>Medium</v>
      </c>
      <c r="N958" s="5">
        <f t="array" ref="N958">IFERROR(INDEX(Bookings!$I:$I,MATCH(A958,Bookings!$A:$A,0)),"")</f>
        <v>17</v>
      </c>
      <c r="O958" s="5" t="str">
        <f t="shared" si="3"/>
        <v>Moderate</v>
      </c>
      <c r="P958" s="5" t="str">
        <f t="shared" si="4"/>
        <v>Hyderabad -&gt; Chennai</v>
      </c>
    </row>
    <row r="959" ht="15.75" customHeight="1">
      <c r="A959" s="5" t="s">
        <v>2693</v>
      </c>
      <c r="B959" s="5" t="s">
        <v>2167</v>
      </c>
      <c r="C959" s="5" t="s">
        <v>671</v>
      </c>
      <c r="D959" s="5" t="s">
        <v>43</v>
      </c>
      <c r="E959" s="6" t="str">
        <f t="array" ref="E959">IFERROR(INDEX(Airlines!$B:$B,MATCH(D959,Airlines!$A:$A,0)),"")</f>
        <v>Indigo</v>
      </c>
      <c r="F959" s="6" t="str">
        <f>VLOOKUP(A959,Bookings!$A:$F,6,FALSE())</f>
        <v>Economy</v>
      </c>
      <c r="G959" s="6" t="str">
        <f t="array" ref="G959">IFERROR(INDEX(Flights!$E:$E,MATCH(B959,Flights!$A:$A,0)),"")</f>
        <v>Hyderabad</v>
      </c>
      <c r="H959" s="6" t="str">
        <f>VLOOKUP(B959,Flights!A:H,6,FALSE())</f>
        <v>Chennai</v>
      </c>
      <c r="I959" s="6" t="str">
        <f t="array" ref="I959">IFERROR(INDEX(Bookings!$G:$G,MATCH(B959,Bookings!$B:$B,0)),"")</f>
        <v>0</v>
      </c>
      <c r="J959" s="5">
        <f>VLOOKUP(B959,Bookings!B:H,7,FALSE())</f>
        <v>1.25</v>
      </c>
      <c r="K959" s="5" t="str">
        <f t="shared" si="1"/>
        <v>Short</v>
      </c>
      <c r="L959" s="11">
        <f t="array" ref="L959">IFERROR(INDEX(Bookings!$K:$K,MATCH(A959,Bookings!$A:$A,0)),"")</f>
        <v>1788</v>
      </c>
      <c r="M959" s="5" t="str">
        <f t="shared" si="2"/>
        <v>Low</v>
      </c>
      <c r="N959" s="5">
        <f t="array" ref="N959">IFERROR(INDEX(Bookings!$I:$I,MATCH(A959,Bookings!$A:$A,0)),"")</f>
        <v>42</v>
      </c>
      <c r="O959" s="5" t="str">
        <f t="shared" si="3"/>
        <v>Advance</v>
      </c>
      <c r="P959" s="5" t="str">
        <f t="shared" si="4"/>
        <v>Hyderabad -&gt; Chennai</v>
      </c>
    </row>
    <row r="960" ht="15.75" customHeight="1">
      <c r="A960" s="5" t="s">
        <v>2694</v>
      </c>
      <c r="B960" s="5" t="s">
        <v>2111</v>
      </c>
      <c r="C960" s="5" t="s">
        <v>671</v>
      </c>
      <c r="D960" s="5" t="s">
        <v>43</v>
      </c>
      <c r="E960" s="6" t="str">
        <f t="array" ref="E960">IFERROR(INDEX(Airlines!$B:$B,MATCH(D960,Airlines!$A:$A,0)),"")</f>
        <v>Indigo</v>
      </c>
      <c r="F960" s="6" t="str">
        <f>VLOOKUP(A960,Bookings!$A:$F,6,FALSE())</f>
        <v>Economy</v>
      </c>
      <c r="G960" s="6" t="str">
        <f t="array" ref="G960">IFERROR(INDEX(Flights!$E:$E,MATCH(B960,Flights!$A:$A,0)),"")</f>
        <v>Hyderabad</v>
      </c>
      <c r="H960" s="6" t="str">
        <f>VLOOKUP(B960,Flights!A:H,6,FALSE())</f>
        <v>Chennai</v>
      </c>
      <c r="I960" s="6" t="str">
        <f t="array" ref="I960">IFERROR(INDEX(Bookings!$G:$G,MATCH(B960,Bookings!$B:$B,0)),"")</f>
        <v>0</v>
      </c>
      <c r="J960" s="5">
        <f>VLOOKUP(B960,Bookings!B:H,7,FALSE())</f>
        <v>1.25</v>
      </c>
      <c r="K960" s="5" t="str">
        <f t="shared" si="1"/>
        <v>Short</v>
      </c>
      <c r="L960" s="11">
        <f t="array" ref="L960">IFERROR(INDEX(Bookings!$K:$K,MATCH(A960,Bookings!$A:$A,0)),"")</f>
        <v>1543</v>
      </c>
      <c r="M960" s="5" t="str">
        <f t="shared" si="2"/>
        <v>Low</v>
      </c>
      <c r="N960" s="5">
        <f t="array" ref="N960">IFERROR(INDEX(Bookings!$I:$I,MATCH(A960,Bookings!$A:$A,0)),"")</f>
        <v>46</v>
      </c>
      <c r="O960" s="5" t="str">
        <f t="shared" si="3"/>
        <v>Advance</v>
      </c>
      <c r="P960" s="5" t="str">
        <f t="shared" si="4"/>
        <v>Hyderabad -&gt; Chennai</v>
      </c>
    </row>
    <row r="961" ht="15.75" customHeight="1">
      <c r="A961" s="5" t="s">
        <v>2695</v>
      </c>
      <c r="B961" s="5" t="s">
        <v>2089</v>
      </c>
      <c r="C961" s="5" t="s">
        <v>671</v>
      </c>
      <c r="D961" s="5" t="s">
        <v>43</v>
      </c>
      <c r="E961" s="6" t="str">
        <f t="array" ref="E961">IFERROR(INDEX(Airlines!$B:$B,MATCH(D961,Airlines!$A:$A,0)),"")</f>
        <v>Indigo</v>
      </c>
      <c r="F961" s="6" t="str">
        <f>VLOOKUP(A961,Bookings!$A:$F,6,FALSE())</f>
        <v>Economy</v>
      </c>
      <c r="G961" s="6" t="str">
        <f t="array" ref="G961">IFERROR(INDEX(Flights!$E:$E,MATCH(B961,Flights!$A:$A,0)),"")</f>
        <v>Hyderabad</v>
      </c>
      <c r="H961" s="6" t="str">
        <f>VLOOKUP(B961,Flights!A:H,6,FALSE())</f>
        <v>Chennai</v>
      </c>
      <c r="I961" s="6" t="str">
        <f t="array" ref="I961">IFERROR(INDEX(Bookings!$G:$G,MATCH(B961,Bookings!$B:$B,0)),"")</f>
        <v>1</v>
      </c>
      <c r="J961" s="5">
        <f>VLOOKUP(B961,Bookings!B:H,7,FALSE())</f>
        <v>6.67</v>
      </c>
      <c r="K961" s="5" t="str">
        <f t="shared" si="1"/>
        <v>Medium</v>
      </c>
      <c r="L961" s="11">
        <f t="array" ref="L961">IFERROR(INDEX(Bookings!$K:$K,MATCH(A961,Bookings!$A:$A,0)),"")</f>
        <v>1543</v>
      </c>
      <c r="M961" s="5" t="str">
        <f t="shared" si="2"/>
        <v>Low</v>
      </c>
      <c r="N961" s="5">
        <f t="array" ref="N961">IFERROR(INDEX(Bookings!$I:$I,MATCH(A961,Bookings!$A:$A,0)),"")</f>
        <v>46</v>
      </c>
      <c r="O961" s="5" t="str">
        <f t="shared" si="3"/>
        <v>Advance</v>
      </c>
      <c r="P961" s="5" t="str">
        <f t="shared" si="4"/>
        <v>Hyderabad -&gt; Chennai</v>
      </c>
    </row>
    <row r="962" ht="15.75" customHeight="1">
      <c r="A962" s="5" t="s">
        <v>2697</v>
      </c>
      <c r="B962" s="5" t="s">
        <v>2175</v>
      </c>
      <c r="C962" s="5" t="s">
        <v>671</v>
      </c>
      <c r="D962" s="5" t="s">
        <v>43</v>
      </c>
      <c r="E962" s="6" t="str">
        <f t="array" ref="E962">IFERROR(INDEX(Airlines!$B:$B,MATCH(D962,Airlines!$A:$A,0)),"")</f>
        <v>Indigo</v>
      </c>
      <c r="F962" s="6" t="str">
        <f>VLOOKUP(A962,Bookings!$A:$F,6,FALSE())</f>
        <v>Economy</v>
      </c>
      <c r="G962" s="6" t="str">
        <f t="array" ref="G962">IFERROR(INDEX(Flights!$E:$E,MATCH(B962,Flights!$A:$A,0)),"")</f>
        <v>Hyderabad</v>
      </c>
      <c r="H962" s="6" t="str">
        <f>VLOOKUP(B962,Flights!A:H,6,FALSE())</f>
        <v>Chennai</v>
      </c>
      <c r="I962" s="6" t="str">
        <f t="array" ref="I962">IFERROR(INDEX(Bookings!$G:$G,MATCH(B962,Bookings!$B:$B,0)),"")</f>
        <v>1</v>
      </c>
      <c r="J962" s="5">
        <f>VLOOKUP(B962,Bookings!B:H,7,FALSE())</f>
        <v>7.67</v>
      </c>
      <c r="K962" s="5" t="str">
        <f t="shared" si="1"/>
        <v>Medium</v>
      </c>
      <c r="L962" s="11">
        <f t="array" ref="L962">IFERROR(INDEX(Bookings!$K:$K,MATCH(A962,Bookings!$A:$A,0)),"")</f>
        <v>1543</v>
      </c>
      <c r="M962" s="5" t="str">
        <f t="shared" si="2"/>
        <v>Low</v>
      </c>
      <c r="N962" s="5">
        <f t="array" ref="N962">IFERROR(INDEX(Bookings!$I:$I,MATCH(A962,Bookings!$A:$A,0)),"")</f>
        <v>46</v>
      </c>
      <c r="O962" s="5" t="str">
        <f t="shared" si="3"/>
        <v>Advance</v>
      </c>
      <c r="P962" s="5" t="str">
        <f t="shared" si="4"/>
        <v>Hyderabad -&gt; Chennai</v>
      </c>
    </row>
    <row r="963" ht="15.75" customHeight="1">
      <c r="A963" s="5" t="s">
        <v>2699</v>
      </c>
      <c r="B963" s="5" t="s">
        <v>2091</v>
      </c>
      <c r="C963" s="5" t="s">
        <v>671</v>
      </c>
      <c r="D963" s="5" t="s">
        <v>43</v>
      </c>
      <c r="E963" s="6" t="str">
        <f t="array" ref="E963">IFERROR(INDEX(Airlines!$B:$B,MATCH(D963,Airlines!$A:$A,0)),"")</f>
        <v>Indigo</v>
      </c>
      <c r="F963" s="6" t="str">
        <f>VLOOKUP(A963,Bookings!$A:$F,6,FALSE())</f>
        <v>Economy</v>
      </c>
      <c r="G963" s="6" t="str">
        <f t="array" ref="G963">IFERROR(INDEX(Flights!$E:$E,MATCH(B963,Flights!$A:$A,0)),"")</f>
        <v>Hyderabad</v>
      </c>
      <c r="H963" s="6" t="str">
        <f>VLOOKUP(B963,Flights!A:H,6,FALSE())</f>
        <v>Chennai</v>
      </c>
      <c r="I963" s="6" t="str">
        <f t="array" ref="I963">IFERROR(INDEX(Bookings!$G:$G,MATCH(B963,Bookings!$B:$B,0)),"")</f>
        <v>0</v>
      </c>
      <c r="J963" s="5">
        <f>VLOOKUP(B963,Bookings!B:H,7,FALSE())</f>
        <v>1.25</v>
      </c>
      <c r="K963" s="5" t="str">
        <f t="shared" si="1"/>
        <v>Short</v>
      </c>
      <c r="L963" s="11">
        <f t="array" ref="L963">IFERROR(INDEX(Bookings!$K:$K,MATCH(A963,Bookings!$A:$A,0)),"")</f>
        <v>1788</v>
      </c>
      <c r="M963" s="5" t="str">
        <f t="shared" si="2"/>
        <v>Low</v>
      </c>
      <c r="N963" s="5">
        <f t="array" ref="N963">IFERROR(INDEX(Bookings!$I:$I,MATCH(A963,Bookings!$A:$A,0)),"")</f>
        <v>46</v>
      </c>
      <c r="O963" s="5" t="str">
        <f t="shared" si="3"/>
        <v>Advance</v>
      </c>
      <c r="P963" s="5" t="str">
        <f t="shared" si="4"/>
        <v>Hyderabad -&gt; Chennai</v>
      </c>
    </row>
    <row r="964" ht="15.75" customHeight="1">
      <c r="A964" s="5" t="s">
        <v>2702</v>
      </c>
      <c r="B964" s="5" t="s">
        <v>2154</v>
      </c>
      <c r="C964" s="5" t="s">
        <v>671</v>
      </c>
      <c r="D964" s="5" t="s">
        <v>20</v>
      </c>
      <c r="E964" s="6" t="str">
        <f t="array" ref="E964">IFERROR(INDEX(Airlines!$B:$B,MATCH(D964,Airlines!$A:$A,0)),"")</f>
        <v>Vistara</v>
      </c>
      <c r="F964" s="6" t="str">
        <f>VLOOKUP(A964,Bookings!$A:$F,6,FALSE())</f>
        <v>Business</v>
      </c>
      <c r="G964" s="6" t="str">
        <f t="array" ref="G964">IFERROR(INDEX(Flights!$E:$E,MATCH(B964,Flights!$A:$A,0)),"")</f>
        <v>Hyderabad</v>
      </c>
      <c r="H964" s="6" t="str">
        <f>VLOOKUP(B964,Flights!A:H,6,FALSE())</f>
        <v>Chennai</v>
      </c>
      <c r="I964" s="6" t="str">
        <f t="array" ref="I964">IFERROR(INDEX(Bookings!$G:$G,MATCH(B964,Bookings!$B:$B,0)),"")</f>
        <v>1</v>
      </c>
      <c r="J964" s="5">
        <f>VLOOKUP(B964,Bookings!B:H,7,FALSE())</f>
        <v>13.5</v>
      </c>
      <c r="K964" s="5" t="str">
        <f t="shared" si="1"/>
        <v>Long</v>
      </c>
      <c r="L964" s="11">
        <f t="array" ref="L964">IFERROR(INDEX(Bookings!$K:$K,MATCH(A964,Bookings!$A:$A,0)),"")</f>
        <v>51707</v>
      </c>
      <c r="M964" s="5" t="str">
        <f t="shared" si="2"/>
        <v>High</v>
      </c>
      <c r="N964" s="5">
        <f t="array" ref="N964">IFERROR(INDEX(Bookings!$I:$I,MATCH(A964,Bookings!$A:$A,0)),"")</f>
        <v>48</v>
      </c>
      <c r="O964" s="5" t="str">
        <f t="shared" si="3"/>
        <v>Advance</v>
      </c>
      <c r="P964" s="5" t="str">
        <f t="shared" si="4"/>
        <v>Hyderabad -&gt; Chennai</v>
      </c>
    </row>
    <row r="965" ht="15.75" customHeight="1">
      <c r="A965" s="5" t="s">
        <v>2704</v>
      </c>
      <c r="B965" s="5" t="s">
        <v>2133</v>
      </c>
      <c r="C965" s="5" t="s">
        <v>671</v>
      </c>
      <c r="D965" s="5" t="s">
        <v>20</v>
      </c>
      <c r="E965" s="6" t="str">
        <f t="array" ref="E965">IFERROR(INDEX(Airlines!$B:$B,MATCH(D965,Airlines!$A:$A,0)),"")</f>
        <v>Vistara</v>
      </c>
      <c r="F965" s="6" t="str">
        <f>VLOOKUP(A965,Bookings!$A:$F,6,FALSE())</f>
        <v>Business</v>
      </c>
      <c r="G965" s="6" t="str">
        <f t="array" ref="G965">IFERROR(INDEX(Flights!$E:$E,MATCH(B965,Flights!$A:$A,0)),"")</f>
        <v>Hyderabad</v>
      </c>
      <c r="H965" s="6" t="str">
        <f>VLOOKUP(B965,Flights!A:H,6,FALSE())</f>
        <v>Chennai</v>
      </c>
      <c r="I965" s="6" t="str">
        <f t="array" ref="I965">IFERROR(INDEX(Bookings!$G:$G,MATCH(B965,Bookings!$B:$B,0)),"")</f>
        <v>1</v>
      </c>
      <c r="J965" s="5">
        <f>VLOOKUP(B965,Bookings!B:H,7,FALSE())</f>
        <v>26.92</v>
      </c>
      <c r="K965" s="5" t="str">
        <f t="shared" si="1"/>
        <v>Long</v>
      </c>
      <c r="L965" s="11">
        <f t="array" ref="L965">IFERROR(INDEX(Bookings!$K:$K,MATCH(A965,Bookings!$A:$A,0)),"")</f>
        <v>51707</v>
      </c>
      <c r="M965" s="5" t="str">
        <f t="shared" si="2"/>
        <v>High</v>
      </c>
      <c r="N965" s="5">
        <f t="array" ref="N965">IFERROR(INDEX(Bookings!$I:$I,MATCH(A965,Bookings!$A:$A,0)),"")</f>
        <v>48</v>
      </c>
      <c r="O965" s="5" t="str">
        <f t="shared" si="3"/>
        <v>Advance</v>
      </c>
      <c r="P965" s="5" t="str">
        <f t="shared" si="4"/>
        <v>Hyderabad -&gt; Chennai</v>
      </c>
    </row>
    <row r="966" ht="15.75" customHeight="1">
      <c r="A966" s="5" t="s">
        <v>2706</v>
      </c>
      <c r="B966" s="5" t="s">
        <v>2099</v>
      </c>
      <c r="C966" s="5" t="s">
        <v>671</v>
      </c>
      <c r="D966" s="5" t="s">
        <v>20</v>
      </c>
      <c r="E966" s="6" t="str">
        <f t="array" ref="E966">IFERROR(INDEX(Airlines!$B:$B,MATCH(D966,Airlines!$A:$A,0)),"")</f>
        <v>Vistara</v>
      </c>
      <c r="F966" s="6" t="str">
        <f>VLOOKUP(A966,Bookings!$A:$F,6,FALSE())</f>
        <v>Business</v>
      </c>
      <c r="G966" s="6" t="str">
        <f t="array" ref="G966">IFERROR(INDEX(Flights!$E:$E,MATCH(B966,Flights!$A:$A,0)),"")</f>
        <v>Hyderabad</v>
      </c>
      <c r="H966" s="6" t="str">
        <f>VLOOKUP(B966,Flights!A:H,6,FALSE())</f>
        <v>Chennai</v>
      </c>
      <c r="I966" s="6">
        <f t="array" ref="I966">IFERROR(INDEX(Bookings!$G:$G,MATCH(B966,Bookings!$B:$B,0)),"")</f>
        <v>1</v>
      </c>
      <c r="J966" s="5">
        <f>VLOOKUP(B966,Bookings!B:H,7,FALSE())</f>
        <v>13.25</v>
      </c>
      <c r="K966" s="5" t="str">
        <f t="shared" si="1"/>
        <v>Long</v>
      </c>
      <c r="L966" s="11">
        <f t="array" ref="L966">IFERROR(INDEX(Bookings!$K:$K,MATCH(A966,Bookings!$A:$A,0)),"")</f>
        <v>51707</v>
      </c>
      <c r="M966" s="5" t="str">
        <f t="shared" si="2"/>
        <v>High</v>
      </c>
      <c r="N966" s="5">
        <f t="array" ref="N966">IFERROR(INDEX(Bookings!$I:$I,MATCH(A966,Bookings!$A:$A,0)),"")</f>
        <v>48</v>
      </c>
      <c r="O966" s="5" t="str">
        <f t="shared" si="3"/>
        <v>Advance</v>
      </c>
      <c r="P966" s="5" t="str">
        <f t="shared" si="4"/>
        <v>Hyderabad -&gt; Chennai</v>
      </c>
    </row>
    <row r="967" ht="15.75" customHeight="1">
      <c r="A967" s="5" t="s">
        <v>2708</v>
      </c>
      <c r="B967" s="5" t="s">
        <v>2116</v>
      </c>
      <c r="C967" s="5" t="s">
        <v>671</v>
      </c>
      <c r="D967" s="5" t="s">
        <v>45</v>
      </c>
      <c r="E967" s="6" t="str">
        <f t="array" ref="E967">IFERROR(INDEX(Airlines!$B:$B,MATCH(D967,Airlines!$A:$A,0)),"")</f>
        <v>Air_India</v>
      </c>
      <c r="F967" s="6" t="str">
        <f>VLOOKUP(A967,Bookings!$A:$F,6,FALSE())</f>
        <v>Business</v>
      </c>
      <c r="G967" s="6" t="str">
        <f t="array" ref="G967">IFERROR(INDEX(Flights!$E:$E,MATCH(B967,Flights!$A:$A,0)),"")</f>
        <v>Hyderabad</v>
      </c>
      <c r="H967" s="6" t="str">
        <f>VLOOKUP(B967,Flights!A:H,6,FALSE())</f>
        <v>Chennai</v>
      </c>
      <c r="I967" s="6" t="str">
        <f t="array" ref="I967">IFERROR(INDEX(Bookings!$G:$G,MATCH(B967,Bookings!$B:$B,0)),"")</f>
        <v>1</v>
      </c>
      <c r="J967" s="5">
        <f>VLOOKUP(B967,Bookings!B:H,7,FALSE())</f>
        <v>20.67</v>
      </c>
      <c r="K967" s="5" t="str">
        <f t="shared" si="1"/>
        <v>Long</v>
      </c>
      <c r="L967" s="11">
        <f t="array" ref="L967">IFERROR(INDEX(Bookings!$K:$K,MATCH(A967,Bookings!$A:$A,0)),"")</f>
        <v>51595</v>
      </c>
      <c r="M967" s="5" t="str">
        <f t="shared" si="2"/>
        <v>High</v>
      </c>
      <c r="N967" s="5">
        <f t="array" ref="N967">IFERROR(INDEX(Bookings!$I:$I,MATCH(A967,Bookings!$A:$A,0)),"")</f>
        <v>45</v>
      </c>
      <c r="O967" s="5" t="str">
        <f t="shared" si="3"/>
        <v>Advance</v>
      </c>
      <c r="P967" s="5" t="str">
        <f t="shared" si="4"/>
        <v>Hyderabad -&gt; Chennai</v>
      </c>
    </row>
    <row r="968" ht="15.75" customHeight="1">
      <c r="A968" s="5" t="s">
        <v>2711</v>
      </c>
      <c r="B968" s="5" t="s">
        <v>2148</v>
      </c>
      <c r="C968" s="5" t="s">
        <v>671</v>
      </c>
      <c r="D968" s="5" t="s">
        <v>45</v>
      </c>
      <c r="E968" s="6" t="str">
        <f t="array" ref="E968">IFERROR(INDEX(Airlines!$B:$B,MATCH(D968,Airlines!$A:$A,0)),"")</f>
        <v>Air_India</v>
      </c>
      <c r="F968" s="6" t="str">
        <f>VLOOKUP(A968,Bookings!$A:$F,6,FALSE())</f>
        <v>Economy</v>
      </c>
      <c r="G968" s="6" t="str">
        <f t="array" ref="G968">IFERROR(INDEX(Flights!$E:$E,MATCH(B968,Flights!$A:$A,0)),"")</f>
        <v>Hyderabad</v>
      </c>
      <c r="H968" s="6" t="str">
        <f>VLOOKUP(B968,Flights!A:H,6,FALSE())</f>
        <v>Chennai</v>
      </c>
      <c r="I968" s="6" t="str">
        <f t="array" ref="I968">IFERROR(INDEX(Bookings!$G:$G,MATCH(B968,Bookings!$B:$B,0)),"")</f>
        <v>1</v>
      </c>
      <c r="J968" s="5">
        <f>VLOOKUP(B968,Bookings!B:H,7,FALSE())</f>
        <v>28</v>
      </c>
      <c r="K968" s="5" t="str">
        <f t="shared" si="1"/>
        <v>Long</v>
      </c>
      <c r="L968" s="11">
        <f t="array" ref="L968">IFERROR(INDEX(Bookings!$K:$K,MATCH(A968,Bookings!$A:$A,0)),"")</f>
        <v>4437</v>
      </c>
      <c r="M968" s="5" t="str">
        <f t="shared" si="2"/>
        <v>Low</v>
      </c>
      <c r="N968" s="5">
        <f t="array" ref="N968">IFERROR(INDEX(Bookings!$I:$I,MATCH(A968,Bookings!$A:$A,0)),"")</f>
        <v>47</v>
      </c>
      <c r="O968" s="5" t="str">
        <f t="shared" si="3"/>
        <v>Advance</v>
      </c>
      <c r="P968" s="5" t="str">
        <f t="shared" si="4"/>
        <v>Hyderabad -&gt; Chennai</v>
      </c>
    </row>
    <row r="969" ht="15.75" customHeight="1">
      <c r="A969" s="5" t="s">
        <v>2714</v>
      </c>
      <c r="B969" s="5" t="s">
        <v>2078</v>
      </c>
      <c r="C969" s="5" t="s">
        <v>671</v>
      </c>
      <c r="D969" s="5" t="s">
        <v>45</v>
      </c>
      <c r="E969" s="6" t="str">
        <f t="array" ref="E969">IFERROR(INDEX(Airlines!$B:$B,MATCH(D969,Airlines!$A:$A,0)),"")</f>
        <v>Air_India</v>
      </c>
      <c r="F969" s="6" t="str">
        <f>VLOOKUP(A969,Bookings!$A:$F,6,FALSE())</f>
        <v>Business</v>
      </c>
      <c r="G969" s="6" t="str">
        <f t="array" ref="G969">IFERROR(INDEX(Flights!$E:$E,MATCH(B969,Flights!$A:$A,0)),"")</f>
        <v>Hyderabad</v>
      </c>
      <c r="H969" s="6" t="str">
        <f>VLOOKUP(B969,Flights!A:H,6,FALSE())</f>
        <v>Chennai</v>
      </c>
      <c r="I969" s="6" t="str">
        <f t="array" ref="I969">IFERROR(INDEX(Bookings!$G:$G,MATCH(B969,Bookings!$B:$B,0)),"")</f>
        <v>0</v>
      </c>
      <c r="J969" s="5">
        <f>VLOOKUP(B969,Bookings!B:H,7,FALSE())</f>
        <v>1.25</v>
      </c>
      <c r="K969" s="5" t="str">
        <f t="shared" si="1"/>
        <v>Short</v>
      </c>
      <c r="L969" s="11">
        <f t="array" ref="L969">IFERROR(INDEX(Bookings!$K:$K,MATCH(A969,Bookings!$A:$A,0)),"")</f>
        <v>15250</v>
      </c>
      <c r="M969" s="5" t="str">
        <f t="shared" si="2"/>
        <v>Medium</v>
      </c>
      <c r="N969" s="5">
        <f t="array" ref="N969">IFERROR(INDEX(Bookings!$I:$I,MATCH(A969,Bookings!$A:$A,0)),"")</f>
        <v>48</v>
      </c>
      <c r="O969" s="5" t="str">
        <f t="shared" si="3"/>
        <v>Advance</v>
      </c>
      <c r="P969" s="5" t="str">
        <f t="shared" si="4"/>
        <v>Hyderabad -&gt; Chennai</v>
      </c>
    </row>
    <row r="970" ht="15.75" customHeight="1">
      <c r="A970" s="5" t="s">
        <v>2716</v>
      </c>
      <c r="B970" s="5" t="s">
        <v>2248</v>
      </c>
      <c r="C970" s="5" t="s">
        <v>699</v>
      </c>
      <c r="D970" s="5" t="s">
        <v>43</v>
      </c>
      <c r="E970" s="6" t="str">
        <f t="array" ref="E970">IFERROR(INDEX(Airlines!$B:$B,MATCH(D970,Airlines!$A:$A,0)),"")</f>
        <v>Indigo</v>
      </c>
      <c r="F970" s="6" t="str">
        <f>VLOOKUP(A970,Bookings!$A:$F,6,FALSE())</f>
        <v>Economy</v>
      </c>
      <c r="G970" s="6" t="str">
        <f t="array" ref="G970">IFERROR(INDEX(Flights!$E:$E,MATCH(B970,Flights!$A:$A,0)),"")</f>
        <v>Chennai</v>
      </c>
      <c r="H970" s="6" t="str">
        <f>VLOOKUP(B970,Flights!A:H,6,FALSE())</f>
        <v>Delhi</v>
      </c>
      <c r="I970" s="6" t="str">
        <f t="array" ref="I970">IFERROR(INDEX(Bookings!$G:$G,MATCH(B970,Bookings!$B:$B,0)),"")</f>
        <v>1</v>
      </c>
      <c r="J970" s="5">
        <f>VLOOKUP(B970,Bookings!B:H,7,FALSE())</f>
        <v>5.67</v>
      </c>
      <c r="K970" s="5" t="str">
        <f t="shared" si="1"/>
        <v>Medium</v>
      </c>
      <c r="L970" s="11">
        <f t="array" ref="L970">IFERROR(INDEX(Bookings!$K:$K,MATCH(A970,Bookings!$A:$A,0)),"")</f>
        <v>3860</v>
      </c>
      <c r="M970" s="5" t="str">
        <f t="shared" si="2"/>
        <v>Low</v>
      </c>
      <c r="N970" s="5">
        <f t="array" ref="N970">IFERROR(INDEX(Bookings!$I:$I,MATCH(A970,Bookings!$A:$A,0)),"")</f>
        <v>39</v>
      </c>
      <c r="O970" s="5" t="str">
        <f t="shared" si="3"/>
        <v>Advance</v>
      </c>
      <c r="P970" s="5" t="str">
        <f t="shared" si="4"/>
        <v>Chennai -&gt; Delhi</v>
      </c>
    </row>
    <row r="971" ht="15.75" customHeight="1">
      <c r="A971" s="5" t="s">
        <v>2718</v>
      </c>
      <c r="B971" s="5" t="s">
        <v>2254</v>
      </c>
      <c r="C971" s="5" t="s">
        <v>699</v>
      </c>
      <c r="D971" s="5" t="s">
        <v>72</v>
      </c>
      <c r="E971" s="6" t="str">
        <f t="array" ref="E971">IFERROR(INDEX(Airlines!$B:$B,MATCH(D971,Airlines!$A:$A,0)),"")</f>
        <v>Spicejet</v>
      </c>
      <c r="F971" s="6" t="str">
        <f>VLOOKUP(A971,Bookings!$A:$F,6,FALSE())</f>
        <v>Economy</v>
      </c>
      <c r="G971" s="6" t="str">
        <f t="array" ref="G971">IFERROR(INDEX(Flights!$E:$E,MATCH(B971,Flights!$A:$A,0)),"")</f>
        <v>Chennai</v>
      </c>
      <c r="H971" s="6" t="str">
        <f>VLOOKUP(B971,Flights!A:H,6,FALSE())</f>
        <v>Delhi</v>
      </c>
      <c r="I971" s="6" t="str">
        <f t="array" ref="I971">IFERROR(INDEX(Bookings!$G:$G,MATCH(B971,Bookings!$B:$B,0)),"")</f>
        <v>1</v>
      </c>
      <c r="J971" s="5">
        <f>VLOOKUP(B971,Bookings!B:H,7,FALSE())</f>
        <v>7</v>
      </c>
      <c r="K971" s="5" t="str">
        <f t="shared" si="1"/>
        <v>Medium</v>
      </c>
      <c r="L971" s="11">
        <f t="array" ref="L971">IFERROR(INDEX(Bookings!$K:$K,MATCH(A971,Bookings!$A:$A,0)),"")</f>
        <v>18729</v>
      </c>
      <c r="M971" s="5" t="str">
        <f t="shared" si="2"/>
        <v>High</v>
      </c>
      <c r="N971" s="5" t="str">
        <f t="array" ref="N971">IFERROR(INDEX(Bookings!$I:$I,MATCH(A971,Bookings!$A:$A,0)),"")</f>
        <v/>
      </c>
      <c r="O971" s="5" t="str">
        <f t="shared" si="3"/>
        <v>Last Minute</v>
      </c>
      <c r="P971" s="5" t="str">
        <f t="shared" si="4"/>
        <v>Chennai -&gt; Delhi</v>
      </c>
    </row>
    <row r="972" ht="15.75" customHeight="1">
      <c r="A972" s="5" t="s">
        <v>2720</v>
      </c>
      <c r="B972" s="5" t="s">
        <v>2294</v>
      </c>
      <c r="C972" s="5" t="s">
        <v>699</v>
      </c>
      <c r="D972" s="5" t="s">
        <v>72</v>
      </c>
      <c r="E972" s="6" t="str">
        <f t="array" ref="E972">IFERROR(INDEX(Airlines!$B:$B,MATCH(D972,Airlines!$A:$A,0)),"")</f>
        <v>Spicejet</v>
      </c>
      <c r="F972" s="6" t="str">
        <f>VLOOKUP(A972,Bookings!$A:$F,6,FALSE())</f>
        <v>Economy</v>
      </c>
      <c r="G972" s="6" t="str">
        <f t="array" ref="G972">IFERROR(INDEX(Flights!$E:$E,MATCH(B972,Flights!$A:$A,0)),"")</f>
        <v>Chennai</v>
      </c>
      <c r="H972" s="6" t="str">
        <f>VLOOKUP(B972,Flights!A:H,6,FALSE())</f>
        <v>Delhi</v>
      </c>
      <c r="I972" s="6" t="str">
        <f t="array" ref="I972">IFERROR(INDEX(Bookings!$G:$G,MATCH(B972,Bookings!$B:$B,0)),"")</f>
        <v>1</v>
      </c>
      <c r="J972" s="5">
        <f>VLOOKUP(B972,Bookings!B:H,7,FALSE())</f>
        <v>6.25</v>
      </c>
      <c r="K972" s="5" t="str">
        <f t="shared" si="1"/>
        <v>Medium</v>
      </c>
      <c r="L972" s="11">
        <f t="array" ref="L972">IFERROR(INDEX(Bookings!$K:$K,MATCH(A972,Bookings!$A:$A,0)),"")</f>
        <v>4048</v>
      </c>
      <c r="M972" s="5" t="str">
        <f t="shared" si="2"/>
        <v>Low</v>
      </c>
      <c r="N972" s="5">
        <f t="array" ref="N972">IFERROR(INDEX(Bookings!$I:$I,MATCH(A972,Bookings!$A:$A,0)),"")</f>
        <v>16</v>
      </c>
      <c r="O972" s="5" t="str">
        <f t="shared" si="3"/>
        <v>Moderate</v>
      </c>
      <c r="P972" s="5" t="str">
        <f t="shared" si="4"/>
        <v>Chennai -&gt; Delhi</v>
      </c>
    </row>
    <row r="973" ht="15.75" customHeight="1">
      <c r="A973" s="5" t="s">
        <v>2723</v>
      </c>
      <c r="B973" s="5" t="s">
        <v>2272</v>
      </c>
      <c r="C973" s="5" t="s">
        <v>699</v>
      </c>
      <c r="D973" s="5" t="s">
        <v>43</v>
      </c>
      <c r="E973" s="6" t="str">
        <f t="array" ref="E973">IFERROR(INDEX(Airlines!$B:$B,MATCH(D973,Airlines!$A:$A,0)),"")</f>
        <v>Indigo</v>
      </c>
      <c r="F973" s="6" t="str">
        <f>VLOOKUP(A973,Bookings!$A:$F,6,FALSE())</f>
        <v>Economy</v>
      </c>
      <c r="G973" s="6" t="str">
        <f t="array" ref="G973">IFERROR(INDEX(Flights!$E:$E,MATCH(B973,Flights!$A:$A,0)),"")</f>
        <v>Chennai</v>
      </c>
      <c r="H973" s="6" t="str">
        <f>VLOOKUP(B973,Flights!A:H,6,FALSE())</f>
        <v>Delhi</v>
      </c>
      <c r="I973" s="6" t="str">
        <f t="array" ref="I973">IFERROR(INDEX(Bookings!$G:$G,MATCH(B973,Bookings!$B:$B,0)),"")</f>
        <v>1</v>
      </c>
      <c r="J973" s="5">
        <f>VLOOKUP(B973,Bookings!B:H,7,FALSE())</f>
        <v>6.17</v>
      </c>
      <c r="K973" s="5" t="str">
        <f t="shared" si="1"/>
        <v>Medium</v>
      </c>
      <c r="L973" s="11">
        <f t="array" ref="L973">IFERROR(INDEX(Bookings!$K:$K,MATCH(A973,Bookings!$A:$A,0)),"")</f>
        <v>22525</v>
      </c>
      <c r="M973" s="5" t="str">
        <f t="shared" si="2"/>
        <v>High</v>
      </c>
      <c r="N973" s="5">
        <f t="array" ref="N973">IFERROR(INDEX(Bookings!$I:$I,MATCH(A973,Bookings!$A:$A,0)),"")</f>
        <v>2</v>
      </c>
      <c r="O973" s="5" t="str">
        <f t="shared" si="3"/>
        <v>Last Minute</v>
      </c>
      <c r="P973" s="5" t="str">
        <f t="shared" si="4"/>
        <v>Chennai -&gt; Delhi</v>
      </c>
    </row>
    <row r="974" ht="15.75" customHeight="1">
      <c r="A974" s="5" t="s">
        <v>2725</v>
      </c>
      <c r="B974" s="5" t="s">
        <v>2264</v>
      </c>
      <c r="C974" s="5" t="s">
        <v>699</v>
      </c>
      <c r="D974" s="5" t="s">
        <v>45</v>
      </c>
      <c r="E974" s="6" t="str">
        <f t="array" ref="E974">IFERROR(INDEX(Airlines!$B:$B,MATCH(D974,Airlines!$A:$A,0)),"")</f>
        <v>Air_India</v>
      </c>
      <c r="F974" s="6" t="str">
        <f>VLOOKUP(A974,Bookings!$A:$F,6,FALSE())</f>
        <v>Economy</v>
      </c>
      <c r="G974" s="6" t="str">
        <f t="array" ref="G974">IFERROR(INDEX(Flights!$E:$E,MATCH(B974,Flights!$A:$A,0)),"")</f>
        <v>Chennai</v>
      </c>
      <c r="H974" s="6" t="str">
        <f>VLOOKUP(B974,Flights!A:H,6,FALSE())</f>
        <v>Delhi</v>
      </c>
      <c r="I974" s="6" t="str">
        <f t="array" ref="I974">IFERROR(INDEX(Bookings!$G:$G,MATCH(B974,Bookings!$B:$B,0)),"")</f>
        <v>1</v>
      </c>
      <c r="J974" s="5">
        <f>VLOOKUP(B974,Bookings!B:H,7,FALSE())</f>
        <v>14.75</v>
      </c>
      <c r="K974" s="5" t="str">
        <f t="shared" si="1"/>
        <v>Long</v>
      </c>
      <c r="L974" s="11">
        <f t="array" ref="L974">IFERROR(INDEX(Bookings!$K:$K,MATCH(A974,Bookings!$A:$A,0)),"")</f>
        <v>4767</v>
      </c>
      <c r="M974" s="5" t="str">
        <f t="shared" si="2"/>
        <v>Medium</v>
      </c>
      <c r="N974" s="5">
        <f t="array" ref="N974">IFERROR(INDEX(Bookings!$I:$I,MATCH(A974,Bookings!$A:$A,0)),"")</f>
        <v>31</v>
      </c>
      <c r="O974" s="5" t="str">
        <f t="shared" si="3"/>
        <v>Advance</v>
      </c>
      <c r="P974" s="5" t="str">
        <f t="shared" si="4"/>
        <v>Chennai -&gt; Delhi</v>
      </c>
    </row>
    <row r="975" ht="15.75" customHeight="1">
      <c r="A975" s="5" t="s">
        <v>2728</v>
      </c>
      <c r="B975" s="5" t="s">
        <v>2287</v>
      </c>
      <c r="C975" s="5" t="s">
        <v>699</v>
      </c>
      <c r="D975" s="5" t="s">
        <v>45</v>
      </c>
      <c r="E975" s="6" t="str">
        <f t="array" ref="E975">IFERROR(INDEX(Airlines!$B:$B,MATCH(D975,Airlines!$A:$A,0)),"")</f>
        <v>Air_India</v>
      </c>
      <c r="F975" s="6" t="str">
        <f>VLOOKUP(A975,Bookings!$A:$F,6,FALSE())</f>
        <v>Business</v>
      </c>
      <c r="G975" s="6" t="str">
        <f t="array" ref="G975">IFERROR(INDEX(Flights!$E:$E,MATCH(B975,Flights!$A:$A,0)),"")</f>
        <v>Chennai</v>
      </c>
      <c r="H975" s="6" t="str">
        <f>VLOOKUP(B975,Flights!A:H,6,FALSE())</f>
        <v>Delhi</v>
      </c>
      <c r="I975" s="6" t="str">
        <f t="array" ref="I975">IFERROR(INDEX(Bookings!$G:$G,MATCH(B975,Bookings!$B:$B,0)),"")</f>
        <v>1</v>
      </c>
      <c r="J975" s="5">
        <f>VLOOKUP(B975,Bookings!B:H,7,FALSE())</f>
        <v>5.92</v>
      </c>
      <c r="K975" s="5" t="str">
        <f t="shared" si="1"/>
        <v>Medium</v>
      </c>
      <c r="L975" s="11">
        <f t="array" ref="L975">IFERROR(INDEX(Bookings!$K:$K,MATCH(A975,Bookings!$A:$A,0)),"")</f>
        <v>45185</v>
      </c>
      <c r="M975" s="5" t="str">
        <f t="shared" si="2"/>
        <v>High</v>
      </c>
      <c r="N975" s="5">
        <f t="array" ref="N975">IFERROR(INDEX(Bookings!$I:$I,MATCH(A975,Bookings!$A:$A,0)),"")</f>
        <v>33</v>
      </c>
      <c r="O975" s="5" t="str">
        <f t="shared" si="3"/>
        <v>Advance</v>
      </c>
      <c r="P975" s="5" t="str">
        <f t="shared" si="4"/>
        <v>Chennai -&gt; Delhi</v>
      </c>
    </row>
    <row r="976" ht="15.75" customHeight="1">
      <c r="A976" s="5" t="s">
        <v>2730</v>
      </c>
      <c r="B976" s="5" t="s">
        <v>2244</v>
      </c>
      <c r="C976" s="5" t="s">
        <v>699</v>
      </c>
      <c r="D976" s="5" t="s">
        <v>45</v>
      </c>
      <c r="E976" s="6" t="str">
        <f t="array" ref="E976">IFERROR(INDEX(Airlines!$B:$B,MATCH(D976,Airlines!$A:$A,0)),"")</f>
        <v>Air_India</v>
      </c>
      <c r="F976" s="6" t="str">
        <f>VLOOKUP(A976,Bookings!$A:$F,6,FALSE())</f>
        <v>Economy</v>
      </c>
      <c r="G976" s="6" t="str">
        <f t="array" ref="G976">IFERROR(INDEX(Flights!$E:$E,MATCH(B976,Flights!$A:$A,0)),"")</f>
        <v>Chennai</v>
      </c>
      <c r="H976" s="6" t="str">
        <f>VLOOKUP(B976,Flights!A:H,6,FALSE())</f>
        <v>Delhi</v>
      </c>
      <c r="I976" s="6" t="str">
        <f t="array" ref="I976">IFERROR(INDEX(Bookings!$G:$G,MATCH(B976,Bookings!$B:$B,0)),"")</f>
        <v>1</v>
      </c>
      <c r="J976" s="5">
        <f>VLOOKUP(B976,Bookings!B:H,7,FALSE())</f>
        <v>11.92</v>
      </c>
      <c r="K976" s="5" t="str">
        <f t="shared" si="1"/>
        <v>Long</v>
      </c>
      <c r="L976" s="11">
        <f t="array" ref="L976">IFERROR(INDEX(Bookings!$K:$K,MATCH(A976,Bookings!$A:$A,0)),"")</f>
        <v>11448</v>
      </c>
      <c r="M976" s="5" t="str">
        <f t="shared" si="2"/>
        <v>Medium</v>
      </c>
      <c r="N976" s="5">
        <f t="array" ref="N976">IFERROR(INDEX(Bookings!$I:$I,MATCH(A976,Bookings!$A:$A,0)),"")</f>
        <v>3</v>
      </c>
      <c r="O976" s="5" t="str">
        <f t="shared" si="3"/>
        <v>Last Minute</v>
      </c>
      <c r="P976" s="5" t="str">
        <f t="shared" si="4"/>
        <v>Chennai -&gt; Delhi</v>
      </c>
    </row>
    <row r="977" ht="15.75" customHeight="1">
      <c r="A977" s="5" t="s">
        <v>2732</v>
      </c>
      <c r="B977" s="5" t="s">
        <v>2215</v>
      </c>
      <c r="C977" s="5" t="s">
        <v>699</v>
      </c>
      <c r="D977" s="5" t="s">
        <v>45</v>
      </c>
      <c r="E977" s="6" t="str">
        <f t="array" ref="E977">IFERROR(INDEX(Airlines!$B:$B,MATCH(D977,Airlines!$A:$A,0)),"")</f>
        <v>Air_India</v>
      </c>
      <c r="F977" s="6" t="str">
        <f>VLOOKUP(A977,Bookings!$A:$F,6,FALSE())</f>
        <v>Business</v>
      </c>
      <c r="G977" s="6" t="str">
        <f t="array" ref="G977">IFERROR(INDEX(Flights!$E:$E,MATCH(B977,Flights!$A:$A,0)),"")</f>
        <v>Chennai</v>
      </c>
      <c r="H977" s="6" t="str">
        <f>VLOOKUP(B977,Flights!A:H,6,FALSE())</f>
        <v>Delhi</v>
      </c>
      <c r="I977" s="6" t="str">
        <f t="array" ref="I977">IFERROR(INDEX(Bookings!$G:$G,MATCH(B977,Bookings!$B:$B,0)),"")</f>
        <v>1</v>
      </c>
      <c r="J977" s="5">
        <f>VLOOKUP(B977,Bookings!B:H,7,FALSE())</f>
        <v>14.92</v>
      </c>
      <c r="K977" s="5" t="str">
        <f t="shared" si="1"/>
        <v>Long</v>
      </c>
      <c r="L977" s="11">
        <f t="array" ref="L977">IFERROR(INDEX(Bookings!$K:$K,MATCH(A977,Bookings!$A:$A,0)),"")</f>
        <v>45185</v>
      </c>
      <c r="M977" s="5" t="str">
        <f t="shared" si="2"/>
        <v>High</v>
      </c>
      <c r="N977" s="5">
        <f t="array" ref="N977">IFERROR(INDEX(Bookings!$I:$I,MATCH(A977,Bookings!$A:$A,0)),"")</f>
        <v>33</v>
      </c>
      <c r="O977" s="5" t="str">
        <f t="shared" si="3"/>
        <v>Advance</v>
      </c>
      <c r="P977" s="5" t="str">
        <f t="shared" si="4"/>
        <v>Chennai -&gt; Delhi</v>
      </c>
    </row>
    <row r="978" ht="15.75" customHeight="1">
      <c r="A978" s="5" t="s">
        <v>2733</v>
      </c>
      <c r="B978" s="5" t="s">
        <v>2236</v>
      </c>
      <c r="C978" s="5" t="s">
        <v>699</v>
      </c>
      <c r="D978" s="5" t="s">
        <v>45</v>
      </c>
      <c r="E978" s="6" t="str">
        <f t="array" ref="E978">IFERROR(INDEX(Airlines!$B:$B,MATCH(D978,Airlines!$A:$A,0)),"")</f>
        <v>Air_India</v>
      </c>
      <c r="F978" s="6" t="str">
        <f>VLOOKUP(A978,Bookings!$A:$F,6,FALSE())</f>
        <v>Business</v>
      </c>
      <c r="G978" s="6" t="str">
        <f t="array" ref="G978">IFERROR(INDEX(Flights!$E:$E,MATCH(B978,Flights!$A:$A,0)),"")</f>
        <v>Chennai</v>
      </c>
      <c r="H978" s="6" t="str">
        <f>VLOOKUP(B978,Flights!A:H,6,FALSE())</f>
        <v>Delhi</v>
      </c>
      <c r="I978" s="6" t="str">
        <f t="array" ref="I978">IFERROR(INDEX(Bookings!$G:$G,MATCH(B978,Bookings!$B:$B,0)),"")</f>
        <v>1</v>
      </c>
      <c r="J978" s="5">
        <f>VLOOKUP(B978,Bookings!B:H,7,FALSE())</f>
        <v>17.42</v>
      </c>
      <c r="K978" s="5" t="str">
        <f t="shared" si="1"/>
        <v>Long</v>
      </c>
      <c r="L978" s="11">
        <f t="array" ref="L978">IFERROR(INDEX(Bookings!$K:$K,MATCH(A978,Bookings!$A:$A,0)),"")</f>
        <v>45185</v>
      </c>
      <c r="M978" s="5" t="str">
        <f t="shared" si="2"/>
        <v>High</v>
      </c>
      <c r="N978" s="5">
        <f t="array" ref="N978">IFERROR(INDEX(Bookings!$I:$I,MATCH(A978,Bookings!$A:$A,0)),"")</f>
        <v>28</v>
      </c>
      <c r="O978" s="5" t="str">
        <f t="shared" si="3"/>
        <v>Moderate</v>
      </c>
      <c r="P978" s="5" t="str">
        <f t="shared" si="4"/>
        <v>Chennai -&gt; Delhi</v>
      </c>
    </row>
    <row r="979" ht="15.75" customHeight="1">
      <c r="A979" s="5" t="s">
        <v>2735</v>
      </c>
      <c r="B979" s="5" t="s">
        <v>2181</v>
      </c>
      <c r="C979" s="5" t="s">
        <v>699</v>
      </c>
      <c r="D979" s="5" t="s">
        <v>45</v>
      </c>
      <c r="E979" s="6" t="str">
        <f t="array" ref="E979">IFERROR(INDEX(Airlines!$B:$B,MATCH(D979,Airlines!$A:$A,0)),"")</f>
        <v>Air_India</v>
      </c>
      <c r="F979" s="6" t="str">
        <f>VLOOKUP(A979,Bookings!$A:$F,6,FALSE())</f>
        <v>Economy</v>
      </c>
      <c r="G979" s="6" t="str">
        <f t="array" ref="G979">IFERROR(INDEX(Flights!$E:$E,MATCH(B979,Flights!$A:$A,0)),"")</f>
        <v>Chennai</v>
      </c>
      <c r="H979" s="6" t="str">
        <f>VLOOKUP(B979,Flights!A:H,6,FALSE())</f>
        <v>Delhi</v>
      </c>
      <c r="I979" s="6" t="str">
        <f t="array" ref="I979">IFERROR(INDEX(Bookings!$G:$G,MATCH(B979,Bookings!$B:$B,0)),"")</f>
        <v>1</v>
      </c>
      <c r="J979" s="5">
        <f>VLOOKUP(B979,Bookings!B:H,7,FALSE())</f>
        <v>28.42</v>
      </c>
      <c r="K979" s="5" t="str">
        <f t="shared" si="1"/>
        <v>Long</v>
      </c>
      <c r="L979" s="11">
        <f t="array" ref="L979">IFERROR(INDEX(Bookings!$K:$K,MATCH(A979,Bookings!$A:$A,0)),"")</f>
        <v>11448</v>
      </c>
      <c r="M979" s="5" t="str">
        <f t="shared" si="2"/>
        <v>Medium</v>
      </c>
      <c r="N979" s="5">
        <f t="array" ref="N979">IFERROR(INDEX(Bookings!$I:$I,MATCH(A979,Bookings!$A:$A,0)),"")</f>
        <v>3</v>
      </c>
      <c r="O979" s="5" t="str">
        <f t="shared" si="3"/>
        <v>Last Minute</v>
      </c>
      <c r="P979" s="5" t="str">
        <f t="shared" si="4"/>
        <v>Chennai -&gt; Delhi</v>
      </c>
    </row>
    <row r="980" ht="15.75" customHeight="1">
      <c r="A980" s="5" t="s">
        <v>2738</v>
      </c>
      <c r="B980" s="5" t="s">
        <v>2203</v>
      </c>
      <c r="C980" s="5" t="s">
        <v>699</v>
      </c>
      <c r="D980" s="5" t="s">
        <v>20</v>
      </c>
      <c r="E980" s="6" t="str">
        <f t="array" ref="E980">IFERROR(INDEX(Airlines!$B:$B,MATCH(D980,Airlines!$A:$A,0)),"")</f>
        <v>Vistara</v>
      </c>
      <c r="F980" s="6" t="str">
        <f>VLOOKUP(A980,Bookings!$A:$F,6,FALSE())</f>
        <v>Business</v>
      </c>
      <c r="G980" s="6" t="str">
        <f t="array" ref="G980">IFERROR(INDEX(Flights!$E:$E,MATCH(B980,Flights!$A:$A,0)),"")</f>
        <v>Chennai</v>
      </c>
      <c r="H980" s="6" t="str">
        <f>VLOOKUP(B980,Flights!A:H,6,FALSE())</f>
        <v>Delhi</v>
      </c>
      <c r="I980" s="6" t="str">
        <f t="array" ref="I980">IFERROR(INDEX(Bookings!$G:$G,MATCH(B980,Bookings!$B:$B,0)),"")</f>
        <v>1</v>
      </c>
      <c r="J980" s="5">
        <f>VLOOKUP(B980,Bookings!B:H,7,FALSE())</f>
        <v>10.92</v>
      </c>
      <c r="K980" s="5" t="str">
        <f t="shared" si="1"/>
        <v>Long</v>
      </c>
      <c r="L980" s="11">
        <f t="array" ref="L980">IFERROR(INDEX(Bookings!$K:$K,MATCH(A980,Bookings!$A:$A,0)),"")</f>
        <v>68112</v>
      </c>
      <c r="M980" s="5" t="str">
        <f t="shared" si="2"/>
        <v>High</v>
      </c>
      <c r="N980" s="5">
        <f t="array" ref="N980">IFERROR(INDEX(Bookings!$I:$I,MATCH(A980,Bookings!$A:$A,0)),"")</f>
        <v>23</v>
      </c>
      <c r="O980" s="5" t="str">
        <f t="shared" si="3"/>
        <v>Moderate</v>
      </c>
      <c r="P980" s="5" t="str">
        <f t="shared" si="4"/>
        <v>Chennai -&gt; Delhi</v>
      </c>
    </row>
    <row r="981" ht="15.75" customHeight="1">
      <c r="A981" s="5" t="s">
        <v>2740</v>
      </c>
      <c r="B981" s="5" t="s">
        <v>2292</v>
      </c>
      <c r="C981" s="5" t="s">
        <v>699</v>
      </c>
      <c r="D981" s="5" t="s">
        <v>45</v>
      </c>
      <c r="E981" s="6" t="str">
        <f t="array" ref="E981">IFERROR(INDEX(Airlines!$B:$B,MATCH(D981,Airlines!$A:$A,0)),"")</f>
        <v>Air_India</v>
      </c>
      <c r="F981" s="6" t="str">
        <f>VLOOKUP(A981,Bookings!$A:$F,6,FALSE())</f>
        <v>Economy</v>
      </c>
      <c r="G981" s="6" t="str">
        <f t="array" ref="G981">IFERROR(INDEX(Flights!$E:$E,MATCH(B981,Flights!$A:$A,0)),"")</f>
        <v>Chennai</v>
      </c>
      <c r="H981" s="6" t="str">
        <f>VLOOKUP(B981,Flights!A:H,6,FALSE())</f>
        <v>Delhi</v>
      </c>
      <c r="I981" s="6" t="str">
        <f t="array" ref="I981">IFERROR(INDEX(Bookings!$G:$G,MATCH(B981,Bookings!$B:$B,0)),"")</f>
        <v>1</v>
      </c>
      <c r="J981" s="5">
        <f>VLOOKUP(B981,Bookings!B:H,7,FALSE())</f>
        <v>5.33</v>
      </c>
      <c r="K981" s="5" t="str">
        <f t="shared" si="1"/>
        <v>Medium</v>
      </c>
      <c r="L981" s="11">
        <f t="array" ref="L981">IFERROR(INDEX(Bookings!$K:$K,MATCH(A981,Bookings!$A:$A,0)),"")</f>
        <v>6331</v>
      </c>
      <c r="M981" s="5" t="str">
        <f t="shared" si="2"/>
        <v>Medium</v>
      </c>
      <c r="N981" s="5">
        <f t="array" ref="N981">IFERROR(INDEX(Bookings!$I:$I,MATCH(A981,Bookings!$A:$A,0)),"")</f>
        <v>26</v>
      </c>
      <c r="O981" s="5" t="str">
        <f t="shared" si="3"/>
        <v>Moderate</v>
      </c>
      <c r="P981" s="5" t="str">
        <f t="shared" si="4"/>
        <v>Chennai -&gt; Delhi</v>
      </c>
    </row>
    <row r="982" ht="15.75" customHeight="1">
      <c r="A982" s="5" t="s">
        <v>2743</v>
      </c>
      <c r="B982" s="5" t="s">
        <v>2258</v>
      </c>
      <c r="C982" s="5" t="s">
        <v>699</v>
      </c>
      <c r="D982" s="5" t="s">
        <v>45</v>
      </c>
      <c r="E982" s="6" t="str">
        <f t="array" ref="E982">IFERROR(INDEX(Airlines!$B:$B,MATCH(D982,Airlines!$A:$A,0)),"")</f>
        <v>Air_India</v>
      </c>
      <c r="F982" s="6" t="str">
        <f>VLOOKUP(A982,Bookings!$A:$F,6,FALSE())</f>
        <v>Economy</v>
      </c>
      <c r="G982" s="6" t="str">
        <f t="array" ref="G982">IFERROR(INDEX(Flights!$E:$E,MATCH(B982,Flights!$A:$A,0)),"")</f>
        <v>Chennai</v>
      </c>
      <c r="H982" s="6" t="str">
        <f>VLOOKUP(B982,Flights!A:H,6,FALSE())</f>
        <v>Delhi</v>
      </c>
      <c r="I982" s="6" t="str">
        <f t="array" ref="I982">IFERROR(INDEX(Bookings!$G:$G,MATCH(B982,Bookings!$B:$B,0)),"")</f>
        <v>1</v>
      </c>
      <c r="J982" s="5">
        <f>VLOOKUP(B982,Bookings!B:H,7,FALSE())</f>
        <v>16</v>
      </c>
      <c r="K982" s="5" t="str">
        <f t="shared" si="1"/>
        <v>Long</v>
      </c>
      <c r="L982" s="11">
        <f t="array" ref="L982">IFERROR(INDEX(Bookings!$K:$K,MATCH(A982,Bookings!$A:$A,0)),"")</f>
        <v>4767</v>
      </c>
      <c r="M982" s="5" t="str">
        <f t="shared" si="2"/>
        <v>Medium</v>
      </c>
      <c r="N982" s="5">
        <f t="array" ref="N982">IFERROR(INDEX(Bookings!$I:$I,MATCH(A982,Bookings!$A:$A,0)),"")</f>
        <v>32</v>
      </c>
      <c r="O982" s="5" t="str">
        <f t="shared" si="3"/>
        <v>Advance</v>
      </c>
      <c r="P982" s="5" t="str">
        <f t="shared" si="4"/>
        <v>Chennai -&gt; Delhi</v>
      </c>
    </row>
    <row r="983" ht="15.75" customHeight="1">
      <c r="A983" s="5" t="s">
        <v>2745</v>
      </c>
      <c r="B983" s="5" t="s">
        <v>2261</v>
      </c>
      <c r="C983" s="5" t="s">
        <v>699</v>
      </c>
      <c r="D983" s="5" t="s">
        <v>72</v>
      </c>
      <c r="E983" s="6" t="str">
        <f t="array" ref="E983">IFERROR(INDEX(Airlines!$B:$B,MATCH(D983,Airlines!$A:$A,0)),"")</f>
        <v>Spicejet</v>
      </c>
      <c r="F983" s="6" t="str">
        <f>VLOOKUP(A983,Bookings!$A:$F,6,FALSE())</f>
        <v>Economy</v>
      </c>
      <c r="G983" s="6" t="str">
        <f t="array" ref="G983">IFERROR(INDEX(Flights!$E:$E,MATCH(B983,Flights!$A:$A,0)),"")</f>
        <v>Chennai</v>
      </c>
      <c r="H983" s="6" t="str">
        <f>VLOOKUP(B983,Flights!A:H,6,FALSE())</f>
        <v>Delhi</v>
      </c>
      <c r="I983" s="6" t="str">
        <f t="array" ref="I983">IFERROR(INDEX(Bookings!$G:$G,MATCH(B983,Bookings!$B:$B,0)),"")</f>
        <v>0</v>
      </c>
      <c r="J983" s="5">
        <f>VLOOKUP(B983,Bookings!B:H,7,FALSE())</f>
        <v>2.75</v>
      </c>
      <c r="K983" s="5" t="str">
        <f t="shared" si="1"/>
        <v>Short</v>
      </c>
      <c r="L983" s="11">
        <f t="array" ref="L983">IFERROR(INDEX(Bookings!$K:$K,MATCH(A983,Bookings!$A:$A,0)),"")</f>
        <v>7352</v>
      </c>
      <c r="M983" s="5" t="str">
        <f t="shared" si="2"/>
        <v>Medium</v>
      </c>
      <c r="N983" s="5">
        <f t="array" ref="N983">IFERROR(INDEX(Bookings!$I:$I,MATCH(A983,Bookings!$A:$A,0)),"")</f>
        <v>14</v>
      </c>
      <c r="O983" s="5" t="str">
        <f t="shared" si="3"/>
        <v>Short Notice</v>
      </c>
      <c r="P983" s="5" t="str">
        <f t="shared" si="4"/>
        <v>Chennai -&gt; Delhi</v>
      </c>
    </row>
    <row r="984" ht="15.75" customHeight="1">
      <c r="A984" s="5" t="s">
        <v>2747</v>
      </c>
      <c r="B984" s="5" t="s">
        <v>2246</v>
      </c>
      <c r="C984" s="5" t="s">
        <v>699</v>
      </c>
      <c r="D984" s="5" t="s">
        <v>20</v>
      </c>
      <c r="E984" s="6" t="str">
        <f t="array" ref="E984">IFERROR(INDEX(Airlines!$B:$B,MATCH(D984,Airlines!$A:$A,0)),"")</f>
        <v>Vistara</v>
      </c>
      <c r="F984" s="6" t="str">
        <f>VLOOKUP(A984,Bookings!$A:$F,6,FALSE())</f>
        <v>Economy</v>
      </c>
      <c r="G984" s="6" t="str">
        <f t="array" ref="G984">IFERROR(INDEX(Flights!$E:$E,MATCH(B984,Flights!$A:$A,0)),"")</f>
        <v>Chennai</v>
      </c>
      <c r="H984" s="6" t="str">
        <f>VLOOKUP(B984,Flights!A:H,6,FALSE())</f>
        <v>Delhi</v>
      </c>
      <c r="I984" s="6" t="str">
        <f t="array" ref="I984">IFERROR(INDEX(Bookings!$G:$G,MATCH(B984,Bookings!$B:$B,0)),"")</f>
        <v>1</v>
      </c>
      <c r="J984" s="5">
        <f>VLOOKUP(B984,Bookings!B:H,7,FALSE())</f>
        <v>33.5</v>
      </c>
      <c r="K984" s="5" t="str">
        <f t="shared" si="1"/>
        <v>Long</v>
      </c>
      <c r="L984" s="11">
        <f t="array" ref="L984">IFERROR(INDEX(Bookings!$K:$K,MATCH(A984,Bookings!$A:$A,0)),"")</f>
        <v>13578</v>
      </c>
      <c r="M984" s="5" t="str">
        <f t="shared" si="2"/>
        <v>Medium</v>
      </c>
      <c r="N984" s="5">
        <f t="array" ref="N984">IFERROR(INDEX(Bookings!$I:$I,MATCH(A984,Bookings!$A:$A,0)),"")</f>
        <v>5</v>
      </c>
      <c r="O984" s="5" t="str">
        <f t="shared" si="3"/>
        <v>Last Minute</v>
      </c>
      <c r="P984" s="5" t="str">
        <f t="shared" si="4"/>
        <v>Chennai -&gt; Delhi</v>
      </c>
    </row>
    <row r="985" ht="15.75" customHeight="1">
      <c r="A985" s="5" t="s">
        <v>2749</v>
      </c>
      <c r="B985" s="5" t="s">
        <v>2232</v>
      </c>
      <c r="C985" s="5" t="s">
        <v>699</v>
      </c>
      <c r="D985" s="5" t="s">
        <v>20</v>
      </c>
      <c r="E985" s="6" t="str">
        <f t="array" ref="E985">IFERROR(INDEX(Airlines!$B:$B,MATCH(D985,Airlines!$A:$A,0)),"")</f>
        <v>Vistara</v>
      </c>
      <c r="F985" s="6" t="str">
        <f>VLOOKUP(A985,Bookings!$A:$F,6,FALSE())</f>
        <v>Business</v>
      </c>
      <c r="G985" s="6" t="str">
        <f t="array" ref="G985">IFERROR(INDEX(Flights!$E:$E,MATCH(B985,Flights!$A:$A,0)),"")</f>
        <v>Chennai</v>
      </c>
      <c r="H985" s="6" t="str">
        <f>VLOOKUP(B985,Flights!A:H,6,FALSE())</f>
        <v>Delhi</v>
      </c>
      <c r="I985" s="6" t="str">
        <f t="array" ref="I985">IFERROR(INDEX(Bookings!$G:$G,MATCH(B985,Bookings!$B:$B,0)),"")</f>
        <v>1</v>
      </c>
      <c r="J985" s="5">
        <f>VLOOKUP(B985,Bookings!B:H,7,FALSE())</f>
        <v>9.08</v>
      </c>
      <c r="K985" s="5" t="str">
        <f t="shared" si="1"/>
        <v>Medium</v>
      </c>
      <c r="L985" s="11">
        <f t="array" ref="L985">IFERROR(INDEX(Bookings!$K:$K,MATCH(A985,Bookings!$A:$A,0)),"")</f>
        <v>89761</v>
      </c>
      <c r="M985" s="5" t="str">
        <f t="shared" si="2"/>
        <v>High</v>
      </c>
      <c r="N985" s="5">
        <f t="array" ref="N985">IFERROR(INDEX(Bookings!$I:$I,MATCH(A985,Bookings!$A:$A,0)),"")</f>
        <v>5</v>
      </c>
      <c r="O985" s="5" t="str">
        <f t="shared" si="3"/>
        <v>Last Minute</v>
      </c>
      <c r="P985" s="5" t="str">
        <f t="shared" si="4"/>
        <v>Chennai -&gt; Delhi</v>
      </c>
    </row>
    <row r="986" ht="15.75" customHeight="1">
      <c r="A986" s="5" t="s">
        <v>2751</v>
      </c>
      <c r="B986" s="5" t="s">
        <v>2252</v>
      </c>
      <c r="C986" s="5" t="s">
        <v>699</v>
      </c>
      <c r="D986" s="5" t="s">
        <v>45</v>
      </c>
      <c r="E986" s="6" t="str">
        <f t="array" ref="E986">IFERROR(INDEX(Airlines!$B:$B,MATCH(D986,Airlines!$A:$A,0)),"")</f>
        <v>Air_India</v>
      </c>
      <c r="F986" s="6" t="str">
        <f>VLOOKUP(A986,Bookings!$A:$F,6,FALSE())</f>
        <v>Economy</v>
      </c>
      <c r="G986" s="6" t="str">
        <f t="array" ref="G986">IFERROR(INDEX(Flights!$E:$E,MATCH(B986,Flights!$A:$A,0)),"")</f>
        <v>Chennai</v>
      </c>
      <c r="H986" s="6" t="str">
        <f>VLOOKUP(B986,Flights!A:H,6,FALSE())</f>
        <v>Delhi</v>
      </c>
      <c r="I986" s="6" t="str">
        <f t="array" ref="I986">IFERROR(INDEX(Bookings!$G:$G,MATCH(B986,Bookings!$B:$B,0)),"")</f>
        <v>1</v>
      </c>
      <c r="J986" s="5">
        <f>VLOOKUP(B986,Bookings!B:H,7,FALSE())</f>
        <v>33.58</v>
      </c>
      <c r="K986" s="5" t="str">
        <f t="shared" si="1"/>
        <v>Long</v>
      </c>
      <c r="L986" s="11">
        <f t="array" ref="L986">IFERROR(INDEX(Bookings!$K:$K,MATCH(A986,Bookings!$A:$A,0)),"")</f>
        <v>13426</v>
      </c>
      <c r="M986" s="5" t="str">
        <f t="shared" si="2"/>
        <v>Medium</v>
      </c>
      <c r="N986" s="5" t="str">
        <f t="array" ref="N986">IFERROR(INDEX(Bookings!$I:$I,MATCH(A986,Bookings!$A:$A,0)),"")</f>
        <v/>
      </c>
      <c r="O986" s="5" t="str">
        <f t="shared" si="3"/>
        <v>Last Minute</v>
      </c>
      <c r="P986" s="5" t="str">
        <f t="shared" si="4"/>
        <v>Chennai -&gt; Delhi</v>
      </c>
    </row>
    <row r="987" ht="15.75" customHeight="1">
      <c r="A987" s="5" t="s">
        <v>2752</v>
      </c>
      <c r="B987" s="5" t="s">
        <v>2279</v>
      </c>
      <c r="C987" s="5" t="s">
        <v>699</v>
      </c>
      <c r="D987" s="5" t="s">
        <v>43</v>
      </c>
      <c r="E987" s="6" t="str">
        <f t="array" ref="E987">IFERROR(INDEX(Airlines!$B:$B,MATCH(D987,Airlines!$A:$A,0)),"")</f>
        <v>Indigo</v>
      </c>
      <c r="F987" s="6" t="str">
        <f>VLOOKUP(A987,Bookings!$A:$F,6,FALSE())</f>
        <v>Economy</v>
      </c>
      <c r="G987" s="6" t="str">
        <f t="array" ref="G987">IFERROR(INDEX(Flights!$E:$E,MATCH(B987,Flights!$A:$A,0)),"")</f>
        <v>Chennai</v>
      </c>
      <c r="H987" s="6" t="str">
        <f>VLOOKUP(B987,Flights!A:H,6,FALSE())</f>
        <v>Delhi</v>
      </c>
      <c r="I987" s="6" t="str">
        <f t="array" ref="I987">IFERROR(INDEX(Bookings!$G:$G,MATCH(B987,Bookings!$B:$B,0)),"")</f>
        <v>1</v>
      </c>
      <c r="J987" s="5">
        <f>VLOOKUP(B987,Bookings!B:H,7,FALSE())</f>
        <v>8.58</v>
      </c>
      <c r="K987" s="5" t="str">
        <f t="shared" si="1"/>
        <v>Medium</v>
      </c>
      <c r="L987" s="11">
        <f t="array" ref="L987">IFERROR(INDEX(Bookings!$K:$K,MATCH(A987,Bookings!$A:$A,0)),"")</f>
        <v>7877</v>
      </c>
      <c r="M987" s="5" t="str">
        <f t="shared" si="2"/>
        <v>Medium</v>
      </c>
      <c r="N987" s="5">
        <f t="array" ref="N987">IFERROR(INDEX(Bookings!$I:$I,MATCH(A987,Bookings!$A:$A,0)),"")</f>
        <v>7</v>
      </c>
      <c r="O987" s="5" t="str">
        <f t="shared" si="3"/>
        <v>Last Minute</v>
      </c>
      <c r="P987" s="5" t="str">
        <f t="shared" si="4"/>
        <v>Chennai -&gt; Delhi</v>
      </c>
    </row>
    <row r="988" ht="15.75" customHeight="1">
      <c r="A988" s="5" t="s">
        <v>2754</v>
      </c>
      <c r="B988" s="5" t="s">
        <v>2241</v>
      </c>
      <c r="C988" s="5" t="s">
        <v>699</v>
      </c>
      <c r="D988" s="5" t="s">
        <v>43</v>
      </c>
      <c r="E988" s="6" t="str">
        <f t="array" ref="E988">IFERROR(INDEX(Airlines!$B:$B,MATCH(D988,Airlines!$A:$A,0)),"")</f>
        <v>Indigo</v>
      </c>
      <c r="F988" s="6" t="str">
        <f>VLOOKUP(A988,Bookings!$A:$F,6,FALSE())</f>
        <v>Economy</v>
      </c>
      <c r="G988" s="6" t="str">
        <f t="array" ref="G988">IFERROR(INDEX(Flights!$E:$E,MATCH(B988,Flights!$A:$A,0)),"")</f>
        <v>Chennai</v>
      </c>
      <c r="H988" s="6" t="str">
        <f>VLOOKUP(B988,Flights!A:H,6,FALSE())</f>
        <v>Delhi</v>
      </c>
      <c r="I988" s="6" t="str">
        <f t="array" ref="I988">IFERROR(INDEX(Bookings!$G:$G,MATCH(B988,Bookings!$B:$B,0)),"")</f>
        <v>1</v>
      </c>
      <c r="J988" s="5">
        <f>VLOOKUP(B988,Bookings!B:H,7,FALSE())</f>
        <v>8.33</v>
      </c>
      <c r="K988" s="5" t="str">
        <f t="shared" si="1"/>
        <v>Medium</v>
      </c>
      <c r="L988" s="11">
        <f t="array" ref="L988">IFERROR(INDEX(Bookings!$K:$K,MATCH(A988,Bookings!$A:$A,0)),"")</f>
        <v>11106</v>
      </c>
      <c r="M988" s="5" t="str">
        <f t="shared" si="2"/>
        <v>Medium</v>
      </c>
      <c r="N988" s="5">
        <f t="array" ref="N988">IFERROR(INDEX(Bookings!$I:$I,MATCH(A988,Bookings!$A:$A,0)),"")</f>
        <v>9</v>
      </c>
      <c r="O988" s="5" t="str">
        <f t="shared" si="3"/>
        <v>Short Notice</v>
      </c>
      <c r="P988" s="5" t="str">
        <f t="shared" si="4"/>
        <v>Chennai -&gt; Delhi</v>
      </c>
    </row>
    <row r="989" ht="15.75" customHeight="1">
      <c r="A989" s="5" t="s">
        <v>2755</v>
      </c>
      <c r="B989" s="5" t="s">
        <v>2289</v>
      </c>
      <c r="C989" s="5" t="s">
        <v>699</v>
      </c>
      <c r="D989" s="5" t="s">
        <v>29</v>
      </c>
      <c r="E989" s="6" t="str">
        <f t="array" ref="E989">IFERROR(INDEX(Airlines!$B:$B,MATCH(D989,Airlines!$A:$A,0)),"")</f>
        <v>AirAsia</v>
      </c>
      <c r="F989" s="6" t="str">
        <f>VLOOKUP(A989,Bookings!$A:$F,6,FALSE())</f>
        <v>Economy</v>
      </c>
      <c r="G989" s="6" t="str">
        <f t="array" ref="G989">IFERROR(INDEX(Flights!$E:$E,MATCH(B989,Flights!$A:$A,0)),"")</f>
        <v>Chennai</v>
      </c>
      <c r="H989" s="6" t="str">
        <f>VLOOKUP(B989,Flights!A:H,6,FALSE())</f>
        <v>Delhi</v>
      </c>
      <c r="I989" s="6" t="str">
        <f t="array" ref="I989">IFERROR(INDEX(Bookings!$G:$G,MATCH(B989,Bookings!$B:$B,0)),"")</f>
        <v>2+</v>
      </c>
      <c r="J989" s="5">
        <f>VLOOKUP(B989,Bookings!B:H,7,FALSE())</f>
        <v>16</v>
      </c>
      <c r="K989" s="5" t="str">
        <f t="shared" si="1"/>
        <v>Long</v>
      </c>
      <c r="L989" s="11">
        <f t="array" ref="L989">IFERROR(INDEX(Bookings!$K:$K,MATCH(A989,Bookings!$A:$A,0)),"")</f>
        <v>2477</v>
      </c>
      <c r="M989" s="5" t="str">
        <f t="shared" si="2"/>
        <v>Low</v>
      </c>
      <c r="N989" s="5">
        <f t="array" ref="N989">IFERROR(INDEX(Bookings!$I:$I,MATCH(A989,Bookings!$A:$A,0)),"")</f>
        <v>29</v>
      </c>
      <c r="O989" s="5" t="str">
        <f t="shared" si="3"/>
        <v>Moderate</v>
      </c>
      <c r="P989" s="5" t="str">
        <f t="shared" si="4"/>
        <v>Chennai -&gt; Delhi</v>
      </c>
    </row>
    <row r="990" ht="15.75" customHeight="1">
      <c r="A990" s="5" t="s">
        <v>2757</v>
      </c>
      <c r="B990" s="5" t="s">
        <v>2199</v>
      </c>
      <c r="C990" s="5" t="s">
        <v>699</v>
      </c>
      <c r="D990" s="5" t="s">
        <v>58</v>
      </c>
      <c r="E990" s="6" t="str">
        <f t="array" ref="E990">IFERROR(INDEX(Airlines!$B:$B,MATCH(D990,Airlines!$A:$A,0)),"")</f>
        <v>Go_First</v>
      </c>
      <c r="F990" s="6" t="str">
        <f>VLOOKUP(A990,Bookings!$A:$F,6,FALSE())</f>
        <v>Economy</v>
      </c>
      <c r="G990" s="6" t="str">
        <f t="array" ref="G990">IFERROR(INDEX(Flights!$E:$E,MATCH(B990,Flights!$A:$A,0)),"")</f>
        <v>Chennai</v>
      </c>
      <c r="H990" s="6" t="str">
        <f>VLOOKUP(B990,Flights!A:H,6,FALSE())</f>
        <v>Delhi</v>
      </c>
      <c r="I990" s="6" t="str">
        <f t="array" ref="I990">IFERROR(INDEX(Bookings!$G:$G,MATCH(B990,Bookings!$B:$B,0)),"")</f>
        <v>1</v>
      </c>
      <c r="J990" s="5">
        <f>VLOOKUP(B990,Bookings!B:H,7,FALSE())</f>
        <v>15.17</v>
      </c>
      <c r="K990" s="5" t="str">
        <f t="shared" si="1"/>
        <v>Long</v>
      </c>
      <c r="L990" s="11">
        <f t="array" ref="L990">IFERROR(INDEX(Bookings!$K:$K,MATCH(A990,Bookings!$A:$A,0)),"")</f>
        <v>4827</v>
      </c>
      <c r="M990" s="5" t="str">
        <f t="shared" si="2"/>
        <v>Medium</v>
      </c>
      <c r="N990" s="5">
        <f t="array" ref="N990">IFERROR(INDEX(Bookings!$I:$I,MATCH(A990,Bookings!$A:$A,0)),"")</f>
        <v>26</v>
      </c>
      <c r="O990" s="5" t="str">
        <f t="shared" si="3"/>
        <v>Moderate</v>
      </c>
      <c r="P990" s="5" t="str">
        <f t="shared" si="4"/>
        <v>Chennai -&gt; Delhi</v>
      </c>
    </row>
    <row r="991" ht="15.75" customHeight="1">
      <c r="A991" s="5" t="s">
        <v>2759</v>
      </c>
      <c r="B991" s="5" t="s">
        <v>2217</v>
      </c>
      <c r="C991" s="5" t="s">
        <v>699</v>
      </c>
      <c r="D991" s="5" t="s">
        <v>58</v>
      </c>
      <c r="E991" s="6" t="str">
        <f t="array" ref="E991">IFERROR(INDEX(Airlines!$B:$B,MATCH(D991,Airlines!$A:$A,0)),"")</f>
        <v>Go_First</v>
      </c>
      <c r="F991" s="6" t="str">
        <f>VLOOKUP(A991,Bookings!$A:$F,6,FALSE())</f>
        <v>Economy</v>
      </c>
      <c r="G991" s="6" t="str">
        <f t="array" ref="G991">IFERROR(INDEX(Flights!$E:$E,MATCH(B991,Flights!$A:$A,0)),"")</f>
        <v>Chennai</v>
      </c>
      <c r="H991" s="6" t="str">
        <f>VLOOKUP(B991,Flights!A:H,6,FALSE())</f>
        <v>Delhi</v>
      </c>
      <c r="I991" s="6" t="str">
        <f t="array" ref="I991">IFERROR(INDEX(Bookings!$G:$G,MATCH(B991,Bookings!$B:$B,0)),"")</f>
        <v>1</v>
      </c>
      <c r="J991" s="5">
        <f>VLOOKUP(B991,Bookings!B:H,7,FALSE())</f>
        <v>14.83</v>
      </c>
      <c r="K991" s="5" t="str">
        <f t="shared" si="1"/>
        <v>Long</v>
      </c>
      <c r="L991" s="11">
        <f t="array" ref="L991">IFERROR(INDEX(Bookings!$K:$K,MATCH(A991,Bookings!$A:$A,0)),"")</f>
        <v>3219</v>
      </c>
      <c r="M991" s="5" t="str">
        <f t="shared" si="2"/>
        <v>Low</v>
      </c>
      <c r="N991" s="5">
        <f t="array" ref="N991">IFERROR(INDEX(Bookings!$I:$I,MATCH(A991,Bookings!$A:$A,0)),"")</f>
        <v>42</v>
      </c>
      <c r="O991" s="5" t="str">
        <f t="shared" si="3"/>
        <v>Advance</v>
      </c>
      <c r="P991" s="5" t="str">
        <f t="shared" si="4"/>
        <v>Chennai -&gt; Delhi</v>
      </c>
    </row>
    <row r="992" ht="15.75" customHeight="1">
      <c r="A992" s="5" t="s">
        <v>2761</v>
      </c>
      <c r="B992" s="5" t="s">
        <v>2185</v>
      </c>
      <c r="C992" s="5" t="s">
        <v>699</v>
      </c>
      <c r="D992" s="5" t="s">
        <v>43</v>
      </c>
      <c r="E992" s="6" t="str">
        <f t="array" ref="E992">IFERROR(INDEX(Airlines!$B:$B,MATCH(D992,Airlines!$A:$A,0)),"")</f>
        <v>Indigo</v>
      </c>
      <c r="F992" s="6" t="str">
        <f>VLOOKUP(A992,Bookings!$A:$F,6,FALSE())</f>
        <v>Economy</v>
      </c>
      <c r="G992" s="6" t="str">
        <f t="array" ref="G992">IFERROR(INDEX(Flights!$E:$E,MATCH(B992,Flights!$A:$A,0)),"")</f>
        <v>Chennai</v>
      </c>
      <c r="H992" s="6" t="str">
        <f>VLOOKUP(B992,Flights!A:H,6,FALSE())</f>
        <v>Delhi</v>
      </c>
      <c r="I992" s="6" t="str">
        <f t="array" ref="I992">IFERROR(INDEX(Bookings!$G:$G,MATCH(B992,Bookings!$B:$B,0)),"")</f>
        <v>1</v>
      </c>
      <c r="J992" s="5">
        <f>VLOOKUP(B992,Bookings!B:H,7,FALSE())</f>
        <v>10</v>
      </c>
      <c r="K992" s="5" t="str">
        <f t="shared" si="1"/>
        <v>Medium</v>
      </c>
      <c r="L992" s="11">
        <f t="array" ref="L992">IFERROR(INDEX(Bookings!$K:$K,MATCH(A992,Bookings!$A:$A,0)),"")</f>
        <v>3857</v>
      </c>
      <c r="M992" s="5" t="str">
        <f t="shared" si="2"/>
        <v>Low</v>
      </c>
      <c r="N992" s="5">
        <f t="array" ref="N992">IFERROR(INDEX(Bookings!$I:$I,MATCH(A992,Bookings!$A:$A,0)),"")</f>
        <v>24</v>
      </c>
      <c r="O992" s="5" t="str">
        <f t="shared" si="3"/>
        <v>Moderate</v>
      </c>
      <c r="P992" s="5" t="str">
        <f t="shared" si="4"/>
        <v>Chennai -&gt; Delhi</v>
      </c>
    </row>
    <row r="993" ht="15.75" customHeight="1">
      <c r="A993" s="5" t="s">
        <v>2763</v>
      </c>
      <c r="B993" s="5" t="s">
        <v>2195</v>
      </c>
      <c r="C993" s="5" t="s">
        <v>699</v>
      </c>
      <c r="D993" s="5" t="s">
        <v>45</v>
      </c>
      <c r="E993" s="6" t="str">
        <f t="array" ref="E993">IFERROR(INDEX(Airlines!$B:$B,MATCH(D993,Airlines!$A:$A,0)),"")</f>
        <v>Air_India</v>
      </c>
      <c r="F993" s="6" t="str">
        <f>VLOOKUP(A993,Bookings!$A:$F,6,FALSE())</f>
        <v>Economy</v>
      </c>
      <c r="G993" s="6" t="str">
        <f t="array" ref="G993">IFERROR(INDEX(Flights!$E:$E,MATCH(B993,Flights!$A:$A,0)),"")</f>
        <v>Chennai</v>
      </c>
      <c r="H993" s="6" t="str">
        <f>VLOOKUP(B993,Flights!A:H,6,FALSE())</f>
        <v>Delhi</v>
      </c>
      <c r="I993" s="6" t="str">
        <f t="array" ref="I993">IFERROR(INDEX(Bookings!$G:$G,MATCH(B993,Bookings!$B:$B,0)),"")</f>
        <v>1</v>
      </c>
      <c r="J993" s="5">
        <f>VLOOKUP(B993,Bookings!B:H,7,FALSE())</f>
        <v>24.42</v>
      </c>
      <c r="K993" s="5" t="str">
        <f t="shared" si="1"/>
        <v>Long</v>
      </c>
      <c r="L993" s="11">
        <f t="array" ref="L993">IFERROR(INDEX(Bookings!$K:$K,MATCH(A993,Bookings!$A:$A,0)),"")</f>
        <v>3234</v>
      </c>
      <c r="M993" s="5" t="str">
        <f t="shared" si="2"/>
        <v>Low</v>
      </c>
      <c r="N993" s="5">
        <f t="array" ref="N993">IFERROR(INDEX(Bookings!$I:$I,MATCH(A993,Bookings!$A:$A,0)),"")</f>
        <v>46</v>
      </c>
      <c r="O993" s="5" t="str">
        <f t="shared" si="3"/>
        <v>Advance</v>
      </c>
      <c r="P993" s="5" t="str">
        <f t="shared" si="4"/>
        <v>Chennai -&gt; Delhi</v>
      </c>
    </row>
    <row r="994" ht="15.75" customHeight="1">
      <c r="A994" s="5" t="s">
        <v>2765</v>
      </c>
      <c r="B994" s="5" t="s">
        <v>2213</v>
      </c>
      <c r="C994" s="5" t="s">
        <v>699</v>
      </c>
      <c r="D994" s="5" t="s">
        <v>45</v>
      </c>
      <c r="E994" s="6" t="str">
        <f t="array" ref="E994">IFERROR(INDEX(Airlines!$B:$B,MATCH(D994,Airlines!$A:$A,0)),"")</f>
        <v>Air_India</v>
      </c>
      <c r="F994" s="6" t="str">
        <f>VLOOKUP(A994,Bookings!$A:$F,6,FALSE())</f>
        <v>Economy</v>
      </c>
      <c r="G994" s="6" t="str">
        <f t="array" ref="G994">IFERROR(INDEX(Flights!$E:$E,MATCH(B994,Flights!$A:$A,0)),"")</f>
        <v>Chennai</v>
      </c>
      <c r="H994" s="6" t="str">
        <f>VLOOKUP(B994,Flights!A:H,6,FALSE())</f>
        <v>Delhi</v>
      </c>
      <c r="I994" s="6" t="str">
        <f t="array" ref="I994">IFERROR(INDEX(Bookings!$G:$G,MATCH(B994,Bookings!$B:$B,0)),"")</f>
        <v>1</v>
      </c>
      <c r="J994" s="5">
        <f>VLOOKUP(B994,Bookings!B:H,7,FALSE())</f>
        <v>19.08</v>
      </c>
      <c r="K994" s="5" t="str">
        <f t="shared" si="1"/>
        <v>Long</v>
      </c>
      <c r="L994" s="11">
        <f t="array" ref="L994">IFERROR(INDEX(Bookings!$K:$K,MATCH(A994,Bookings!$A:$A,0)),"")</f>
        <v>3916</v>
      </c>
      <c r="M994" s="5" t="str">
        <f t="shared" si="2"/>
        <v>Low</v>
      </c>
      <c r="N994" s="5">
        <f t="array" ref="N994">IFERROR(INDEX(Bookings!$I:$I,MATCH(A994,Bookings!$A:$A,0)),"")</f>
        <v>44</v>
      </c>
      <c r="O994" s="5" t="str">
        <f t="shared" si="3"/>
        <v>Advance</v>
      </c>
      <c r="P994" s="5" t="str">
        <f t="shared" si="4"/>
        <v>Chennai -&gt; Delhi</v>
      </c>
    </row>
    <row r="995" ht="15.75" customHeight="1">
      <c r="A995" s="5" t="s">
        <v>2768</v>
      </c>
      <c r="B995" s="5" t="s">
        <v>2296</v>
      </c>
      <c r="C995" s="5" t="s">
        <v>699</v>
      </c>
      <c r="D995" s="5" t="s">
        <v>72</v>
      </c>
      <c r="E995" s="6" t="str">
        <f t="array" ref="E995">IFERROR(INDEX(Airlines!$B:$B,MATCH(D995,Airlines!$A:$A,0)),"")</f>
        <v>Spicejet</v>
      </c>
      <c r="F995" s="6" t="str">
        <f>VLOOKUP(A995,Bookings!$A:$F,6,FALSE())</f>
        <v>Economy</v>
      </c>
      <c r="G995" s="6" t="str">
        <f t="array" ref="G995">IFERROR(INDEX(Flights!$E:$E,MATCH(B995,Flights!$A:$A,0)),"")</f>
        <v>Chennai</v>
      </c>
      <c r="H995" s="6" t="str">
        <f>VLOOKUP(B995,Flights!A:H,6,FALSE())</f>
        <v>Delhi</v>
      </c>
      <c r="I995" s="6" t="str">
        <f t="array" ref="I995">IFERROR(INDEX(Bookings!$G:$G,MATCH(B995,Bookings!$B:$B,0)),"")</f>
        <v>1</v>
      </c>
      <c r="J995" s="5">
        <f>VLOOKUP(B995,Bookings!B:H,7,FALSE())</f>
        <v>24.75</v>
      </c>
      <c r="K995" s="5" t="str">
        <f t="shared" si="1"/>
        <v>Long</v>
      </c>
      <c r="L995" s="11">
        <f t="array" ref="L995">IFERROR(INDEX(Bookings!$K:$K,MATCH(A995,Bookings!$A:$A,0)),"")</f>
        <v>4827</v>
      </c>
      <c r="M995" s="5" t="str">
        <f t="shared" si="2"/>
        <v>Medium</v>
      </c>
      <c r="N995" s="5">
        <f t="array" ref="N995">IFERROR(INDEX(Bookings!$I:$I,MATCH(A995,Bookings!$A:$A,0)),"")</f>
        <v>44</v>
      </c>
      <c r="O995" s="5" t="str">
        <f t="shared" si="3"/>
        <v>Advance</v>
      </c>
      <c r="P995" s="5" t="str">
        <f t="shared" si="4"/>
        <v>Chennai -&gt; Delhi</v>
      </c>
    </row>
    <row r="996" ht="15.75" customHeight="1">
      <c r="A996" s="5" t="s">
        <v>2770</v>
      </c>
      <c r="B996" s="5" t="s">
        <v>2188</v>
      </c>
      <c r="C996" s="5" t="s">
        <v>699</v>
      </c>
      <c r="D996" s="5" t="s">
        <v>45</v>
      </c>
      <c r="E996" s="6" t="str">
        <f t="array" ref="E996">IFERROR(INDEX(Airlines!$B:$B,MATCH(D996,Airlines!$A:$A,0)),"")</f>
        <v>Air_India</v>
      </c>
      <c r="F996" s="6" t="str">
        <f>VLOOKUP(A996,Bookings!$A:$F,6,FALSE())</f>
        <v>Business</v>
      </c>
      <c r="G996" s="6" t="str">
        <f t="array" ref="G996">IFERROR(INDEX(Flights!$E:$E,MATCH(B996,Flights!$A:$A,0)),"")</f>
        <v>Chennai</v>
      </c>
      <c r="H996" s="6" t="str">
        <f>VLOOKUP(B996,Flights!A:H,6,FALSE())</f>
        <v>Delhi</v>
      </c>
      <c r="I996" s="6" t="str">
        <f t="array" ref="I996">IFERROR(INDEX(Bookings!$G:$G,MATCH(B996,Bookings!$B:$B,0)),"")</f>
        <v>0</v>
      </c>
      <c r="J996" s="5">
        <f>VLOOKUP(B996,Bookings!B:H,7,FALSE())</f>
        <v>2.75</v>
      </c>
      <c r="K996" s="5" t="str">
        <f t="shared" si="1"/>
        <v>Short</v>
      </c>
      <c r="L996" s="11">
        <f t="array" ref="L996">IFERROR(INDEX(Bookings!$K:$K,MATCH(A996,Bookings!$A:$A,0)),"")</f>
        <v>27792</v>
      </c>
      <c r="M996" s="5" t="str">
        <f t="shared" si="2"/>
        <v>High</v>
      </c>
      <c r="N996" s="5">
        <f t="array" ref="N996">IFERROR(INDEX(Bookings!$I:$I,MATCH(A996,Bookings!$A:$A,0)),"")</f>
        <v>48</v>
      </c>
      <c r="O996" s="5" t="str">
        <f t="shared" si="3"/>
        <v>Advance</v>
      </c>
      <c r="P996" s="5" t="str">
        <f t="shared" si="4"/>
        <v>Chennai -&gt; Delhi</v>
      </c>
    </row>
    <row r="997" ht="15.75" customHeight="1">
      <c r="A997" s="5" t="s">
        <v>2772</v>
      </c>
      <c r="B997" s="5" t="s">
        <v>2281</v>
      </c>
      <c r="C997" s="5" t="s">
        <v>699</v>
      </c>
      <c r="D997" s="5" t="s">
        <v>29</v>
      </c>
      <c r="E997" s="6" t="str">
        <f t="array" ref="E997">IFERROR(INDEX(Airlines!$B:$B,MATCH(D997,Airlines!$A:$A,0)),"")</f>
        <v>AirAsia</v>
      </c>
      <c r="F997" s="6" t="str">
        <f>VLOOKUP(A997,Bookings!$A:$F,6,FALSE())</f>
        <v>Economy</v>
      </c>
      <c r="G997" s="6" t="str">
        <f t="array" ref="G997">IFERROR(INDEX(Flights!$E:$E,MATCH(B997,Flights!$A:$A,0)),"")</f>
        <v>Chennai</v>
      </c>
      <c r="H997" s="6" t="str">
        <f>VLOOKUP(B997,Flights!A:H,6,FALSE())</f>
        <v>Delhi</v>
      </c>
      <c r="I997" s="6" t="str">
        <f t="array" ref="I997">IFERROR(INDEX(Bookings!$G:$G,MATCH(B997,Bookings!$B:$B,0)),"")</f>
        <v>1</v>
      </c>
      <c r="J997" s="5">
        <f>VLOOKUP(B997,Bookings!B:H,7,FALSE())</f>
        <v>7.17</v>
      </c>
      <c r="K997" s="5" t="str">
        <f t="shared" si="1"/>
        <v>Medium</v>
      </c>
      <c r="L997" s="11">
        <f t="array" ref="L997">IFERROR(INDEX(Bookings!$K:$K,MATCH(A997,Bookings!$A:$A,0)),"")</f>
        <v>2477</v>
      </c>
      <c r="M997" s="5" t="str">
        <f t="shared" si="2"/>
        <v>Low</v>
      </c>
      <c r="N997" s="5">
        <f t="array" ref="N997">IFERROR(INDEX(Bookings!$I:$I,MATCH(A997,Bookings!$A:$A,0)),"")</f>
        <v>46</v>
      </c>
      <c r="O997" s="5" t="str">
        <f t="shared" si="3"/>
        <v>Advance</v>
      </c>
      <c r="P997" s="5" t="str">
        <f t="shared" si="4"/>
        <v>Chennai -&gt; Delhi</v>
      </c>
    </row>
    <row r="998" ht="15.75" customHeight="1">
      <c r="A998" s="5" t="s">
        <v>2774</v>
      </c>
      <c r="B998" s="5" t="s">
        <v>2192</v>
      </c>
      <c r="C998" s="5" t="s">
        <v>699</v>
      </c>
      <c r="D998" s="5" t="s">
        <v>43</v>
      </c>
      <c r="E998" s="6" t="str">
        <f t="array" ref="E998">IFERROR(INDEX(Airlines!$B:$B,MATCH(D998,Airlines!$A:$A,0)),"")</f>
        <v>Indigo</v>
      </c>
      <c r="F998" s="6" t="str">
        <f>VLOOKUP(A998,Bookings!$A:$F,6,FALSE())</f>
        <v>Economy</v>
      </c>
      <c r="G998" s="6" t="str">
        <f t="array" ref="G998">IFERROR(INDEX(Flights!$E:$E,MATCH(B998,Flights!$A:$A,0)),"")</f>
        <v>Chennai</v>
      </c>
      <c r="H998" s="6" t="str">
        <f>VLOOKUP(B998,Flights!A:H,6,FALSE())</f>
        <v>Delhi</v>
      </c>
      <c r="I998" s="6" t="str">
        <f t="array" ref="I998">IFERROR(INDEX(Bookings!$G:$G,MATCH(B998,Bookings!$B:$B,0)),"")</f>
        <v>1</v>
      </c>
      <c r="J998" s="5">
        <f>VLOOKUP(B998,Bookings!B:H,7,FALSE())</f>
        <v>6.08</v>
      </c>
      <c r="K998" s="5" t="str">
        <f t="shared" si="1"/>
        <v>Medium</v>
      </c>
      <c r="L998" s="11">
        <f t="array" ref="L998">IFERROR(INDEX(Bookings!$K:$K,MATCH(A998,Bookings!$A:$A,0)),"")</f>
        <v>3361</v>
      </c>
      <c r="M998" s="5" t="str">
        <f t="shared" si="2"/>
        <v>Low</v>
      </c>
      <c r="N998" s="5">
        <f t="array" ref="N998">IFERROR(INDEX(Bookings!$I:$I,MATCH(A998,Bookings!$A:$A,0)),"")</f>
        <v>46</v>
      </c>
      <c r="O998" s="5" t="str">
        <f t="shared" si="3"/>
        <v>Advance</v>
      </c>
      <c r="P998" s="5" t="str">
        <f t="shared" si="4"/>
        <v>Chennai -&gt; Delhi</v>
      </c>
    </row>
    <row r="999" ht="15.75" customHeight="1">
      <c r="A999" s="5" t="s">
        <v>2776</v>
      </c>
      <c r="B999" s="5" t="s">
        <v>2276</v>
      </c>
      <c r="C999" s="5" t="s">
        <v>699</v>
      </c>
      <c r="D999" s="5" t="s">
        <v>58</v>
      </c>
      <c r="E999" s="6" t="str">
        <f t="array" ref="E999">IFERROR(INDEX(Airlines!$B:$B,MATCH(D999,Airlines!$A:$A,0)),"")</f>
        <v>Go_First</v>
      </c>
      <c r="F999" s="6" t="str">
        <f>VLOOKUP(A999,Bookings!$A:$F,6,FALSE())</f>
        <v>Economy</v>
      </c>
      <c r="G999" s="6" t="str">
        <f t="array" ref="G999">IFERROR(INDEX(Flights!$E:$E,MATCH(B999,Flights!$A:$A,0)),"")</f>
        <v>Chennai</v>
      </c>
      <c r="H999" s="6" t="str">
        <f>VLOOKUP(B999,Flights!A:H,6,FALSE())</f>
        <v>Delhi</v>
      </c>
      <c r="I999" s="6" t="str">
        <f t="array" ref="I999">IFERROR(INDEX(Bookings!$G:$G,MATCH(B999,Bookings!$B:$B,0)),"")</f>
        <v>1</v>
      </c>
      <c r="J999" s="5">
        <f>VLOOKUP(B999,Bookings!B:H,7,FALSE())</f>
        <v>7.42</v>
      </c>
      <c r="K999" s="5" t="str">
        <f t="shared" si="1"/>
        <v>Medium</v>
      </c>
      <c r="L999" s="11">
        <f t="array" ref="L999">IFERROR(INDEX(Bookings!$K:$K,MATCH(A999,Bookings!$A:$A,0)),"")</f>
        <v>4827</v>
      </c>
      <c r="M999" s="5" t="str">
        <f t="shared" si="2"/>
        <v>Medium</v>
      </c>
      <c r="N999" s="5">
        <f t="array" ref="N999">IFERROR(INDEX(Bookings!$I:$I,MATCH(A999,Bookings!$A:$A,0)),"")</f>
        <v>46</v>
      </c>
      <c r="O999" s="5" t="str">
        <f t="shared" si="3"/>
        <v>Advance</v>
      </c>
      <c r="P999" s="5" t="str">
        <f t="shared" si="4"/>
        <v>Chennai -&gt; Delhi</v>
      </c>
    </row>
    <row r="1000" ht="15.75" customHeight="1">
      <c r="A1000" s="5" t="s">
        <v>2779</v>
      </c>
      <c r="B1000" s="5" t="s">
        <v>2266</v>
      </c>
      <c r="C1000" s="5" t="s">
        <v>699</v>
      </c>
      <c r="D1000" s="5" t="s">
        <v>72</v>
      </c>
      <c r="E1000" s="6" t="str">
        <f t="array" ref="E1000">IFERROR(INDEX(Airlines!$B:$B,MATCH(D1000,Airlines!$A:$A,0)),"")</f>
        <v>Spicejet</v>
      </c>
      <c r="F1000" s="6" t="str">
        <f>VLOOKUP(A1000,Bookings!$A:$F,6,FALSE())</f>
        <v>Economy</v>
      </c>
      <c r="G1000" s="6" t="str">
        <f t="array" ref="G1000">IFERROR(INDEX(Flights!$E:$E,MATCH(B1000,Flights!$A:$A,0)),"")</f>
        <v>Chennai</v>
      </c>
      <c r="H1000" s="6" t="str">
        <f>VLOOKUP(B1000,Flights!A:H,6,FALSE())</f>
        <v>Delhi</v>
      </c>
      <c r="I1000" s="6" t="str">
        <f t="array" ref="I1000">IFERROR(INDEX(Bookings!$G:$G,MATCH(B1000,Bookings!$B:$B,0)),"")</f>
        <v>1</v>
      </c>
      <c r="J1000" s="5">
        <f>VLOOKUP(B1000,Bookings!B:H,7,FALSE())</f>
        <v>16.17</v>
      </c>
      <c r="K1000" s="5" t="str">
        <f t="shared" si="1"/>
        <v>Long</v>
      </c>
      <c r="L1000" s="11">
        <f t="array" ref="L1000">IFERROR(INDEX(Bookings!$K:$K,MATCH(A1000,Bookings!$A:$A,0)),"")</f>
        <v>4827</v>
      </c>
      <c r="M1000" s="5" t="str">
        <f t="shared" si="2"/>
        <v>Medium</v>
      </c>
      <c r="N1000" s="5" t="str">
        <f t="array" ref="N1000">IFERROR(INDEX(Bookings!$I:$I,MATCH(A1000,Bookings!$A:$A,0)),"")</f>
        <v/>
      </c>
      <c r="O1000" s="5" t="str">
        <f t="shared" si="3"/>
        <v>Last Minute</v>
      </c>
      <c r="P1000" s="5" t="str">
        <f t="shared" si="4"/>
        <v>Chennai -&gt; Delhi</v>
      </c>
    </row>
    <row r="1001" ht="15.75" customHeight="1">
      <c r="A1001" s="5" t="s">
        <v>2781</v>
      </c>
      <c r="B1001" s="5" t="s">
        <v>2284</v>
      </c>
      <c r="C1001" s="5" t="s">
        <v>699</v>
      </c>
      <c r="D1001" s="5" t="s">
        <v>72</v>
      </c>
      <c r="E1001" s="6" t="str">
        <f t="array" ref="E1001">IFERROR(INDEX(Airlines!$B:$B,MATCH(D1001,Airlines!$A:$A,0)),"")</f>
        <v>Spicejet</v>
      </c>
      <c r="F1001" s="6" t="str">
        <f>VLOOKUP(A1001,Bookings!$A:$F,6,FALSE())</f>
        <v>Economy</v>
      </c>
      <c r="G1001" s="6" t="str">
        <f t="array" ref="G1001">IFERROR(INDEX(Flights!$E:$E,MATCH(B1001,Flights!$A:$A,0)),"")</f>
        <v>Chennai</v>
      </c>
      <c r="H1001" s="6" t="str">
        <f>VLOOKUP(B1001,Flights!A:H,6,FALSE())</f>
        <v>Delhi</v>
      </c>
      <c r="I1001" s="6" t="str">
        <f t="array" ref="I1001">IFERROR(INDEX(Bookings!$G:$G,MATCH(B1001,Bookings!$B:$B,0)),"")</f>
        <v>1</v>
      </c>
      <c r="J1001" s="5">
        <f>VLOOKUP(B1001,Bookings!B:H,7,FALSE())</f>
        <v>24.17</v>
      </c>
      <c r="K1001" s="5" t="str">
        <f t="shared" si="1"/>
        <v>Long</v>
      </c>
      <c r="L1001" s="11">
        <f t="array" ref="L1001">IFERROR(INDEX(Bookings!$K:$K,MATCH(A1001,Bookings!$A:$A,0)),"")</f>
        <v>4876</v>
      </c>
      <c r="M1001" s="5" t="str">
        <f t="shared" si="2"/>
        <v>Medium</v>
      </c>
      <c r="N1001" s="5">
        <f t="array" ref="N1001">IFERROR(INDEX(Bookings!$I:$I,MATCH(A1001,Bookings!$A:$A,0)),"")</f>
        <v>46</v>
      </c>
      <c r="O1001" s="5" t="str">
        <f t="shared" si="3"/>
        <v>Advance</v>
      </c>
      <c r="P1001" s="5" t="str">
        <f t="shared" si="4"/>
        <v>Chennai -&gt; Delhi</v>
      </c>
    </row>
    <row r="1002" ht="15.75" customHeight="1">
      <c r="A1002" s="5" t="s">
        <v>2786</v>
      </c>
      <c r="B1002" s="5" t="s">
        <v>2221</v>
      </c>
      <c r="C1002" s="5" t="s">
        <v>699</v>
      </c>
      <c r="D1002" s="5" t="s">
        <v>45</v>
      </c>
      <c r="E1002" s="6" t="str">
        <f t="array" ref="E1002">IFERROR(INDEX(Airlines!$B:$B,MATCH(D1002,Airlines!$A:$A,0)),"")</f>
        <v>Air_India</v>
      </c>
      <c r="F1002" s="6" t="str">
        <f>VLOOKUP(A1002,Bookings!$A:$F,6,FALSE())</f>
        <v>Economy</v>
      </c>
      <c r="G1002" s="6" t="str">
        <f t="array" ref="G1002">IFERROR(INDEX(Flights!$E:$E,MATCH(B1002,Flights!$A:$A,0)),"")</f>
        <v>Chennai</v>
      </c>
      <c r="H1002" s="6" t="str">
        <f>VLOOKUP(B1002,Flights!A:H,6,FALSE())</f>
        <v>Delhi</v>
      </c>
      <c r="I1002" s="6" t="str">
        <f t="array" ref="I1002">IFERROR(INDEX(Bookings!$G:$G,MATCH(B1002,Bookings!$B:$B,0)),"")</f>
        <v>1</v>
      </c>
      <c r="J1002" s="5">
        <f>VLOOKUP(B1002,Bookings!B:H,7,FALSE())</f>
        <v>8.5</v>
      </c>
      <c r="K1002" s="5" t="str">
        <f t="shared" si="1"/>
        <v>Medium</v>
      </c>
      <c r="L1002" s="11">
        <f t="array" ref="L1002">IFERROR(INDEX(Bookings!$K:$K,MATCH(A1002,Bookings!$A:$A,0)),"")</f>
        <v>5601</v>
      </c>
      <c r="M1002" s="5" t="str">
        <f t="shared" si="2"/>
        <v>Medium</v>
      </c>
      <c r="N1002" s="5">
        <f t="array" ref="N1002">IFERROR(INDEX(Bookings!$I:$I,MATCH(A1002,Bookings!$A:$A,0)),"")</f>
        <v>49</v>
      </c>
      <c r="O1002" s="5" t="str">
        <f t="shared" si="3"/>
        <v>Advance</v>
      </c>
      <c r="P1002" s="5" t="str">
        <f t="shared" si="4"/>
        <v>Chennai -&gt; Delhi</v>
      </c>
    </row>
    <row r="1003" ht="15.75" customHeight="1">
      <c r="A1003" s="5" t="s">
        <v>2788</v>
      </c>
      <c r="B1003" s="5" t="s">
        <v>2177</v>
      </c>
      <c r="C1003" s="5" t="s">
        <v>699</v>
      </c>
      <c r="D1003" s="5" t="s">
        <v>45</v>
      </c>
      <c r="E1003" s="6" t="str">
        <f t="array" ref="E1003">IFERROR(INDEX(Airlines!$B:$B,MATCH(D1003,Airlines!$A:$A,0)),"")</f>
        <v>Air_India</v>
      </c>
      <c r="F1003" s="6" t="str">
        <f>VLOOKUP(A1003,Bookings!$A:$F,6,FALSE())</f>
        <v>Economy</v>
      </c>
      <c r="G1003" s="6" t="str">
        <f t="array" ref="G1003">IFERROR(INDEX(Flights!$E:$E,MATCH(B1003,Flights!$A:$A,0)),"")</f>
        <v>Chennai</v>
      </c>
      <c r="H1003" s="6" t="str">
        <f>VLOOKUP(B1003,Flights!A:H,6,FALSE())</f>
        <v>Delhi</v>
      </c>
      <c r="I1003" s="6" t="str">
        <f t="array" ref="I1003">IFERROR(INDEX(Bookings!$G:$G,MATCH(B1003,Bookings!$B:$B,0)),"")</f>
        <v>1</v>
      </c>
      <c r="J1003" s="5">
        <f>VLOOKUP(B1003,Bookings!B:H,7,FALSE())</f>
        <v>32.83</v>
      </c>
      <c r="K1003" s="5" t="str">
        <f t="shared" si="1"/>
        <v>Long</v>
      </c>
      <c r="L1003" s="11">
        <f t="array" ref="L1003">IFERROR(INDEX(Bookings!$K:$K,MATCH(A1003,Bookings!$A:$A,0)),"")</f>
        <v>6466</v>
      </c>
      <c r="M1003" s="5" t="str">
        <f t="shared" si="2"/>
        <v>Medium</v>
      </c>
      <c r="N1003" s="5">
        <f t="array" ref="N1003">IFERROR(INDEX(Bookings!$I:$I,MATCH(A1003,Bookings!$A:$A,0)),"")</f>
        <v>46</v>
      </c>
      <c r="O1003" s="5" t="str">
        <f t="shared" si="3"/>
        <v>Advance</v>
      </c>
      <c r="P1003" s="5" t="str">
        <f t="shared" si="4"/>
        <v>Chennai -&gt; Delhi</v>
      </c>
    </row>
    <row r="1004" ht="15.75" customHeight="1">
      <c r="A1004" s="5" t="s">
        <v>2789</v>
      </c>
      <c r="B1004" s="5" t="s">
        <v>2210</v>
      </c>
      <c r="C1004" s="5" t="s">
        <v>699</v>
      </c>
      <c r="D1004" s="5" t="s">
        <v>45</v>
      </c>
      <c r="E1004" s="6" t="str">
        <f t="array" ref="E1004">IFERROR(INDEX(Airlines!$B:$B,MATCH(D1004,Airlines!$A:$A,0)),"")</f>
        <v>Air_India</v>
      </c>
      <c r="F1004" s="6" t="str">
        <f>VLOOKUP(A1004,Bookings!$A:$F,6,FALSE())</f>
        <v>Business</v>
      </c>
      <c r="G1004" s="6" t="str">
        <f t="array" ref="G1004">IFERROR(INDEX(Flights!$E:$E,MATCH(B1004,Flights!$A:$A,0)),"")</f>
        <v>Chennai</v>
      </c>
      <c r="H1004" s="6" t="str">
        <f>VLOOKUP(B1004,Flights!A:H,6,FALSE())</f>
        <v>Delhi</v>
      </c>
      <c r="I1004" s="6" t="str">
        <f t="array" ref="I1004">IFERROR(INDEX(Bookings!$G:$G,MATCH(B1004,Bookings!$B:$B,0)),"")</f>
        <v>1</v>
      </c>
      <c r="J1004" s="5">
        <f>VLOOKUP(B1004,Bookings!B:H,7,FALSE())</f>
        <v>22.67</v>
      </c>
      <c r="K1004" s="5" t="str">
        <f t="shared" si="1"/>
        <v>Long</v>
      </c>
      <c r="L1004" s="11">
        <f t="array" ref="L1004">IFERROR(INDEX(Bookings!$K:$K,MATCH(A1004,Bookings!$A:$A,0)),"")</f>
        <v>44468</v>
      </c>
      <c r="M1004" s="5" t="str">
        <f t="shared" si="2"/>
        <v>High</v>
      </c>
      <c r="N1004" s="5">
        <f t="array" ref="N1004">IFERROR(INDEX(Bookings!$I:$I,MATCH(A1004,Bookings!$A:$A,0)),"")</f>
        <v>47</v>
      </c>
      <c r="O1004" s="5" t="str">
        <f t="shared" si="3"/>
        <v>Advance</v>
      </c>
      <c r="P1004" s="5" t="str">
        <f t="shared" si="4"/>
        <v>Chennai -&gt; Delhi</v>
      </c>
    </row>
    <row r="1005" ht="15.75" customHeight="1">
      <c r="A1005" s="5" t="s">
        <v>2792</v>
      </c>
      <c r="B1005" s="5" t="s">
        <v>2257</v>
      </c>
      <c r="C1005" s="5" t="s">
        <v>699</v>
      </c>
      <c r="D1005" s="5" t="s">
        <v>45</v>
      </c>
      <c r="E1005" s="6" t="str">
        <f t="array" ref="E1005">IFERROR(INDEX(Airlines!$B:$B,MATCH(D1005,Airlines!$A:$A,0)),"")</f>
        <v>Air_India</v>
      </c>
      <c r="F1005" s="6" t="str">
        <f>VLOOKUP(A1005,Bookings!$A:$F,6,FALSE())</f>
        <v>Economy</v>
      </c>
      <c r="G1005" s="6" t="str">
        <f t="array" ref="G1005">IFERROR(INDEX(Flights!$E:$E,MATCH(B1005,Flights!$A:$A,0)),"")</f>
        <v>Chennai</v>
      </c>
      <c r="H1005" s="6" t="str">
        <f>VLOOKUP(B1005,Flights!A:H,6,FALSE())</f>
        <v>Delhi</v>
      </c>
      <c r="I1005" s="6" t="str">
        <f t="array" ref="I1005">IFERROR(INDEX(Bookings!$G:$G,MATCH(B1005,Bookings!$B:$B,0)),"")</f>
        <v>1</v>
      </c>
      <c r="J1005" s="5">
        <f>VLOOKUP(B1005,Bookings!B:H,7,FALSE())</f>
        <v>41.08</v>
      </c>
      <c r="K1005" s="5" t="str">
        <f t="shared" si="1"/>
        <v>Long</v>
      </c>
      <c r="L1005" s="11">
        <f t="array" ref="L1005">IFERROR(INDEX(Bookings!$K:$K,MATCH(A1005,Bookings!$A:$A,0)),"")</f>
        <v>5601</v>
      </c>
      <c r="M1005" s="5" t="str">
        <f t="shared" si="2"/>
        <v>Medium</v>
      </c>
      <c r="N1005" s="5">
        <f t="array" ref="N1005">IFERROR(INDEX(Bookings!$I:$I,MATCH(A1005,Bookings!$A:$A,0)),"")</f>
        <v>49</v>
      </c>
      <c r="O1005" s="5" t="str">
        <f t="shared" si="3"/>
        <v>Advance</v>
      </c>
      <c r="P1005" s="5" t="str">
        <f t="shared" si="4"/>
        <v>Chennai -&gt; Delhi</v>
      </c>
    </row>
    <row r="1006" ht="15.75" customHeight="1">
      <c r="A1006" s="5" t="s">
        <v>2793</v>
      </c>
      <c r="B1006" s="5" t="s">
        <v>2347</v>
      </c>
      <c r="C1006" s="5" t="s">
        <v>723</v>
      </c>
      <c r="D1006" s="5" t="s">
        <v>43</v>
      </c>
      <c r="E1006" s="6" t="str">
        <f t="array" ref="E1006">IFERROR(INDEX(Airlines!$B:$B,MATCH(D1006,Airlines!$A:$A,0)),"")</f>
        <v>Indigo</v>
      </c>
      <c r="F1006" s="6" t="str">
        <f>VLOOKUP(A1006,Bookings!$A:$F,6,FALSE())</f>
        <v>Economy</v>
      </c>
      <c r="G1006" s="6" t="str">
        <f t="array" ref="G1006">IFERROR(INDEX(Flights!$E:$E,MATCH(B1006,Flights!$A:$A,0)),"")</f>
        <v>Chennai</v>
      </c>
      <c r="H1006" s="6" t="str">
        <f>VLOOKUP(B1006,Flights!A:H,6,FALSE())</f>
        <v>Mumbai</v>
      </c>
      <c r="I1006" s="6" t="str">
        <f t="array" ref="I1006">IFERROR(INDEX(Bookings!$G:$G,MATCH(B1006,Bookings!$B:$B,0)),"")</f>
        <v>1</v>
      </c>
      <c r="J1006" s="5">
        <f>VLOOKUP(B1006,Bookings!B:H,7,FALSE())</f>
        <v>6.5</v>
      </c>
      <c r="K1006" s="5" t="str">
        <f t="shared" si="1"/>
        <v>Medium</v>
      </c>
      <c r="L1006" s="11">
        <f t="array" ref="L1006">IFERROR(INDEX(Bookings!$K:$K,MATCH(A1006,Bookings!$A:$A,0)),"")</f>
        <v>11660</v>
      </c>
      <c r="M1006" s="5" t="str">
        <f t="shared" si="2"/>
        <v>Medium</v>
      </c>
      <c r="N1006" s="5">
        <f t="array" ref="N1006">IFERROR(INDEX(Bookings!$I:$I,MATCH(A1006,Bookings!$A:$A,0)),"")</f>
        <v>38</v>
      </c>
      <c r="O1006" s="5" t="str">
        <f t="shared" si="3"/>
        <v>Advance</v>
      </c>
      <c r="P1006" s="5" t="str">
        <f t="shared" si="4"/>
        <v>Chennai -&gt; Mumbai</v>
      </c>
    </row>
    <row r="1007" ht="15.75" customHeight="1">
      <c r="A1007" s="5" t="s">
        <v>2796</v>
      </c>
      <c r="B1007" s="5" t="s">
        <v>2373</v>
      </c>
      <c r="C1007" s="5" t="s">
        <v>723</v>
      </c>
      <c r="D1007" s="5" t="s">
        <v>72</v>
      </c>
      <c r="E1007" s="6" t="str">
        <f t="array" ref="E1007">IFERROR(INDEX(Airlines!$B:$B,MATCH(D1007,Airlines!$A:$A,0)),"")</f>
        <v>Spicejet</v>
      </c>
      <c r="F1007" s="6" t="str">
        <f>VLOOKUP(A1007,Bookings!$A:$F,6,FALSE())</f>
        <v>Economy</v>
      </c>
      <c r="G1007" s="6" t="str">
        <f t="array" ref="G1007">IFERROR(INDEX(Flights!$E:$E,MATCH(B1007,Flights!$A:$A,0)),"")</f>
        <v>Chennai</v>
      </c>
      <c r="H1007" s="6" t="str">
        <f>VLOOKUP(B1007,Flights!A:H,6,FALSE())</f>
        <v>Mumbai</v>
      </c>
      <c r="I1007" s="6" t="str">
        <f t="array" ref="I1007">IFERROR(INDEX(Bookings!$G:$G,MATCH(B1007,Bookings!$B:$B,0)),"")</f>
        <v>0</v>
      </c>
      <c r="J1007" s="5">
        <f>VLOOKUP(B1007,Bookings!B:H,7,FALSE())</f>
        <v>2</v>
      </c>
      <c r="K1007" s="5" t="str">
        <f t="shared" si="1"/>
        <v>Short</v>
      </c>
      <c r="L1007" s="11">
        <f t="array" ref="L1007">IFERROR(INDEX(Bookings!$K:$K,MATCH(A1007,Bookings!$A:$A,0)),"")</f>
        <v>3000</v>
      </c>
      <c r="M1007" s="5" t="str">
        <f t="shared" si="2"/>
        <v>Low</v>
      </c>
      <c r="N1007" s="5">
        <f t="array" ref="N1007">IFERROR(INDEX(Bookings!$I:$I,MATCH(A1007,Bookings!$A:$A,0)),"")</f>
        <v>39</v>
      </c>
      <c r="O1007" s="5" t="str">
        <f t="shared" si="3"/>
        <v>Advance</v>
      </c>
      <c r="P1007" s="5" t="str">
        <f t="shared" si="4"/>
        <v>Chennai -&gt; Mumbai</v>
      </c>
    </row>
    <row r="1008" ht="15.75" customHeight="1">
      <c r="A1008" s="5" t="s">
        <v>2797</v>
      </c>
      <c r="B1008" s="5" t="s">
        <v>2341</v>
      </c>
      <c r="C1008" s="5" t="s">
        <v>723</v>
      </c>
      <c r="D1008" s="5" t="s">
        <v>43</v>
      </c>
      <c r="E1008" s="6" t="str">
        <f t="array" ref="E1008">IFERROR(INDEX(Airlines!$B:$B,MATCH(D1008,Airlines!$A:$A,0)),"")</f>
        <v>Indigo</v>
      </c>
      <c r="F1008" s="6" t="str">
        <f>VLOOKUP(A1008,Bookings!$A:$F,6,FALSE())</f>
        <v>Economy</v>
      </c>
      <c r="G1008" s="6" t="str">
        <f t="array" ref="G1008">IFERROR(INDEX(Flights!$E:$E,MATCH(B1008,Flights!$A:$A,0)),"")</f>
        <v>Chennai</v>
      </c>
      <c r="H1008" s="6" t="str">
        <f>VLOOKUP(B1008,Flights!A:H,6,FALSE())</f>
        <v>Mumbai</v>
      </c>
      <c r="I1008" s="6" t="str">
        <f t="array" ref="I1008">IFERROR(INDEX(Bookings!$G:$G,MATCH(B1008,Bookings!$B:$B,0)),"")</f>
        <v>1</v>
      </c>
      <c r="J1008" s="5">
        <f>VLOOKUP(B1008,Bookings!B:H,7,FALSE())</f>
        <v>7.25</v>
      </c>
      <c r="K1008" s="5" t="str">
        <f t="shared" si="1"/>
        <v>Medium</v>
      </c>
      <c r="L1008" s="11">
        <f t="array" ref="L1008">IFERROR(INDEX(Bookings!$K:$K,MATCH(A1008,Bookings!$A:$A,0)),"")</f>
        <v>1830</v>
      </c>
      <c r="M1008" s="5" t="str">
        <f t="shared" si="2"/>
        <v>Low</v>
      </c>
      <c r="N1008" s="5">
        <f t="array" ref="N1008">IFERROR(INDEX(Bookings!$I:$I,MATCH(A1008,Bookings!$A:$A,0)),"")</f>
        <v>39</v>
      </c>
      <c r="O1008" s="5" t="str">
        <f t="shared" si="3"/>
        <v>Advance</v>
      </c>
      <c r="P1008" s="5" t="str">
        <f t="shared" si="4"/>
        <v>Chennai -&gt; Mumbai</v>
      </c>
    </row>
    <row r="1009" ht="15.75" customHeight="1">
      <c r="A1009" s="5" t="s">
        <v>2799</v>
      </c>
      <c r="B1009" s="5" t="s">
        <v>2385</v>
      </c>
      <c r="C1009" s="5" t="s">
        <v>723</v>
      </c>
      <c r="D1009" s="5" t="s">
        <v>45</v>
      </c>
      <c r="E1009" s="6" t="str">
        <f t="array" ref="E1009">IFERROR(INDEX(Airlines!$B:$B,MATCH(D1009,Airlines!$A:$A,0)),"")</f>
        <v>Air_India</v>
      </c>
      <c r="F1009" s="6" t="str">
        <f>VLOOKUP(A1009,Bookings!$A:$F,6,FALSE())</f>
        <v>Economy</v>
      </c>
      <c r="G1009" s="6" t="str">
        <f t="array" ref="G1009">IFERROR(INDEX(Flights!$E:$E,MATCH(B1009,Flights!$A:$A,0)),"")</f>
        <v>Chennai</v>
      </c>
      <c r="H1009" s="6" t="str">
        <f>VLOOKUP(B1009,Flights!A:H,6,FALSE())</f>
        <v>Mumbai</v>
      </c>
      <c r="I1009" s="6" t="str">
        <f t="array" ref="I1009">IFERROR(INDEX(Bookings!$G:$G,MATCH(B1009,Bookings!$B:$B,0)),"")</f>
        <v>1</v>
      </c>
      <c r="J1009" s="5">
        <f>VLOOKUP(B1009,Bookings!B:H,7,FALSE())</f>
        <v>25.08</v>
      </c>
      <c r="K1009" s="5" t="str">
        <f t="shared" si="1"/>
        <v>Long</v>
      </c>
      <c r="L1009" s="11">
        <f t="array" ref="L1009">IFERROR(INDEX(Bookings!$K:$K,MATCH(A1009,Bookings!$A:$A,0)),"")</f>
        <v>13128</v>
      </c>
      <c r="M1009" s="5" t="str">
        <f t="shared" si="2"/>
        <v>Medium</v>
      </c>
      <c r="N1009" s="5">
        <f t="array" ref="N1009">IFERROR(INDEX(Bookings!$I:$I,MATCH(A1009,Bookings!$A:$A,0)),"")</f>
        <v>2</v>
      </c>
      <c r="O1009" s="5" t="str">
        <f t="shared" si="3"/>
        <v>Last Minute</v>
      </c>
      <c r="P1009" s="5" t="str">
        <f t="shared" si="4"/>
        <v>Chennai -&gt; Mumbai</v>
      </c>
    </row>
    <row r="1010" ht="15.75" customHeight="1">
      <c r="A1010" s="5" t="s">
        <v>2800</v>
      </c>
      <c r="B1010" s="5" t="s">
        <v>2320</v>
      </c>
      <c r="C1010" s="5" t="s">
        <v>723</v>
      </c>
      <c r="D1010" s="5" t="s">
        <v>20</v>
      </c>
      <c r="E1010" s="6" t="str">
        <f t="array" ref="E1010">IFERROR(INDEX(Airlines!$B:$B,MATCH(D1010,Airlines!$A:$A,0)),"")</f>
        <v>Vistara</v>
      </c>
      <c r="F1010" s="6" t="str">
        <f>VLOOKUP(A1010,Bookings!$A:$F,6,FALSE())</f>
        <v>Economy</v>
      </c>
      <c r="G1010" s="6" t="str">
        <f t="array" ref="G1010">IFERROR(INDEX(Flights!$E:$E,MATCH(B1010,Flights!$A:$A,0)),"")</f>
        <v>Chennai</v>
      </c>
      <c r="H1010" s="6" t="str">
        <f>VLOOKUP(B1010,Flights!A:H,6,FALSE())</f>
        <v>Mumbai</v>
      </c>
      <c r="I1010" s="6" t="str">
        <f t="array" ref="I1010">IFERROR(INDEX(Bookings!$G:$G,MATCH(B1010,Bookings!$B:$B,0)),"")</f>
        <v>1</v>
      </c>
      <c r="J1010" s="5">
        <f>VLOOKUP(B1010,Bookings!B:H,7,FALSE())</f>
        <v>15.5</v>
      </c>
      <c r="K1010" s="5" t="str">
        <f t="shared" si="1"/>
        <v>Long</v>
      </c>
      <c r="L1010" s="11">
        <f t="array" ref="L1010">IFERROR(INDEX(Bookings!$K:$K,MATCH(A1010,Bookings!$A:$A,0)),"")</f>
        <v>4637</v>
      </c>
      <c r="M1010" s="5" t="str">
        <f t="shared" si="2"/>
        <v>Medium</v>
      </c>
      <c r="N1010" s="5">
        <f t="array" ref="N1010">IFERROR(INDEX(Bookings!$I:$I,MATCH(A1010,Bookings!$A:$A,0)),"")</f>
        <v>45</v>
      </c>
      <c r="O1010" s="5" t="str">
        <f t="shared" si="3"/>
        <v>Advance</v>
      </c>
      <c r="P1010" s="5" t="str">
        <f t="shared" si="4"/>
        <v>Chennai -&gt; Mumbai</v>
      </c>
    </row>
    <row r="1011" ht="15.75" customHeight="1">
      <c r="A1011" s="5" t="s">
        <v>2801</v>
      </c>
      <c r="B1011" s="5" t="s">
        <v>2308</v>
      </c>
      <c r="C1011" s="5" t="s">
        <v>723</v>
      </c>
      <c r="D1011" s="5" t="s">
        <v>20</v>
      </c>
      <c r="E1011" s="6" t="str">
        <f t="array" ref="E1011">IFERROR(INDEX(Airlines!$B:$B,MATCH(D1011,Airlines!$A:$A,0)),"")</f>
        <v>Vistara</v>
      </c>
      <c r="F1011" s="6" t="str">
        <f>VLOOKUP(A1011,Bookings!$A:$F,6,FALSE())</f>
        <v>Business</v>
      </c>
      <c r="G1011" s="6" t="str">
        <f t="array" ref="G1011">IFERROR(INDEX(Flights!$E:$E,MATCH(B1011,Flights!$A:$A,0)),"")</f>
        <v>Chennai</v>
      </c>
      <c r="H1011" s="6" t="str">
        <f>VLOOKUP(B1011,Flights!A:H,6,FALSE())</f>
        <v>Mumbai</v>
      </c>
      <c r="I1011" s="6" t="str">
        <f t="array" ref="I1011">IFERROR(INDEX(Bookings!$G:$G,MATCH(B1011,Bookings!$B:$B,0)),"")</f>
        <v>1</v>
      </c>
      <c r="J1011" s="5">
        <f>VLOOKUP(B1011,Bookings!B:H,7,FALSE())</f>
        <v>9.33</v>
      </c>
      <c r="K1011" s="5" t="str">
        <f t="shared" si="1"/>
        <v>Medium</v>
      </c>
      <c r="L1011" s="11">
        <f t="array" ref="L1011">IFERROR(INDEX(Bookings!$K:$K,MATCH(A1011,Bookings!$A:$A,0)),"")</f>
        <v>64113</v>
      </c>
      <c r="M1011" s="5" t="str">
        <f t="shared" si="2"/>
        <v>High</v>
      </c>
      <c r="N1011" s="5">
        <f t="array" ref="N1011">IFERROR(INDEX(Bookings!$I:$I,MATCH(A1011,Bookings!$A:$A,0)),"")</f>
        <v>38</v>
      </c>
      <c r="O1011" s="5" t="str">
        <f t="shared" si="3"/>
        <v>Advance</v>
      </c>
      <c r="P1011" s="5" t="str">
        <f t="shared" si="4"/>
        <v>Chennai -&gt; Mumbai</v>
      </c>
    </row>
    <row r="1012" ht="15.75" customHeight="1">
      <c r="A1012" s="5" t="s">
        <v>2803</v>
      </c>
      <c r="B1012" s="5" t="s">
        <v>2302</v>
      </c>
      <c r="C1012" s="5" t="s">
        <v>723</v>
      </c>
      <c r="D1012" s="5" t="s">
        <v>20</v>
      </c>
      <c r="E1012" s="6" t="str">
        <f t="array" ref="E1012">IFERROR(INDEX(Airlines!$B:$B,MATCH(D1012,Airlines!$A:$A,0)),"")</f>
        <v>Vistara</v>
      </c>
      <c r="F1012" s="6" t="str">
        <f>VLOOKUP(A1012,Bookings!$A:$F,6,FALSE())</f>
        <v>Economy</v>
      </c>
      <c r="G1012" s="6" t="str">
        <f t="array" ref="G1012">IFERROR(INDEX(Flights!$E:$E,MATCH(B1012,Flights!$A:$A,0)),"")</f>
        <v>Chennai</v>
      </c>
      <c r="H1012" s="6" t="str">
        <f>VLOOKUP(B1012,Flights!A:H,6,FALSE())</f>
        <v>Mumbai</v>
      </c>
      <c r="I1012" s="6" t="str">
        <f t="array" ref="I1012">IFERROR(INDEX(Bookings!$G:$G,MATCH(B1012,Bookings!$B:$B,0)),"")</f>
        <v>1</v>
      </c>
      <c r="J1012" s="5">
        <f>VLOOKUP(B1012,Bookings!B:H,7,FALSE())</f>
        <v>18.42</v>
      </c>
      <c r="K1012" s="5" t="str">
        <f t="shared" si="1"/>
        <v>Long</v>
      </c>
      <c r="L1012" s="11">
        <f t="array" ref="L1012">IFERROR(INDEX(Bookings!$K:$K,MATCH(A1012,Bookings!$A:$A,0)),"")</f>
        <v>5054</v>
      </c>
      <c r="M1012" s="5" t="str">
        <f t="shared" si="2"/>
        <v>Medium</v>
      </c>
      <c r="N1012" s="5">
        <f t="array" ref="N1012">IFERROR(INDEX(Bookings!$I:$I,MATCH(A1012,Bookings!$A:$A,0)),"")</f>
        <v>20</v>
      </c>
      <c r="O1012" s="5" t="str">
        <f t="shared" si="3"/>
        <v>Moderate</v>
      </c>
      <c r="P1012" s="5" t="str">
        <f t="shared" si="4"/>
        <v>Chennai -&gt; Mumbai</v>
      </c>
    </row>
    <row r="1013" ht="15.75" customHeight="1">
      <c r="A1013" s="5" t="s">
        <v>2806</v>
      </c>
      <c r="B1013" s="5" t="s">
        <v>2379</v>
      </c>
      <c r="C1013" s="5" t="s">
        <v>723</v>
      </c>
      <c r="D1013" s="5" t="s">
        <v>20</v>
      </c>
      <c r="E1013" s="6" t="str">
        <f t="array" ref="E1013">IFERROR(INDEX(Airlines!$B:$B,MATCH(D1013,Airlines!$A:$A,0)),"")</f>
        <v>Vistara</v>
      </c>
      <c r="F1013" s="6" t="str">
        <f>VLOOKUP(A1013,Bookings!$A:$F,6,FALSE())</f>
        <v>Economy</v>
      </c>
      <c r="G1013" s="6" t="str">
        <f t="array" ref="G1013">IFERROR(INDEX(Flights!$E:$E,MATCH(B1013,Flights!$A:$A,0)),"")</f>
        <v>Chennai</v>
      </c>
      <c r="H1013" s="6" t="str">
        <f>VLOOKUP(B1013,Flights!A:H,6,FALSE())</f>
        <v>Mumbai</v>
      </c>
      <c r="I1013" s="6" t="str">
        <f t="array" ref="I1013">IFERROR(INDEX(Bookings!$G:$G,MATCH(B1013,Bookings!$B:$B,0)),"")</f>
        <v>1</v>
      </c>
      <c r="J1013" s="5">
        <f>VLOOKUP(B1013,Bookings!B:H,7,FALSE())</f>
        <v>20.58</v>
      </c>
      <c r="K1013" s="5" t="str">
        <f t="shared" si="1"/>
        <v>Long</v>
      </c>
      <c r="L1013" s="11">
        <f t="array" ref="L1013">IFERROR(INDEX(Bookings!$K:$K,MATCH(A1013,Bookings!$A:$A,0)),"")</f>
        <v>4294</v>
      </c>
      <c r="M1013" s="5" t="str">
        <f t="shared" si="2"/>
        <v>Low</v>
      </c>
      <c r="N1013" s="5">
        <f t="array" ref="N1013">IFERROR(INDEX(Bookings!$I:$I,MATCH(A1013,Bookings!$A:$A,0)),"")</f>
        <v>46</v>
      </c>
      <c r="O1013" s="5" t="str">
        <f t="shared" si="3"/>
        <v>Advance</v>
      </c>
      <c r="P1013" s="5" t="str">
        <f t="shared" si="4"/>
        <v>Chennai -&gt; Mumbai</v>
      </c>
    </row>
    <row r="1014" ht="15.75" customHeight="1">
      <c r="A1014" s="5" t="s">
        <v>2807</v>
      </c>
      <c r="B1014" s="5" t="s">
        <v>2335</v>
      </c>
      <c r="C1014" s="5" t="s">
        <v>723</v>
      </c>
      <c r="D1014" s="5" t="s">
        <v>20</v>
      </c>
      <c r="E1014" s="6" t="str">
        <f t="array" ref="E1014">IFERROR(INDEX(Airlines!$B:$B,MATCH(D1014,Airlines!$A:$A,0)),"")</f>
        <v>Vistara</v>
      </c>
      <c r="F1014" s="6" t="str">
        <f>VLOOKUP(A1014,Bookings!$A:$F,6,FALSE())</f>
        <v>Business</v>
      </c>
      <c r="G1014" s="6" t="str">
        <f t="array" ref="G1014">IFERROR(INDEX(Flights!$E:$E,MATCH(B1014,Flights!$A:$A,0)),"")</f>
        <v>Chennai</v>
      </c>
      <c r="H1014" s="6" t="str">
        <f>VLOOKUP(B1014,Flights!A:H,6,FALSE())</f>
        <v>Mumbai</v>
      </c>
      <c r="I1014" s="6" t="str">
        <f t="array" ref="I1014">IFERROR(INDEX(Bookings!$G:$G,MATCH(B1014,Bookings!$B:$B,0)),"")</f>
        <v>1</v>
      </c>
      <c r="J1014" s="5">
        <f>VLOOKUP(B1014,Bookings!B:H,7,FALSE())</f>
        <v>13.17</v>
      </c>
      <c r="K1014" s="5" t="str">
        <f t="shared" si="1"/>
        <v>Long</v>
      </c>
      <c r="L1014" s="11">
        <f t="array" ref="L1014">IFERROR(INDEX(Bookings!$K:$K,MATCH(A1014,Bookings!$A:$A,0)),"")</f>
        <v>64113</v>
      </c>
      <c r="M1014" s="5" t="str">
        <f t="shared" si="2"/>
        <v>High</v>
      </c>
      <c r="N1014" s="5">
        <f t="array" ref="N1014">IFERROR(INDEX(Bookings!$I:$I,MATCH(A1014,Bookings!$A:$A,0)),"")</f>
        <v>23</v>
      </c>
      <c r="O1014" s="5" t="str">
        <f t="shared" si="3"/>
        <v>Moderate</v>
      </c>
      <c r="P1014" s="5" t="str">
        <f t="shared" si="4"/>
        <v>Chennai -&gt; Mumbai</v>
      </c>
    </row>
    <row r="1015" ht="15.75" customHeight="1">
      <c r="A1015" s="5" t="s">
        <v>2809</v>
      </c>
      <c r="B1015" s="5" t="s">
        <v>2353</v>
      </c>
      <c r="C1015" s="5" t="s">
        <v>723</v>
      </c>
      <c r="D1015" s="5" t="s">
        <v>45</v>
      </c>
      <c r="E1015" s="6" t="str">
        <f t="array" ref="E1015">IFERROR(INDEX(Airlines!$B:$B,MATCH(D1015,Airlines!$A:$A,0)),"")</f>
        <v>Air_India</v>
      </c>
      <c r="F1015" s="6" t="str">
        <f>VLOOKUP(A1015,Bookings!$A:$F,6,FALSE())</f>
        <v>Economy</v>
      </c>
      <c r="G1015" s="6" t="str">
        <f t="array" ref="G1015">IFERROR(INDEX(Flights!$E:$E,MATCH(B1015,Flights!$A:$A,0)),"")</f>
        <v>Chennai</v>
      </c>
      <c r="H1015" s="6" t="str">
        <f>VLOOKUP(B1015,Flights!A:H,6,FALSE())</f>
        <v>Mumbai</v>
      </c>
      <c r="I1015" s="6">
        <f t="array" ref="I1015">IFERROR(INDEX(Bookings!$G:$G,MATCH(B1015,Bookings!$B:$B,0)),"")</f>
        <v>1</v>
      </c>
      <c r="J1015" s="5">
        <f>VLOOKUP(B1015,Bookings!B:H,7,FALSE())</f>
        <v>12.25</v>
      </c>
      <c r="K1015" s="5" t="str">
        <f t="shared" si="1"/>
        <v>Long</v>
      </c>
      <c r="L1015" s="11">
        <f t="array" ref="L1015">IFERROR(INDEX(Bookings!$K:$K,MATCH(A1015,Bookings!$A:$A,0)),"")</f>
        <v>4357</v>
      </c>
      <c r="M1015" s="5" t="str">
        <f t="shared" si="2"/>
        <v>Low</v>
      </c>
      <c r="N1015" s="5">
        <f t="array" ref="N1015">IFERROR(INDEX(Bookings!$I:$I,MATCH(A1015,Bookings!$A:$A,0)),"")</f>
        <v>45</v>
      </c>
      <c r="O1015" s="5" t="str">
        <f t="shared" si="3"/>
        <v>Advance</v>
      </c>
      <c r="P1015" s="5" t="str">
        <f t="shared" si="4"/>
        <v>Chennai -&gt; Mumbai</v>
      </c>
    </row>
    <row r="1016" ht="15.75" customHeight="1">
      <c r="A1016" s="5" t="s">
        <v>2812</v>
      </c>
      <c r="B1016" s="5" t="s">
        <v>2364</v>
      </c>
      <c r="C1016" s="5" t="s">
        <v>723</v>
      </c>
      <c r="D1016" s="5" t="s">
        <v>43</v>
      </c>
      <c r="E1016" s="6" t="str">
        <f t="array" ref="E1016">IFERROR(INDEX(Airlines!$B:$B,MATCH(D1016,Airlines!$A:$A,0)),"")</f>
        <v>Indigo</v>
      </c>
      <c r="F1016" s="6" t="str">
        <f>VLOOKUP(A1016,Bookings!$A:$F,6,FALSE())</f>
        <v>Economy</v>
      </c>
      <c r="G1016" s="6" t="str">
        <f t="array" ref="G1016">IFERROR(INDEX(Flights!$E:$E,MATCH(B1016,Flights!$A:$A,0)),"")</f>
        <v>Chennai</v>
      </c>
      <c r="H1016" s="6" t="str">
        <f>VLOOKUP(B1016,Flights!A:H,6,FALSE())</f>
        <v>Mumbai</v>
      </c>
      <c r="I1016" s="6" t="str">
        <f t="array" ref="I1016">IFERROR(INDEX(Bookings!$G:$G,MATCH(B1016,Bookings!$B:$B,0)),"")</f>
        <v>1</v>
      </c>
      <c r="J1016" s="5">
        <f>VLOOKUP(B1016,Bookings!B:H,7,FALSE())</f>
        <v>6.75</v>
      </c>
      <c r="K1016" s="5" t="str">
        <f t="shared" si="1"/>
        <v>Medium</v>
      </c>
      <c r="L1016" s="11">
        <f t="array" ref="L1016">IFERROR(INDEX(Bookings!$K:$K,MATCH(A1016,Bookings!$A:$A,0)),"")</f>
        <v>1830</v>
      </c>
      <c r="M1016" s="5" t="str">
        <f t="shared" si="2"/>
        <v>Low</v>
      </c>
      <c r="N1016" s="5">
        <f t="array" ref="N1016">IFERROR(INDEX(Bookings!$I:$I,MATCH(A1016,Bookings!$A:$A,0)),"")</f>
        <v>39</v>
      </c>
      <c r="O1016" s="5" t="str">
        <f t="shared" si="3"/>
        <v>Advance</v>
      </c>
      <c r="P1016" s="5" t="str">
        <f t="shared" si="4"/>
        <v>Chennai -&gt; Mumbai</v>
      </c>
    </row>
    <row r="1017" ht="15.75" customHeight="1">
      <c r="A1017" s="5" t="s">
        <v>2814</v>
      </c>
      <c r="B1017" s="5" t="s">
        <v>2358</v>
      </c>
      <c r="C1017" s="5" t="s">
        <v>723</v>
      </c>
      <c r="D1017" s="5" t="s">
        <v>45</v>
      </c>
      <c r="E1017" s="6" t="str">
        <f t="array" ref="E1017">IFERROR(INDEX(Airlines!$B:$B,MATCH(D1017,Airlines!$A:$A,0)),"")</f>
        <v>Air_India</v>
      </c>
      <c r="F1017" s="6" t="str">
        <f>VLOOKUP(A1017,Bookings!$A:$F,6,FALSE())</f>
        <v>Business</v>
      </c>
      <c r="G1017" s="6" t="str">
        <f t="array" ref="G1017">IFERROR(INDEX(Flights!$E:$E,MATCH(B1017,Flights!$A:$A,0)),"")</f>
        <v>Chennai</v>
      </c>
      <c r="H1017" s="6" t="str">
        <f>VLOOKUP(B1017,Flights!A:H,6,FALSE())</f>
        <v>Mumbai</v>
      </c>
      <c r="I1017" s="6" t="str">
        <f t="array" ref="I1017">IFERROR(INDEX(Bookings!$G:$G,MATCH(B1017,Bookings!$B:$B,0)),"")</f>
        <v>1</v>
      </c>
      <c r="J1017" s="5">
        <f>VLOOKUP(B1017,Bookings!B:H,7,FALSE())</f>
        <v>13.83</v>
      </c>
      <c r="K1017" s="5" t="str">
        <f t="shared" si="1"/>
        <v>Long</v>
      </c>
      <c r="L1017" s="11">
        <f t="array" ref="L1017">IFERROR(INDEX(Bookings!$K:$K,MATCH(A1017,Bookings!$A:$A,0)),"")</f>
        <v>49553</v>
      </c>
      <c r="M1017" s="5" t="str">
        <f t="shared" si="2"/>
        <v>High</v>
      </c>
      <c r="N1017" s="5">
        <f t="array" ref="N1017">IFERROR(INDEX(Bookings!$I:$I,MATCH(A1017,Bookings!$A:$A,0)),"")</f>
        <v>34</v>
      </c>
      <c r="O1017" s="5" t="str">
        <f t="shared" si="3"/>
        <v>Advance</v>
      </c>
      <c r="P1017" s="5" t="str">
        <f t="shared" si="4"/>
        <v>Chennai -&gt; Mumbai</v>
      </c>
    </row>
    <row r="1018" ht="15.75" customHeight="1">
      <c r="A1018" s="5" t="s">
        <v>2817</v>
      </c>
      <c r="B1018" s="5" t="s">
        <v>2390</v>
      </c>
      <c r="C1018" s="5" t="s">
        <v>723</v>
      </c>
      <c r="D1018" s="5" t="s">
        <v>20</v>
      </c>
      <c r="E1018" s="6" t="str">
        <f t="array" ref="E1018">IFERROR(INDEX(Airlines!$B:$B,MATCH(D1018,Airlines!$A:$A,0)),"")</f>
        <v>Vistara</v>
      </c>
      <c r="F1018" s="6" t="str">
        <f>VLOOKUP(A1018,Bookings!$A:$F,6,FALSE())</f>
        <v>Economy</v>
      </c>
      <c r="G1018" s="6" t="str">
        <f t="array" ref="G1018">IFERROR(INDEX(Flights!$E:$E,MATCH(B1018,Flights!$A:$A,0)),"")</f>
        <v>Chennai</v>
      </c>
      <c r="H1018" s="6" t="str">
        <f>VLOOKUP(B1018,Flights!A:H,6,FALSE())</f>
        <v>Mumbai</v>
      </c>
      <c r="I1018" s="6" t="str">
        <f t="array" ref="I1018">IFERROR(INDEX(Bookings!$G:$G,MATCH(B1018,Bookings!$B:$B,0)),"")</f>
        <v>1</v>
      </c>
      <c r="J1018" s="5">
        <f>VLOOKUP(B1018,Bookings!B:H,7,FALSE())</f>
        <v>9.5</v>
      </c>
      <c r="K1018" s="5" t="str">
        <f t="shared" si="1"/>
        <v>Medium</v>
      </c>
      <c r="L1018" s="11">
        <f t="array" ref="L1018">IFERROR(INDEX(Bookings!$K:$K,MATCH(A1018,Bookings!$A:$A,0)),"")</f>
        <v>8233</v>
      </c>
      <c r="M1018" s="5" t="str">
        <f t="shared" si="2"/>
        <v>Medium</v>
      </c>
      <c r="N1018" s="5">
        <f t="array" ref="N1018">IFERROR(INDEX(Bookings!$I:$I,MATCH(A1018,Bookings!$A:$A,0)),"")</f>
        <v>33</v>
      </c>
      <c r="O1018" s="5" t="str">
        <f t="shared" si="3"/>
        <v>Advance</v>
      </c>
      <c r="P1018" s="5" t="str">
        <f t="shared" si="4"/>
        <v>Chennai -&gt; Mumbai</v>
      </c>
    </row>
    <row r="1019" ht="15.75" customHeight="1">
      <c r="A1019" s="5" t="s">
        <v>2821</v>
      </c>
      <c r="B1019" s="5" t="s">
        <v>2346</v>
      </c>
      <c r="C1019" s="5" t="s">
        <v>723</v>
      </c>
      <c r="D1019" s="5" t="s">
        <v>20</v>
      </c>
      <c r="E1019" s="6" t="str">
        <f t="array" ref="E1019">IFERROR(INDEX(Airlines!$B:$B,MATCH(D1019,Airlines!$A:$A,0)),"")</f>
        <v>Vistara</v>
      </c>
      <c r="F1019" s="6" t="str">
        <f>VLOOKUP(A1019,Bookings!$A:$F,6,FALSE())</f>
        <v>Economy</v>
      </c>
      <c r="G1019" s="6" t="str">
        <f t="array" ref="G1019">IFERROR(INDEX(Flights!$E:$E,MATCH(B1019,Flights!$A:$A,0)),"")</f>
        <v>Chennai</v>
      </c>
      <c r="H1019" s="6" t="str">
        <f>VLOOKUP(B1019,Flights!A:H,6,FALSE())</f>
        <v>Mumbai</v>
      </c>
      <c r="I1019" s="6" t="str">
        <f t="array" ref="I1019">IFERROR(INDEX(Bookings!$G:$G,MATCH(B1019,Bookings!$B:$B,0)),"")</f>
        <v>1</v>
      </c>
      <c r="J1019" s="5">
        <f>VLOOKUP(B1019,Bookings!B:H,7,FALSE())</f>
        <v>23.17</v>
      </c>
      <c r="K1019" s="5" t="str">
        <f t="shared" si="1"/>
        <v>Long</v>
      </c>
      <c r="L1019" s="11">
        <f t="array" ref="L1019">IFERROR(INDEX(Bookings!$K:$K,MATCH(A1019,Bookings!$A:$A,0)),"")</f>
        <v>27776</v>
      </c>
      <c r="M1019" s="5" t="str">
        <f t="shared" si="2"/>
        <v>High</v>
      </c>
      <c r="N1019" s="5">
        <f t="array" ref="N1019">IFERROR(INDEX(Bookings!$I:$I,MATCH(A1019,Bookings!$A:$A,0)),"")</f>
        <v>2</v>
      </c>
      <c r="O1019" s="5" t="str">
        <f t="shared" si="3"/>
        <v>Last Minute</v>
      </c>
      <c r="P1019" s="5" t="str">
        <f t="shared" si="4"/>
        <v>Chennai -&gt; Mumbai</v>
      </c>
    </row>
    <row r="1020" ht="15.75" customHeight="1">
      <c r="A1020" s="5" t="s">
        <v>2824</v>
      </c>
      <c r="B1020" s="5" t="s">
        <v>2333</v>
      </c>
      <c r="C1020" s="5" t="s">
        <v>723</v>
      </c>
      <c r="D1020" s="5" t="s">
        <v>45</v>
      </c>
      <c r="E1020" s="6" t="str">
        <f t="array" ref="E1020">IFERROR(INDEX(Airlines!$B:$B,MATCH(D1020,Airlines!$A:$A,0)),"")</f>
        <v>Air_India</v>
      </c>
      <c r="F1020" s="6" t="str">
        <f>VLOOKUP(A1020,Bookings!$A:$F,6,FALSE())</f>
        <v>Economy</v>
      </c>
      <c r="G1020" s="6" t="str">
        <f t="array" ref="G1020">IFERROR(INDEX(Flights!$E:$E,MATCH(B1020,Flights!$A:$A,0)),"")</f>
        <v>Chennai</v>
      </c>
      <c r="H1020" s="6" t="str">
        <f>VLOOKUP(B1020,Flights!A:H,6,FALSE())</f>
        <v>Mumbai</v>
      </c>
      <c r="I1020" s="6" t="str">
        <f t="array" ref="I1020">IFERROR(INDEX(Bookings!$G:$G,MATCH(B1020,Bookings!$B:$B,0)),"")</f>
        <v>1</v>
      </c>
      <c r="J1020" s="5">
        <f>VLOOKUP(B1020,Bookings!B:H,7,FALSE())</f>
        <v>32.92</v>
      </c>
      <c r="K1020" s="5" t="str">
        <f t="shared" si="1"/>
        <v>Long</v>
      </c>
      <c r="L1020" s="11">
        <f t="array" ref="L1020">IFERROR(INDEX(Bookings!$K:$K,MATCH(A1020,Bookings!$A:$A,0)),"")</f>
        <v>16176</v>
      </c>
      <c r="M1020" s="5" t="str">
        <f t="shared" si="2"/>
        <v>High</v>
      </c>
      <c r="N1020" s="5">
        <f t="array" ref="N1020">IFERROR(INDEX(Bookings!$I:$I,MATCH(A1020,Bookings!$A:$A,0)),"")</f>
        <v>7</v>
      </c>
      <c r="O1020" s="5" t="str">
        <f t="shared" si="3"/>
        <v>Last Minute</v>
      </c>
      <c r="P1020" s="5" t="str">
        <f t="shared" si="4"/>
        <v>Chennai -&gt; Mumbai</v>
      </c>
    </row>
    <row r="1021" ht="15.75" customHeight="1">
      <c r="A1021" s="5" t="s">
        <v>2826</v>
      </c>
      <c r="B1021" s="5" t="s">
        <v>2339</v>
      </c>
      <c r="C1021" s="5" t="s">
        <v>723</v>
      </c>
      <c r="D1021" s="5" t="s">
        <v>20</v>
      </c>
      <c r="E1021" s="6" t="str">
        <f t="array" ref="E1021">IFERROR(INDEX(Airlines!$B:$B,MATCH(D1021,Airlines!$A:$A,0)),"")</f>
        <v>Vistara</v>
      </c>
      <c r="F1021" s="6" t="str">
        <f>VLOOKUP(A1021,Bookings!$A:$F,6,FALSE())</f>
        <v>Economy</v>
      </c>
      <c r="G1021" s="6" t="str">
        <f t="array" ref="G1021">IFERROR(INDEX(Flights!$E:$E,MATCH(B1021,Flights!$A:$A,0)),"")</f>
        <v>Chennai</v>
      </c>
      <c r="H1021" s="6" t="str">
        <f>VLOOKUP(B1021,Flights!A:H,6,FALSE())</f>
        <v>Mumbai</v>
      </c>
      <c r="I1021" s="6" t="str">
        <f t="array" ref="I1021">IFERROR(INDEX(Bookings!$G:$G,MATCH(B1021,Bookings!$B:$B,0)),"")</f>
        <v>1</v>
      </c>
      <c r="J1021" s="5">
        <f>VLOOKUP(B1021,Bookings!B:H,7,FALSE())</f>
        <v>12.67</v>
      </c>
      <c r="K1021" s="5" t="str">
        <f t="shared" si="1"/>
        <v>Long</v>
      </c>
      <c r="L1021" s="11">
        <f t="array" ref="L1021">IFERROR(INDEX(Bookings!$K:$K,MATCH(A1021,Bookings!$A:$A,0)),"")</f>
        <v>5247</v>
      </c>
      <c r="M1021" s="5" t="str">
        <f t="shared" si="2"/>
        <v>Medium</v>
      </c>
      <c r="N1021" s="5">
        <f t="array" ref="N1021">IFERROR(INDEX(Bookings!$I:$I,MATCH(A1021,Bookings!$A:$A,0)),"")</f>
        <v>45</v>
      </c>
      <c r="O1021" s="5" t="str">
        <f t="shared" si="3"/>
        <v>Advance</v>
      </c>
      <c r="P1021" s="5" t="str">
        <f t="shared" si="4"/>
        <v>Chennai -&gt; Mumbai</v>
      </c>
    </row>
    <row r="1022" ht="15.75" customHeight="1">
      <c r="A1022" s="5" t="s">
        <v>2828</v>
      </c>
      <c r="B1022" s="5" t="s">
        <v>2324</v>
      </c>
      <c r="C1022" s="5" t="s">
        <v>723</v>
      </c>
      <c r="D1022" s="5" t="s">
        <v>45</v>
      </c>
      <c r="E1022" s="6" t="str">
        <f t="array" ref="E1022">IFERROR(INDEX(Airlines!$B:$B,MATCH(D1022,Airlines!$A:$A,0)),"")</f>
        <v>Air_India</v>
      </c>
      <c r="F1022" s="6" t="str">
        <f>VLOOKUP(A1022,Bookings!$A:$F,6,FALSE())</f>
        <v>Economy</v>
      </c>
      <c r="G1022" s="6" t="str">
        <f t="array" ref="G1022">IFERROR(INDEX(Flights!$E:$E,MATCH(B1022,Flights!$A:$A,0)),"")</f>
        <v>Chennai</v>
      </c>
      <c r="H1022" s="6" t="str">
        <f>VLOOKUP(B1022,Flights!A:H,6,FALSE())</f>
        <v>Mumbai</v>
      </c>
      <c r="I1022" s="6" t="str">
        <f t="array" ref="I1022">IFERROR(INDEX(Bookings!$G:$G,MATCH(B1022,Bookings!$B:$B,0)),"")</f>
        <v>1</v>
      </c>
      <c r="J1022" s="5">
        <f>VLOOKUP(B1022,Bookings!B:H,7,FALSE())</f>
        <v>11.5</v>
      </c>
      <c r="K1022" s="5" t="str">
        <f t="shared" si="1"/>
        <v>Long</v>
      </c>
      <c r="L1022" s="11">
        <f t="array" ref="L1022">IFERROR(INDEX(Bookings!$K:$K,MATCH(A1022,Bookings!$A:$A,0)),"")</f>
        <v>12197</v>
      </c>
      <c r="M1022" s="5" t="str">
        <f t="shared" si="2"/>
        <v>Medium</v>
      </c>
      <c r="N1022" s="5">
        <f t="array" ref="N1022">IFERROR(INDEX(Bookings!$I:$I,MATCH(A1022,Bookings!$A:$A,0)),"")</f>
        <v>4</v>
      </c>
      <c r="O1022" s="5" t="str">
        <f t="shared" si="3"/>
        <v>Last Minute</v>
      </c>
      <c r="P1022" s="5" t="str">
        <f t="shared" si="4"/>
        <v>Chennai -&gt; Mumbai</v>
      </c>
    </row>
    <row r="1023" ht="15.75" customHeight="1">
      <c r="A1023" s="5" t="s">
        <v>2829</v>
      </c>
      <c r="B1023" s="5" t="s">
        <v>2392</v>
      </c>
      <c r="C1023" s="5" t="s">
        <v>723</v>
      </c>
      <c r="D1023" s="5" t="s">
        <v>72</v>
      </c>
      <c r="E1023" s="6" t="str">
        <f t="array" ref="E1023">IFERROR(INDEX(Airlines!$B:$B,MATCH(D1023,Airlines!$A:$A,0)),"")</f>
        <v>Spicejet</v>
      </c>
      <c r="F1023" s="6" t="str">
        <f>VLOOKUP(A1023,Bookings!$A:$F,6,FALSE())</f>
        <v>Economy</v>
      </c>
      <c r="G1023" s="6" t="str">
        <f t="array" ref="G1023">IFERROR(INDEX(Flights!$E:$E,MATCH(B1023,Flights!$A:$A,0)),"")</f>
        <v>Chennai</v>
      </c>
      <c r="H1023" s="6" t="str">
        <f>VLOOKUP(B1023,Flights!A:H,6,FALSE())</f>
        <v>Mumbai</v>
      </c>
      <c r="I1023" s="6" t="str">
        <f t="array" ref="I1023">IFERROR(INDEX(Bookings!$G:$G,MATCH(B1023,Bookings!$B:$B,0)),"")</f>
        <v>1</v>
      </c>
      <c r="J1023" s="5">
        <f>VLOOKUP(B1023,Bookings!B:H,7,FALSE())</f>
        <v>15.5</v>
      </c>
      <c r="K1023" s="5" t="str">
        <f t="shared" si="1"/>
        <v>Long</v>
      </c>
      <c r="L1023" s="11">
        <f t="array" ref="L1023">IFERROR(INDEX(Bookings!$K:$K,MATCH(A1023,Bookings!$A:$A,0)),"")</f>
        <v>5881</v>
      </c>
      <c r="M1023" s="5" t="str">
        <f t="shared" si="2"/>
        <v>Medium</v>
      </c>
      <c r="N1023" s="5">
        <f t="array" ref="N1023">IFERROR(INDEX(Bookings!$I:$I,MATCH(A1023,Bookings!$A:$A,0)),"")</f>
        <v>5</v>
      </c>
      <c r="O1023" s="5" t="str">
        <f t="shared" si="3"/>
        <v>Last Minute</v>
      </c>
      <c r="P1023" s="5" t="str">
        <f t="shared" si="4"/>
        <v>Chennai -&gt; Mumbai</v>
      </c>
    </row>
    <row r="1024" ht="15.75" customHeight="1">
      <c r="A1024" s="5" t="s">
        <v>2830</v>
      </c>
      <c r="B1024" s="5" t="s">
        <v>2326</v>
      </c>
      <c r="C1024" s="5" t="s">
        <v>723</v>
      </c>
      <c r="D1024" s="5" t="s">
        <v>20</v>
      </c>
      <c r="E1024" s="6" t="str">
        <f t="array" ref="E1024">IFERROR(INDEX(Airlines!$B:$B,MATCH(D1024,Airlines!$A:$A,0)),"")</f>
        <v>Vistara</v>
      </c>
      <c r="F1024" s="6" t="str">
        <f>VLOOKUP(A1024,Bookings!$A:$F,6,FALSE())</f>
        <v>Economy</v>
      </c>
      <c r="G1024" s="6" t="str">
        <f t="array" ref="G1024">IFERROR(INDEX(Flights!$E:$E,MATCH(B1024,Flights!$A:$A,0)),"")</f>
        <v>Chennai</v>
      </c>
      <c r="H1024" s="6" t="str">
        <f>VLOOKUP(B1024,Flights!A:H,6,FALSE())</f>
        <v>Mumbai</v>
      </c>
      <c r="I1024" s="6" t="str">
        <f t="array" ref="I1024">IFERROR(INDEX(Bookings!$G:$G,MATCH(B1024,Bookings!$B:$B,0)),"")</f>
        <v>1</v>
      </c>
      <c r="J1024" s="5">
        <f>VLOOKUP(B1024,Bookings!B:H,7,FALSE())</f>
        <v>6.67</v>
      </c>
      <c r="K1024" s="5" t="str">
        <f t="shared" si="1"/>
        <v>Medium</v>
      </c>
      <c r="L1024" s="11">
        <f t="array" ref="L1024">IFERROR(INDEX(Bookings!$K:$K,MATCH(A1024,Bookings!$A:$A,0)),"")</f>
        <v>4137</v>
      </c>
      <c r="M1024" s="5" t="str">
        <f t="shared" si="2"/>
        <v>Low</v>
      </c>
      <c r="N1024" s="5">
        <f t="array" ref="N1024">IFERROR(INDEX(Bookings!$I:$I,MATCH(A1024,Bookings!$A:$A,0)),"")</f>
        <v>35</v>
      </c>
      <c r="O1024" s="5" t="str">
        <f t="shared" si="3"/>
        <v>Advance</v>
      </c>
      <c r="P1024" s="5" t="str">
        <f t="shared" si="4"/>
        <v>Chennai -&gt; Mumbai</v>
      </c>
    </row>
    <row r="1025" ht="15.75" customHeight="1">
      <c r="A1025" s="5" t="s">
        <v>2832</v>
      </c>
      <c r="B1025" s="5" t="s">
        <v>2352</v>
      </c>
      <c r="C1025" s="5" t="s">
        <v>723</v>
      </c>
      <c r="D1025" s="5" t="s">
        <v>20</v>
      </c>
      <c r="E1025" s="6" t="str">
        <f t="array" ref="E1025">IFERROR(INDEX(Airlines!$B:$B,MATCH(D1025,Airlines!$A:$A,0)),"")</f>
        <v>Vistara</v>
      </c>
      <c r="F1025" s="6" t="str">
        <f>VLOOKUP(A1025,Bookings!$A:$F,6,FALSE())</f>
        <v>Economy</v>
      </c>
      <c r="G1025" s="6" t="str">
        <f t="array" ref="G1025">IFERROR(INDEX(Flights!$E:$E,MATCH(B1025,Flights!$A:$A,0)),"")</f>
        <v>Chennai</v>
      </c>
      <c r="H1025" s="6" t="str">
        <f>VLOOKUP(B1025,Flights!A:H,6,FALSE())</f>
        <v>Mumbai</v>
      </c>
      <c r="I1025" s="6" t="str">
        <f t="array" ref="I1025">IFERROR(INDEX(Bookings!$G:$G,MATCH(B1025,Bookings!$B:$B,0)),"")</f>
        <v>1</v>
      </c>
      <c r="J1025" s="5">
        <f>VLOOKUP(B1025,Bookings!B:H,7,FALSE())</f>
        <v>10</v>
      </c>
      <c r="K1025" s="5" t="str">
        <f t="shared" si="1"/>
        <v>Medium</v>
      </c>
      <c r="L1025" s="11">
        <f t="array" ref="L1025">IFERROR(INDEX(Bookings!$K:$K,MATCH(A1025,Bookings!$A:$A,0)),"")</f>
        <v>8233</v>
      </c>
      <c r="M1025" s="5" t="str">
        <f t="shared" si="2"/>
        <v>Medium</v>
      </c>
      <c r="N1025" s="5">
        <f t="array" ref="N1025">IFERROR(INDEX(Bookings!$I:$I,MATCH(A1025,Bookings!$A:$A,0)),"")</f>
        <v>36</v>
      </c>
      <c r="O1025" s="5" t="str">
        <f t="shared" si="3"/>
        <v>Advance</v>
      </c>
      <c r="P1025" s="5" t="str">
        <f t="shared" si="4"/>
        <v>Chennai -&gt; Mumbai</v>
      </c>
    </row>
    <row r="1026" ht="15.75" customHeight="1">
      <c r="A1026" s="5" t="s">
        <v>2834</v>
      </c>
      <c r="B1026" s="5" t="s">
        <v>2318</v>
      </c>
      <c r="C1026" s="5" t="s">
        <v>723</v>
      </c>
      <c r="D1026" s="5" t="s">
        <v>20</v>
      </c>
      <c r="E1026" s="6" t="str">
        <f t="array" ref="E1026">IFERROR(INDEX(Airlines!$B:$B,MATCH(D1026,Airlines!$A:$A,0)),"")</f>
        <v>Vistara</v>
      </c>
      <c r="F1026" s="6" t="str">
        <f>VLOOKUP(A1026,Bookings!$A:$F,6,FALSE())</f>
        <v>Economy</v>
      </c>
      <c r="G1026" s="6" t="str">
        <f t="array" ref="G1026">IFERROR(INDEX(Flights!$E:$E,MATCH(B1026,Flights!$A:$A,0)),"")</f>
        <v>Chennai</v>
      </c>
      <c r="H1026" s="6" t="str">
        <f>VLOOKUP(B1026,Flights!A:H,6,FALSE())</f>
        <v>Mumbai</v>
      </c>
      <c r="I1026" s="6" t="str">
        <f t="array" ref="I1026">IFERROR(INDEX(Bookings!$G:$G,MATCH(B1026,Bookings!$B:$B,0)),"")</f>
        <v>1</v>
      </c>
      <c r="J1026" s="5">
        <f>VLOOKUP(B1026,Bookings!B:H,7,FALSE())</f>
        <v>12.67</v>
      </c>
      <c r="K1026" s="5" t="str">
        <f t="shared" si="1"/>
        <v>Long</v>
      </c>
      <c r="L1026" s="11">
        <f t="array" ref="L1026">IFERROR(INDEX(Bookings!$K:$K,MATCH(A1026,Bookings!$A:$A,0)),"")</f>
        <v>17043</v>
      </c>
      <c r="M1026" s="5" t="str">
        <f t="shared" si="2"/>
        <v>High</v>
      </c>
      <c r="N1026" s="5" t="str">
        <f t="array" ref="N1026">IFERROR(INDEX(Bookings!$I:$I,MATCH(A1026,Bookings!$A:$A,0)),"")</f>
        <v/>
      </c>
      <c r="O1026" s="5" t="str">
        <f t="shared" si="3"/>
        <v>Last Minute</v>
      </c>
      <c r="P1026" s="5" t="str">
        <f t="shared" si="4"/>
        <v>Chennai -&gt; Mumbai</v>
      </c>
    </row>
    <row r="1027" ht="15.75" customHeight="1">
      <c r="A1027" s="5" t="s">
        <v>2835</v>
      </c>
      <c r="B1027" s="5" t="s">
        <v>2382</v>
      </c>
      <c r="C1027" s="5" t="s">
        <v>723</v>
      </c>
      <c r="D1027" s="5" t="s">
        <v>43</v>
      </c>
      <c r="E1027" s="6" t="str">
        <f t="array" ref="E1027">IFERROR(INDEX(Airlines!$B:$B,MATCH(D1027,Airlines!$A:$A,0)),"")</f>
        <v>Indigo</v>
      </c>
      <c r="F1027" s="6" t="str">
        <f>VLOOKUP(A1027,Bookings!$A:$F,6,FALSE())</f>
        <v>Economy</v>
      </c>
      <c r="G1027" s="6" t="str">
        <f t="array" ref="G1027">IFERROR(INDEX(Flights!$E:$E,MATCH(B1027,Flights!$A:$A,0)),"")</f>
        <v>Chennai</v>
      </c>
      <c r="H1027" s="6" t="str">
        <f>VLOOKUP(B1027,Flights!A:H,6,FALSE())</f>
        <v>Mumbai</v>
      </c>
      <c r="I1027" s="6" t="str">
        <f t="array" ref="I1027">IFERROR(INDEX(Bookings!$G:$G,MATCH(B1027,Bookings!$B:$B,0)),"")</f>
        <v>1</v>
      </c>
      <c r="J1027" s="5">
        <f>VLOOKUP(B1027,Bookings!B:H,7,FALSE())</f>
        <v>8.75</v>
      </c>
      <c r="K1027" s="5" t="str">
        <f t="shared" si="1"/>
        <v>Medium</v>
      </c>
      <c r="L1027" s="11">
        <f t="array" ref="L1027">IFERROR(INDEX(Bookings!$K:$K,MATCH(A1027,Bookings!$A:$A,0)),"")</f>
        <v>1830</v>
      </c>
      <c r="M1027" s="5" t="str">
        <f t="shared" si="2"/>
        <v>Low</v>
      </c>
      <c r="N1027" s="5">
        <f t="array" ref="N1027">IFERROR(INDEX(Bookings!$I:$I,MATCH(A1027,Bookings!$A:$A,0)),"")</f>
        <v>39</v>
      </c>
      <c r="O1027" s="5" t="str">
        <f t="shared" si="3"/>
        <v>Advance</v>
      </c>
      <c r="P1027" s="5" t="str">
        <f t="shared" si="4"/>
        <v>Chennai -&gt; Mumbai</v>
      </c>
    </row>
    <row r="1028" ht="15.75" customHeight="1">
      <c r="A1028" s="5" t="s">
        <v>2838</v>
      </c>
      <c r="B1028" s="5" t="s">
        <v>2305</v>
      </c>
      <c r="C1028" s="5" t="s">
        <v>723</v>
      </c>
      <c r="D1028" s="5" t="s">
        <v>45</v>
      </c>
      <c r="E1028" s="6" t="str">
        <f t="array" ref="E1028">IFERROR(INDEX(Airlines!$B:$B,MATCH(D1028,Airlines!$A:$A,0)),"")</f>
        <v>Air_India</v>
      </c>
      <c r="F1028" s="6" t="str">
        <f>VLOOKUP(A1028,Bookings!$A:$F,6,FALSE())</f>
        <v>Economy</v>
      </c>
      <c r="G1028" s="6" t="str">
        <f t="array" ref="G1028">IFERROR(INDEX(Flights!$E:$E,MATCH(B1028,Flights!$A:$A,0)),"")</f>
        <v>Chennai</v>
      </c>
      <c r="H1028" s="6" t="str">
        <f>VLOOKUP(B1028,Flights!A:H,6,FALSE())</f>
        <v>Mumbai</v>
      </c>
      <c r="I1028" s="6" t="str">
        <f t="array" ref="I1028">IFERROR(INDEX(Bookings!$G:$G,MATCH(B1028,Bookings!$B:$B,0)),"")</f>
        <v>1</v>
      </c>
      <c r="J1028" s="5">
        <f>VLOOKUP(B1028,Bookings!B:H,7,FALSE())</f>
        <v>8.08</v>
      </c>
      <c r="K1028" s="5" t="str">
        <f t="shared" si="1"/>
        <v>Medium</v>
      </c>
      <c r="L1028" s="11">
        <f t="array" ref="L1028">IFERROR(INDEX(Bookings!$K:$K,MATCH(A1028,Bookings!$A:$A,0)),"")</f>
        <v>9141</v>
      </c>
      <c r="M1028" s="5" t="str">
        <f t="shared" si="2"/>
        <v>Medium</v>
      </c>
      <c r="N1028" s="5">
        <f t="array" ref="N1028">IFERROR(INDEX(Bookings!$I:$I,MATCH(A1028,Bookings!$A:$A,0)),"")</f>
        <v>14</v>
      </c>
      <c r="O1028" s="5" t="str">
        <f t="shared" si="3"/>
        <v>Short Notice</v>
      </c>
      <c r="P1028" s="5" t="str">
        <f t="shared" si="4"/>
        <v>Chennai -&gt; Mumbai</v>
      </c>
    </row>
    <row r="1029" ht="15.75" customHeight="1">
      <c r="A1029" s="5" t="s">
        <v>2840</v>
      </c>
      <c r="B1029" s="5" t="s">
        <v>2355</v>
      </c>
      <c r="C1029" s="5" t="s">
        <v>723</v>
      </c>
      <c r="D1029" s="5" t="s">
        <v>20</v>
      </c>
      <c r="E1029" s="6" t="str">
        <f t="array" ref="E1029">IFERROR(INDEX(Airlines!$B:$B,MATCH(D1029,Airlines!$A:$A,0)),"")</f>
        <v>Vistara</v>
      </c>
      <c r="F1029" s="6" t="str">
        <f>VLOOKUP(A1029,Bookings!$A:$F,6,FALSE())</f>
        <v>Economy</v>
      </c>
      <c r="G1029" s="6" t="str">
        <f t="array" ref="G1029">IFERROR(INDEX(Flights!$E:$E,MATCH(B1029,Flights!$A:$A,0)),"")</f>
        <v>Chennai</v>
      </c>
      <c r="H1029" s="6" t="str">
        <f>VLOOKUP(B1029,Flights!A:H,6,FALSE())</f>
        <v>Mumbai</v>
      </c>
      <c r="I1029" s="6" t="str">
        <f t="array" ref="I1029">IFERROR(INDEX(Bookings!$G:$G,MATCH(B1029,Bookings!$B:$B,0)),"")</f>
        <v>1</v>
      </c>
      <c r="J1029" s="5">
        <f>VLOOKUP(B1029,Bookings!B:H,7,FALSE())</f>
        <v>21.17</v>
      </c>
      <c r="K1029" s="5" t="str">
        <f t="shared" si="1"/>
        <v>Long</v>
      </c>
      <c r="L1029" s="11">
        <f t="array" ref="L1029">IFERROR(INDEX(Bookings!$K:$K,MATCH(A1029,Bookings!$A:$A,0)),"")</f>
        <v>11783</v>
      </c>
      <c r="M1029" s="5" t="str">
        <f t="shared" si="2"/>
        <v>Medium</v>
      </c>
      <c r="N1029" s="5">
        <f t="array" ref="N1029">IFERROR(INDEX(Bookings!$I:$I,MATCH(A1029,Bookings!$A:$A,0)),"")</f>
        <v>10</v>
      </c>
      <c r="O1029" s="5" t="str">
        <f t="shared" si="3"/>
        <v>Short Notice</v>
      </c>
      <c r="P1029" s="5" t="str">
        <f t="shared" si="4"/>
        <v>Chennai -&gt; Mumbai</v>
      </c>
    </row>
    <row r="1030" ht="15.75" customHeight="1">
      <c r="A1030" s="5" t="s">
        <v>2841</v>
      </c>
      <c r="B1030" s="5" t="s">
        <v>2315</v>
      </c>
      <c r="C1030" s="5" t="s">
        <v>723</v>
      </c>
      <c r="D1030" s="5" t="s">
        <v>20</v>
      </c>
      <c r="E1030" s="6" t="str">
        <f t="array" ref="E1030">IFERROR(INDEX(Airlines!$B:$B,MATCH(D1030,Airlines!$A:$A,0)),"")</f>
        <v>Vistara</v>
      </c>
      <c r="F1030" s="6" t="str">
        <f>VLOOKUP(A1030,Bookings!$A:$F,6,FALSE())</f>
        <v>Economy</v>
      </c>
      <c r="G1030" s="6" t="str">
        <f t="array" ref="G1030">IFERROR(INDEX(Flights!$E:$E,MATCH(B1030,Flights!$A:$A,0)),"")</f>
        <v>Chennai</v>
      </c>
      <c r="H1030" s="6" t="str">
        <f>VLOOKUP(B1030,Flights!A:H,6,FALSE())</f>
        <v>Mumbai</v>
      </c>
      <c r="I1030" s="6" t="str">
        <f t="array" ref="I1030">IFERROR(INDEX(Bookings!$G:$G,MATCH(B1030,Bookings!$B:$B,0)),"")</f>
        <v>1</v>
      </c>
      <c r="J1030" s="5">
        <f>VLOOKUP(B1030,Bookings!B:H,7,FALSE())</f>
        <v>13.83</v>
      </c>
      <c r="K1030" s="5" t="str">
        <f t="shared" si="1"/>
        <v>Long</v>
      </c>
      <c r="L1030" s="11">
        <f t="array" ref="L1030">IFERROR(INDEX(Bookings!$K:$K,MATCH(A1030,Bookings!$A:$A,0)),"")</f>
        <v>17043</v>
      </c>
      <c r="M1030" s="5" t="str">
        <f t="shared" si="2"/>
        <v>High</v>
      </c>
      <c r="N1030" s="5">
        <f t="array" ref="N1030">IFERROR(INDEX(Bookings!$I:$I,MATCH(A1030,Bookings!$A:$A,0)),"")</f>
        <v>8</v>
      </c>
      <c r="O1030" s="5" t="str">
        <f t="shared" si="3"/>
        <v>Short Notice</v>
      </c>
      <c r="P1030" s="5" t="str">
        <f t="shared" si="4"/>
        <v>Chennai -&gt; Mumbai</v>
      </c>
    </row>
    <row r="1031" ht="15.75" customHeight="1">
      <c r="A1031" s="5" t="s">
        <v>2842</v>
      </c>
      <c r="B1031" s="5" t="s">
        <v>2337</v>
      </c>
      <c r="C1031" s="5" t="s">
        <v>723</v>
      </c>
      <c r="D1031" s="5" t="s">
        <v>45</v>
      </c>
      <c r="E1031" s="6" t="str">
        <f t="array" ref="E1031">IFERROR(INDEX(Airlines!$B:$B,MATCH(D1031,Airlines!$A:$A,0)),"")</f>
        <v>Air_India</v>
      </c>
      <c r="F1031" s="6" t="str">
        <f>VLOOKUP(A1031,Bookings!$A:$F,6,FALSE())</f>
        <v>Economy</v>
      </c>
      <c r="G1031" s="6" t="str">
        <f t="array" ref="G1031">IFERROR(INDEX(Flights!$E:$E,MATCH(B1031,Flights!$A:$A,0)),"")</f>
        <v>Chennai</v>
      </c>
      <c r="H1031" s="6" t="str">
        <f>VLOOKUP(B1031,Flights!A:H,6,FALSE())</f>
        <v>Mumbai</v>
      </c>
      <c r="I1031" s="6" t="str">
        <f t="array" ref="I1031">IFERROR(INDEX(Bookings!$G:$G,MATCH(B1031,Bookings!$B:$B,0)),"")</f>
        <v>2+</v>
      </c>
      <c r="J1031" s="5">
        <f>VLOOKUP(B1031,Bookings!B:H,7,FALSE())</f>
        <v>35.5</v>
      </c>
      <c r="K1031" s="5" t="str">
        <f t="shared" si="1"/>
        <v>Long</v>
      </c>
      <c r="L1031" s="11">
        <f t="array" ref="L1031">IFERROR(INDEX(Bookings!$K:$K,MATCH(A1031,Bookings!$A:$A,0)),"")</f>
        <v>11871</v>
      </c>
      <c r="M1031" s="5" t="str">
        <f t="shared" si="2"/>
        <v>Medium</v>
      </c>
      <c r="N1031" s="5">
        <f t="array" ref="N1031">IFERROR(INDEX(Bookings!$I:$I,MATCH(A1031,Bookings!$A:$A,0)),"")</f>
        <v>9</v>
      </c>
      <c r="O1031" s="5" t="str">
        <f t="shared" si="3"/>
        <v>Short Notice</v>
      </c>
      <c r="P1031" s="5" t="str">
        <f t="shared" si="4"/>
        <v>Chennai -&gt; Mumbai</v>
      </c>
    </row>
    <row r="1032" ht="15.75" customHeight="1">
      <c r="A1032" s="5" t="s">
        <v>2844</v>
      </c>
      <c r="B1032" s="5" t="s">
        <v>2343</v>
      </c>
      <c r="C1032" s="5" t="s">
        <v>723</v>
      </c>
      <c r="D1032" s="5" t="s">
        <v>29</v>
      </c>
      <c r="E1032" s="6" t="str">
        <f t="array" ref="E1032">IFERROR(INDEX(Airlines!$B:$B,MATCH(D1032,Airlines!$A:$A,0)),"")</f>
        <v>AirAsia</v>
      </c>
      <c r="F1032" s="6" t="str">
        <f>VLOOKUP(A1032,Bookings!$A:$F,6,FALSE())</f>
        <v>Economy</v>
      </c>
      <c r="G1032" s="6" t="str">
        <f t="array" ref="G1032">IFERROR(INDEX(Flights!$E:$E,MATCH(B1032,Flights!$A:$A,0)),"")</f>
        <v>Chennai</v>
      </c>
      <c r="H1032" s="6" t="str">
        <f>VLOOKUP(B1032,Flights!A:H,6,FALSE())</f>
        <v>Mumbai</v>
      </c>
      <c r="I1032" s="6" t="str">
        <f t="array" ref="I1032">IFERROR(INDEX(Bookings!$G:$G,MATCH(B1032,Bookings!$B:$B,0)),"")</f>
        <v>1</v>
      </c>
      <c r="J1032" s="5">
        <f>VLOOKUP(B1032,Bookings!B:H,7,FALSE())</f>
        <v>8.5</v>
      </c>
      <c r="K1032" s="5" t="str">
        <f t="shared" si="1"/>
        <v>Medium</v>
      </c>
      <c r="L1032" s="11">
        <f t="array" ref="L1032">IFERROR(INDEX(Bookings!$K:$K,MATCH(A1032,Bookings!$A:$A,0)),"")</f>
        <v>1830</v>
      </c>
      <c r="M1032" s="5" t="str">
        <f t="shared" si="2"/>
        <v>Low</v>
      </c>
      <c r="N1032" s="5">
        <f t="array" ref="N1032">IFERROR(INDEX(Bookings!$I:$I,MATCH(A1032,Bookings!$A:$A,0)),"")</f>
        <v>26</v>
      </c>
      <c r="O1032" s="5" t="str">
        <f t="shared" si="3"/>
        <v>Moderate</v>
      </c>
      <c r="P1032" s="5" t="str">
        <f t="shared" si="4"/>
        <v>Chennai -&gt; Mumbai</v>
      </c>
    </row>
    <row r="1033" ht="15.75" customHeight="1">
      <c r="A1033" s="5" t="s">
        <v>2847</v>
      </c>
      <c r="B1033" s="5" t="s">
        <v>2370</v>
      </c>
      <c r="C1033" s="5" t="s">
        <v>723</v>
      </c>
      <c r="D1033" s="5" t="s">
        <v>20</v>
      </c>
      <c r="E1033" s="6" t="str">
        <f t="array" ref="E1033">IFERROR(INDEX(Airlines!$B:$B,MATCH(D1033,Airlines!$A:$A,0)),"")</f>
        <v>Vistara</v>
      </c>
      <c r="F1033" s="6" t="str">
        <f>VLOOKUP(A1033,Bookings!$A:$F,6,FALSE())</f>
        <v>Economy</v>
      </c>
      <c r="G1033" s="6" t="str">
        <f t="array" ref="G1033">IFERROR(INDEX(Flights!$E:$E,MATCH(B1033,Flights!$A:$A,0)),"")</f>
        <v>Chennai</v>
      </c>
      <c r="H1033" s="6" t="str">
        <f>VLOOKUP(B1033,Flights!A:H,6,FALSE())</f>
        <v>Mumbai</v>
      </c>
      <c r="I1033" s="6" t="str">
        <f t="array" ref="I1033">IFERROR(INDEX(Bookings!$G:$G,MATCH(B1033,Bookings!$B:$B,0)),"")</f>
        <v>2+</v>
      </c>
      <c r="J1033" s="5">
        <f>VLOOKUP(B1033,Bookings!B:H,7,FALSE())</f>
        <v>8.08</v>
      </c>
      <c r="K1033" s="5" t="str">
        <f t="shared" si="1"/>
        <v>Medium</v>
      </c>
      <c r="L1033" s="11">
        <f t="array" ref="L1033">IFERROR(INDEX(Bookings!$K:$K,MATCH(A1033,Bookings!$A:$A,0)),"")</f>
        <v>12408</v>
      </c>
      <c r="M1033" s="5" t="str">
        <f t="shared" si="2"/>
        <v>Medium</v>
      </c>
      <c r="N1033" s="5">
        <f t="array" ref="N1033">IFERROR(INDEX(Bookings!$I:$I,MATCH(A1033,Bookings!$A:$A,0)),"")</f>
        <v>15</v>
      </c>
      <c r="O1033" s="5" t="str">
        <f t="shared" si="3"/>
        <v>Short Notice</v>
      </c>
      <c r="P1033" s="5" t="str">
        <f t="shared" si="4"/>
        <v>Chennai -&gt; Mumbai</v>
      </c>
    </row>
    <row r="1034" ht="15.75" customHeight="1">
      <c r="A1034" s="5" t="s">
        <v>2849</v>
      </c>
      <c r="B1034" s="5" t="s">
        <v>2300</v>
      </c>
      <c r="C1034" s="5" t="s">
        <v>723</v>
      </c>
      <c r="D1034" s="5" t="s">
        <v>45</v>
      </c>
      <c r="E1034" s="6" t="str">
        <f t="array" ref="E1034">IFERROR(INDEX(Airlines!$B:$B,MATCH(D1034,Airlines!$A:$A,0)),"")</f>
        <v>Air_India</v>
      </c>
      <c r="F1034" s="6" t="str">
        <f>VLOOKUP(A1034,Bookings!$A:$F,6,FALSE())</f>
        <v>Economy</v>
      </c>
      <c r="G1034" s="6" t="str">
        <f t="array" ref="G1034">IFERROR(INDEX(Flights!$E:$E,MATCH(B1034,Flights!$A:$A,0)),"")</f>
        <v>Chennai</v>
      </c>
      <c r="H1034" s="6" t="str">
        <f>VLOOKUP(B1034,Flights!A:H,6,FALSE())</f>
        <v>Mumbai</v>
      </c>
      <c r="I1034" s="6" t="str">
        <f t="array" ref="I1034">IFERROR(INDEX(Bookings!$G:$G,MATCH(B1034,Bookings!$B:$B,0)),"")</f>
        <v>1</v>
      </c>
      <c r="J1034" s="5">
        <f>VLOOKUP(B1034,Bookings!B:H,7,FALSE())</f>
        <v>31.25</v>
      </c>
      <c r="K1034" s="5" t="str">
        <f t="shared" si="1"/>
        <v>Long</v>
      </c>
      <c r="L1034" s="11">
        <f t="array" ref="L1034">IFERROR(INDEX(Bookings!$K:$K,MATCH(A1034,Bookings!$A:$A,0)),"")</f>
        <v>7427</v>
      </c>
      <c r="M1034" s="5" t="str">
        <f t="shared" si="2"/>
        <v>Medium</v>
      </c>
      <c r="N1034" s="5">
        <f t="array" ref="N1034">IFERROR(INDEX(Bookings!$I:$I,MATCH(A1034,Bookings!$A:$A,0)),"")</f>
        <v>18</v>
      </c>
      <c r="O1034" s="5" t="str">
        <f t="shared" si="3"/>
        <v>Moderate</v>
      </c>
      <c r="P1034" s="5" t="str">
        <f t="shared" si="4"/>
        <v>Chennai -&gt; Mumbai</v>
      </c>
    </row>
    <row r="1035" ht="15.75" customHeight="1">
      <c r="A1035" s="5" t="s">
        <v>2851</v>
      </c>
      <c r="B1035" s="5" t="s">
        <v>2330</v>
      </c>
      <c r="C1035" s="5" t="s">
        <v>723</v>
      </c>
      <c r="D1035" s="5" t="s">
        <v>45</v>
      </c>
      <c r="E1035" s="6" t="str">
        <f t="array" ref="E1035">IFERROR(INDEX(Airlines!$B:$B,MATCH(D1035,Airlines!$A:$A,0)),"")</f>
        <v>Air_India</v>
      </c>
      <c r="F1035" s="6" t="str">
        <f>VLOOKUP(A1035,Bookings!$A:$F,6,FALSE())</f>
        <v>Economy</v>
      </c>
      <c r="G1035" s="6" t="str">
        <f t="array" ref="G1035">IFERROR(INDEX(Flights!$E:$E,MATCH(B1035,Flights!$A:$A,0)),"")</f>
        <v>Chennai</v>
      </c>
      <c r="H1035" s="6" t="str">
        <f>VLOOKUP(B1035,Flights!A:H,6,FALSE())</f>
        <v>Mumbai</v>
      </c>
      <c r="I1035" s="6" t="str">
        <f t="array" ref="I1035">IFERROR(INDEX(Bookings!$G:$G,MATCH(B1035,Bookings!$B:$B,0)),"")</f>
        <v>1</v>
      </c>
      <c r="J1035" s="5">
        <f>VLOOKUP(B1035,Bookings!B:H,7,FALSE())</f>
        <v>23.42</v>
      </c>
      <c r="K1035" s="5" t="str">
        <f t="shared" si="1"/>
        <v>Long</v>
      </c>
      <c r="L1035" s="11">
        <f t="array" ref="L1035">IFERROR(INDEX(Bookings!$K:$K,MATCH(A1035,Bookings!$A:$A,0)),"")</f>
        <v>8048</v>
      </c>
      <c r="M1035" s="5" t="str">
        <f t="shared" si="2"/>
        <v>Medium</v>
      </c>
      <c r="N1035" s="5">
        <f t="array" ref="N1035">IFERROR(INDEX(Bookings!$I:$I,MATCH(A1035,Bookings!$A:$A,0)),"")</f>
        <v>20</v>
      </c>
      <c r="O1035" s="5" t="str">
        <f t="shared" si="3"/>
        <v>Moderate</v>
      </c>
      <c r="P1035" s="5" t="str">
        <f t="shared" si="4"/>
        <v>Chennai -&gt; Mumbai</v>
      </c>
    </row>
    <row r="1036" ht="15.75" customHeight="1">
      <c r="A1036" s="5" t="s">
        <v>2853</v>
      </c>
      <c r="B1036" s="5" t="s">
        <v>2377</v>
      </c>
      <c r="C1036" s="5" t="s">
        <v>723</v>
      </c>
      <c r="D1036" s="5" t="s">
        <v>45</v>
      </c>
      <c r="E1036" s="6" t="str">
        <f t="array" ref="E1036">IFERROR(INDEX(Airlines!$B:$B,MATCH(D1036,Airlines!$A:$A,0)),"")</f>
        <v>Air_India</v>
      </c>
      <c r="F1036" s="6" t="str">
        <f>VLOOKUP(A1036,Bookings!$A:$F,6,FALSE())</f>
        <v>Economy</v>
      </c>
      <c r="G1036" s="6" t="str">
        <f t="array" ref="G1036">IFERROR(INDEX(Flights!$E:$E,MATCH(B1036,Flights!$A:$A,0)),"")</f>
        <v>Chennai</v>
      </c>
      <c r="H1036" s="6" t="str">
        <f>VLOOKUP(B1036,Flights!A:H,6,FALSE())</f>
        <v>Mumbai</v>
      </c>
      <c r="I1036" s="6" t="str">
        <f t="array" ref="I1036">IFERROR(INDEX(Bookings!$G:$G,MATCH(B1036,Bookings!$B:$B,0)),"")</f>
        <v>1</v>
      </c>
      <c r="J1036" s="5">
        <f>VLOOKUP(B1036,Bookings!B:H,7,FALSE())</f>
        <v>29.92</v>
      </c>
      <c r="K1036" s="5" t="str">
        <f t="shared" si="1"/>
        <v>Long</v>
      </c>
      <c r="L1036" s="11">
        <f t="array" ref="L1036">IFERROR(INDEX(Bookings!$K:$K,MATCH(A1036,Bookings!$A:$A,0)),"")</f>
        <v>5132</v>
      </c>
      <c r="M1036" s="5" t="str">
        <f t="shared" si="2"/>
        <v>Medium</v>
      </c>
      <c r="N1036" s="5">
        <f t="array" ref="N1036">IFERROR(INDEX(Bookings!$I:$I,MATCH(A1036,Bookings!$A:$A,0)),"")</f>
        <v>44</v>
      </c>
      <c r="O1036" s="5" t="str">
        <f t="shared" si="3"/>
        <v>Advance</v>
      </c>
      <c r="P1036" s="5" t="str">
        <f t="shared" si="4"/>
        <v>Chennai -&gt; Mumbai</v>
      </c>
    </row>
    <row r="1037" ht="15.75" customHeight="1">
      <c r="A1037" s="5" t="s">
        <v>2855</v>
      </c>
      <c r="B1037" s="5" t="s">
        <v>2367</v>
      </c>
      <c r="C1037" s="5" t="s">
        <v>723</v>
      </c>
      <c r="D1037" s="5" t="s">
        <v>45</v>
      </c>
      <c r="E1037" s="6" t="str">
        <f t="array" ref="E1037">IFERROR(INDEX(Airlines!$B:$B,MATCH(D1037,Airlines!$A:$A,0)),"")</f>
        <v>Air_India</v>
      </c>
      <c r="F1037" s="6" t="str">
        <f>VLOOKUP(A1037,Bookings!$A:$F,6,FALSE())</f>
        <v>Economy</v>
      </c>
      <c r="G1037" s="6" t="str">
        <f t="array" ref="G1037">IFERROR(INDEX(Flights!$E:$E,MATCH(B1037,Flights!$A:$A,0)),"")</f>
        <v>Chennai</v>
      </c>
      <c r="H1037" s="6" t="str">
        <f>VLOOKUP(B1037,Flights!A:H,6,FALSE())</f>
        <v>Mumbai</v>
      </c>
      <c r="I1037" s="6" t="str">
        <f t="array" ref="I1037">IFERROR(INDEX(Bookings!$G:$G,MATCH(B1037,Bookings!$B:$B,0)),"")</f>
        <v>1</v>
      </c>
      <c r="J1037" s="5">
        <f>VLOOKUP(B1037,Bookings!B:H,7,FALSE())</f>
        <v>25.75</v>
      </c>
      <c r="K1037" s="5" t="str">
        <f t="shared" si="1"/>
        <v>Long</v>
      </c>
      <c r="L1037" s="11">
        <f t="array" ref="L1037">IFERROR(INDEX(Bookings!$K:$K,MATCH(A1037,Bookings!$A:$A,0)),"")</f>
        <v>7442</v>
      </c>
      <c r="M1037" s="5" t="str">
        <f t="shared" si="2"/>
        <v>Medium</v>
      </c>
      <c r="N1037" s="5">
        <f t="array" ref="N1037">IFERROR(INDEX(Bookings!$I:$I,MATCH(A1037,Bookings!$A:$A,0)),"")</f>
        <v>44</v>
      </c>
      <c r="O1037" s="5" t="str">
        <f t="shared" si="3"/>
        <v>Advance</v>
      </c>
      <c r="P1037" s="5" t="str">
        <f t="shared" si="4"/>
        <v>Chennai -&gt; Mumbai</v>
      </c>
    </row>
    <row r="1038" ht="15.75" customHeight="1">
      <c r="A1038" s="5" t="s">
        <v>2856</v>
      </c>
      <c r="B1038" s="5" t="s">
        <v>2362</v>
      </c>
      <c r="C1038" s="5" t="s">
        <v>723</v>
      </c>
      <c r="D1038" s="5" t="s">
        <v>58</v>
      </c>
      <c r="E1038" s="6" t="str">
        <f t="array" ref="E1038">IFERROR(INDEX(Airlines!$B:$B,MATCH(D1038,Airlines!$A:$A,0)),"")</f>
        <v>Go_First</v>
      </c>
      <c r="F1038" s="6" t="str">
        <f>VLOOKUP(A1038,Bookings!$A:$F,6,FALSE())</f>
        <v>Economy</v>
      </c>
      <c r="G1038" s="6" t="str">
        <f t="array" ref="G1038">IFERROR(INDEX(Flights!$E:$E,MATCH(B1038,Flights!$A:$A,0)),"")</f>
        <v>Chennai</v>
      </c>
      <c r="H1038" s="6" t="str">
        <f>VLOOKUP(B1038,Flights!A:H,6,FALSE())</f>
        <v>Mumbai</v>
      </c>
      <c r="I1038" s="6" t="str">
        <f t="array" ref="I1038">IFERROR(INDEX(Bookings!$G:$G,MATCH(B1038,Bookings!$B:$B,0)),"")</f>
        <v>1</v>
      </c>
      <c r="J1038" s="5">
        <f>VLOOKUP(B1038,Bookings!B:H,7,FALSE())</f>
        <v>7.5</v>
      </c>
      <c r="K1038" s="5" t="str">
        <f t="shared" si="1"/>
        <v>Medium</v>
      </c>
      <c r="L1038" s="11">
        <f t="array" ref="L1038">IFERROR(INDEX(Bookings!$K:$K,MATCH(A1038,Bookings!$A:$A,0)),"")</f>
        <v>3663</v>
      </c>
      <c r="M1038" s="5" t="str">
        <f t="shared" si="2"/>
        <v>Low</v>
      </c>
      <c r="N1038" s="5">
        <f t="array" ref="N1038">IFERROR(INDEX(Bookings!$I:$I,MATCH(A1038,Bookings!$A:$A,0)),"")</f>
        <v>45</v>
      </c>
      <c r="O1038" s="5" t="str">
        <f t="shared" si="3"/>
        <v>Advance</v>
      </c>
      <c r="P1038" s="5" t="str">
        <f t="shared" si="4"/>
        <v>Chennai -&gt; Mumbai</v>
      </c>
    </row>
    <row r="1039" ht="15.75" customHeight="1">
      <c r="A1039" s="5" t="s">
        <v>2857</v>
      </c>
      <c r="B1039" s="5" t="s">
        <v>2375</v>
      </c>
      <c r="C1039" s="5" t="s">
        <v>723</v>
      </c>
      <c r="D1039" s="5" t="s">
        <v>20</v>
      </c>
      <c r="E1039" s="6" t="str">
        <f t="array" ref="E1039">IFERROR(INDEX(Airlines!$B:$B,MATCH(D1039,Airlines!$A:$A,0)),"")</f>
        <v>Vistara</v>
      </c>
      <c r="F1039" s="6" t="str">
        <f>VLOOKUP(A1039,Bookings!$A:$F,6,FALSE())</f>
        <v>Economy</v>
      </c>
      <c r="G1039" s="6" t="str">
        <f t="array" ref="G1039">IFERROR(INDEX(Flights!$E:$E,MATCH(B1039,Flights!$A:$A,0)),"")</f>
        <v>Chennai</v>
      </c>
      <c r="H1039" s="6" t="str">
        <f>VLOOKUP(B1039,Flights!A:H,6,FALSE())</f>
        <v>Mumbai</v>
      </c>
      <c r="I1039" s="6" t="str">
        <f t="array" ref="I1039">IFERROR(INDEX(Bookings!$G:$G,MATCH(B1039,Bookings!$B:$B,0)),"")</f>
        <v>1</v>
      </c>
      <c r="J1039" s="5">
        <f>VLOOKUP(B1039,Bookings!B:H,7,FALSE())</f>
        <v>20.58</v>
      </c>
      <c r="K1039" s="5" t="str">
        <f t="shared" si="1"/>
        <v>Long</v>
      </c>
      <c r="L1039" s="11">
        <f t="array" ref="L1039">IFERROR(INDEX(Bookings!$K:$K,MATCH(A1039,Bookings!$A:$A,0)),"")</f>
        <v>4117</v>
      </c>
      <c r="M1039" s="5" t="str">
        <f t="shared" si="2"/>
        <v>Low</v>
      </c>
      <c r="N1039" s="5">
        <f t="array" ref="N1039">IFERROR(INDEX(Bookings!$I:$I,MATCH(A1039,Bookings!$A:$A,0)),"")</f>
        <v>46</v>
      </c>
      <c r="O1039" s="5" t="str">
        <f t="shared" si="3"/>
        <v>Advance</v>
      </c>
      <c r="P1039" s="5" t="str">
        <f t="shared" si="4"/>
        <v>Chennai -&gt; Mumbai</v>
      </c>
    </row>
    <row r="1040" ht="15.75" customHeight="1">
      <c r="A1040" s="5" t="s">
        <v>2858</v>
      </c>
      <c r="B1040" s="5" t="s">
        <v>2387</v>
      </c>
      <c r="C1040" s="5" t="s">
        <v>723</v>
      </c>
      <c r="D1040" s="5" t="s">
        <v>58</v>
      </c>
      <c r="E1040" s="6" t="str">
        <f t="array" ref="E1040">IFERROR(INDEX(Airlines!$B:$B,MATCH(D1040,Airlines!$A:$A,0)),"")</f>
        <v>Go_First</v>
      </c>
      <c r="F1040" s="6" t="str">
        <f>VLOOKUP(A1040,Bookings!$A:$F,6,FALSE())</f>
        <v>Economy</v>
      </c>
      <c r="G1040" s="6" t="str">
        <f t="array" ref="G1040">IFERROR(INDEX(Flights!$E:$E,MATCH(B1040,Flights!$A:$A,0)),"")</f>
        <v>Chennai</v>
      </c>
      <c r="H1040" s="6" t="str">
        <f>VLOOKUP(B1040,Flights!A:H,6,FALSE())</f>
        <v>Mumbai</v>
      </c>
      <c r="I1040" s="6" t="str">
        <f t="array" ref="I1040">IFERROR(INDEX(Bookings!$G:$G,MATCH(B1040,Bookings!$B:$B,0)),"")</f>
        <v>1</v>
      </c>
      <c r="J1040" s="5">
        <f>VLOOKUP(B1040,Bookings!B:H,7,FALSE())</f>
        <v>10.75</v>
      </c>
      <c r="K1040" s="5" t="str">
        <f t="shared" si="1"/>
        <v>Long</v>
      </c>
      <c r="L1040" s="11">
        <f t="array" ref="L1040">IFERROR(INDEX(Bookings!$K:$K,MATCH(A1040,Bookings!$A:$A,0)),"")</f>
        <v>4554</v>
      </c>
      <c r="M1040" s="5" t="str">
        <f t="shared" si="2"/>
        <v>Low</v>
      </c>
      <c r="N1040" s="5">
        <f t="array" ref="N1040">IFERROR(INDEX(Bookings!$I:$I,MATCH(A1040,Bookings!$A:$A,0)),"")</f>
        <v>45</v>
      </c>
      <c r="O1040" s="5" t="str">
        <f t="shared" si="3"/>
        <v>Advance</v>
      </c>
      <c r="P1040" s="5" t="str">
        <f t="shared" si="4"/>
        <v>Chennai -&gt; Mumbai</v>
      </c>
    </row>
    <row r="1041" ht="15.75" customHeight="1">
      <c r="A1041" s="5" t="s">
        <v>2859</v>
      </c>
      <c r="B1041" s="5" t="s">
        <v>2312</v>
      </c>
      <c r="C1041" s="5" t="s">
        <v>723</v>
      </c>
      <c r="D1041" s="5" t="s">
        <v>20</v>
      </c>
      <c r="E1041" s="6" t="str">
        <f t="array" ref="E1041">IFERROR(INDEX(Airlines!$B:$B,MATCH(D1041,Airlines!$A:$A,0)),"")</f>
        <v>Vistara</v>
      </c>
      <c r="F1041" s="6" t="str">
        <f>VLOOKUP(A1041,Bookings!$A:$F,6,FALSE())</f>
        <v>Business</v>
      </c>
      <c r="G1041" s="6" t="str">
        <f t="array" ref="G1041">IFERROR(INDEX(Flights!$E:$E,MATCH(B1041,Flights!$A:$A,0)),"")</f>
        <v>Chennai</v>
      </c>
      <c r="H1041" s="6" t="str">
        <f>VLOOKUP(B1041,Flights!A:H,6,FALSE())</f>
        <v>Mumbai</v>
      </c>
      <c r="I1041" s="6" t="str">
        <f t="array" ref="I1041">IFERROR(INDEX(Bookings!$G:$G,MATCH(B1041,Bookings!$B:$B,0)),"")</f>
        <v>1</v>
      </c>
      <c r="J1041" s="5">
        <f>VLOOKUP(B1041,Bookings!B:H,7,FALSE())</f>
        <v>16.33</v>
      </c>
      <c r="K1041" s="5" t="str">
        <f t="shared" si="1"/>
        <v>Long</v>
      </c>
      <c r="L1041" s="11">
        <f t="array" ref="L1041">IFERROR(INDEX(Bookings!$K:$K,MATCH(A1041,Bookings!$A:$A,0)),"")</f>
        <v>93200</v>
      </c>
      <c r="M1041" s="5" t="str">
        <f t="shared" si="2"/>
        <v>High</v>
      </c>
      <c r="N1041" s="5">
        <f t="array" ref="N1041">IFERROR(INDEX(Bookings!$I:$I,MATCH(A1041,Bookings!$A:$A,0)),"")</f>
        <v>48</v>
      </c>
      <c r="O1041" s="5" t="str">
        <f t="shared" si="3"/>
        <v>Advance</v>
      </c>
      <c r="P1041" s="5" t="str">
        <f t="shared" si="4"/>
        <v>Chennai -&gt; Mumbai</v>
      </c>
    </row>
    <row r="1042" ht="15.75" customHeight="1">
      <c r="A1042" s="5" t="s">
        <v>2860</v>
      </c>
      <c r="B1042" s="5" t="s">
        <v>2357</v>
      </c>
      <c r="C1042" s="5" t="s">
        <v>723</v>
      </c>
      <c r="D1042" s="5" t="s">
        <v>20</v>
      </c>
      <c r="E1042" s="6" t="str">
        <f t="array" ref="E1042">IFERROR(INDEX(Airlines!$B:$B,MATCH(D1042,Airlines!$A:$A,0)),"")</f>
        <v>Vistara</v>
      </c>
      <c r="F1042" s="6" t="str">
        <f>VLOOKUP(A1042,Bookings!$A:$F,6,FALSE())</f>
        <v>Business</v>
      </c>
      <c r="G1042" s="6" t="str">
        <f t="array" ref="G1042">IFERROR(INDEX(Flights!$E:$E,MATCH(B1042,Flights!$A:$A,0)),"")</f>
        <v>Chennai</v>
      </c>
      <c r="H1042" s="6" t="str">
        <f>VLOOKUP(B1042,Flights!A:H,6,FALSE())</f>
        <v>Mumbai</v>
      </c>
      <c r="I1042" s="6" t="str">
        <f t="array" ref="I1042">IFERROR(INDEX(Bookings!$G:$G,MATCH(B1042,Bookings!$B:$B,0)),"")</f>
        <v>1</v>
      </c>
      <c r="J1042" s="5">
        <f>VLOOKUP(B1042,Bookings!B:H,7,FALSE())</f>
        <v>14.5</v>
      </c>
      <c r="K1042" s="5" t="str">
        <f t="shared" si="1"/>
        <v>Long</v>
      </c>
      <c r="L1042" s="11">
        <f t="array" ref="L1042">IFERROR(INDEX(Bookings!$K:$K,MATCH(A1042,Bookings!$A:$A,0)),"")</f>
        <v>63979</v>
      </c>
      <c r="M1042" s="5" t="str">
        <f t="shared" si="2"/>
        <v>High</v>
      </c>
      <c r="N1042" s="5">
        <f t="array" ref="N1042">IFERROR(INDEX(Bookings!$I:$I,MATCH(A1042,Bookings!$A:$A,0)),"")</f>
        <v>48</v>
      </c>
      <c r="O1042" s="5" t="str">
        <f t="shared" si="3"/>
        <v>Advance</v>
      </c>
      <c r="P1042" s="5" t="str">
        <f t="shared" si="4"/>
        <v>Chennai -&gt; Mumbai</v>
      </c>
    </row>
    <row r="1043" ht="15.75" customHeight="1">
      <c r="A1043" s="5" t="s">
        <v>2861</v>
      </c>
      <c r="B1043" s="5" t="s">
        <v>2328</v>
      </c>
      <c r="C1043" s="5" t="s">
        <v>723</v>
      </c>
      <c r="D1043" s="5" t="s">
        <v>45</v>
      </c>
      <c r="E1043" s="6" t="str">
        <f t="array" ref="E1043">IFERROR(INDEX(Airlines!$B:$B,MATCH(D1043,Airlines!$A:$A,0)),"")</f>
        <v>Air_India</v>
      </c>
      <c r="F1043" s="6" t="str">
        <f>VLOOKUP(A1043,Bookings!$A:$F,6,FALSE())</f>
        <v>Business</v>
      </c>
      <c r="G1043" s="6" t="str">
        <f t="array" ref="G1043">IFERROR(INDEX(Flights!$E:$E,MATCH(B1043,Flights!$A:$A,0)),"")</f>
        <v>Chennai</v>
      </c>
      <c r="H1043" s="6" t="str">
        <f>VLOOKUP(B1043,Flights!A:H,6,FALSE())</f>
        <v>Mumbai</v>
      </c>
      <c r="I1043" s="6" t="str">
        <f t="array" ref="I1043">IFERROR(INDEX(Bookings!$G:$G,MATCH(B1043,Bookings!$B:$B,0)),"")</f>
        <v>1</v>
      </c>
      <c r="J1043" s="5">
        <f>VLOOKUP(B1043,Bookings!B:H,7,FALSE())</f>
        <v>20.25</v>
      </c>
      <c r="K1043" s="5" t="str">
        <f t="shared" si="1"/>
        <v>Long</v>
      </c>
      <c r="L1043" s="11">
        <f t="array" ref="L1043">IFERROR(INDEX(Bookings!$K:$K,MATCH(A1043,Bookings!$A:$A,0)),"")</f>
        <v>32305</v>
      </c>
      <c r="M1043" s="5" t="str">
        <f t="shared" si="2"/>
        <v>High</v>
      </c>
      <c r="N1043" s="5">
        <f t="array" ref="N1043">IFERROR(INDEX(Bookings!$I:$I,MATCH(A1043,Bookings!$A:$A,0)),"")</f>
        <v>47</v>
      </c>
      <c r="O1043" s="5" t="str">
        <f t="shared" si="3"/>
        <v>Advance</v>
      </c>
      <c r="P1043" s="5" t="str">
        <f t="shared" si="4"/>
        <v>Chennai -&gt; Mumbai</v>
      </c>
    </row>
    <row r="1044" ht="15.75" customHeight="1">
      <c r="A1044" s="5" t="s">
        <v>2862</v>
      </c>
      <c r="B1044" s="5" t="s">
        <v>2350</v>
      </c>
      <c r="C1044" s="5" t="s">
        <v>723</v>
      </c>
      <c r="D1044" s="5" t="s">
        <v>45</v>
      </c>
      <c r="E1044" s="6" t="str">
        <f t="array" ref="E1044">IFERROR(INDEX(Airlines!$B:$B,MATCH(D1044,Airlines!$A:$A,0)),"")</f>
        <v>Air_India</v>
      </c>
      <c r="F1044" s="6" t="str">
        <f>VLOOKUP(A1044,Bookings!$A:$F,6,FALSE())</f>
        <v>Economy</v>
      </c>
      <c r="G1044" s="6" t="str">
        <f t="array" ref="G1044">IFERROR(INDEX(Flights!$E:$E,MATCH(B1044,Flights!$A:$A,0)),"")</f>
        <v>Chennai</v>
      </c>
      <c r="H1044" s="6" t="str">
        <f>VLOOKUP(B1044,Flights!A:H,6,FALSE())</f>
        <v>Mumbai</v>
      </c>
      <c r="I1044" s="6" t="str">
        <f t="array" ref="I1044">IFERROR(INDEX(Bookings!$G:$G,MATCH(B1044,Bookings!$B:$B,0)),"")</f>
        <v>1</v>
      </c>
      <c r="J1044" s="5">
        <f>VLOOKUP(B1044,Bookings!B:H,7,FALSE())</f>
        <v>33.75</v>
      </c>
      <c r="K1044" s="5" t="str">
        <f t="shared" si="1"/>
        <v>Long</v>
      </c>
      <c r="L1044" s="11">
        <f t="array" ref="L1044">IFERROR(INDEX(Bookings!$K:$K,MATCH(A1044,Bookings!$A:$A,0)),"")</f>
        <v>5320</v>
      </c>
      <c r="M1044" s="5" t="str">
        <f t="shared" si="2"/>
        <v>Medium</v>
      </c>
      <c r="N1044" s="5">
        <f t="array" ref="N1044">IFERROR(INDEX(Bookings!$I:$I,MATCH(A1044,Bookings!$A:$A,0)),"")</f>
        <v>49</v>
      </c>
      <c r="O1044" s="5" t="str">
        <f t="shared" si="3"/>
        <v>Advance</v>
      </c>
      <c r="P1044" s="5" t="str">
        <f t="shared" si="4"/>
        <v>Chennai -&gt; Mumbai</v>
      </c>
    </row>
    <row r="1045" ht="15.75" customHeight="1">
      <c r="A1045" s="5" t="s">
        <v>2863</v>
      </c>
      <c r="B1045" s="5" t="s">
        <v>2489</v>
      </c>
      <c r="C1045" s="5" t="s">
        <v>753</v>
      </c>
      <c r="D1045" s="5" t="s">
        <v>45</v>
      </c>
      <c r="E1045" s="6" t="str">
        <f t="array" ref="E1045">IFERROR(INDEX(Airlines!$B:$B,MATCH(D1045,Airlines!$A:$A,0)),"")</f>
        <v>Air_India</v>
      </c>
      <c r="F1045" s="6" t="str">
        <f>VLOOKUP(A1045,Bookings!$A:$F,6,FALSE())</f>
        <v>Business</v>
      </c>
      <c r="G1045" s="6" t="str">
        <f t="array" ref="G1045">IFERROR(INDEX(Flights!$E:$E,MATCH(B1045,Flights!$A:$A,0)),"")</f>
        <v>Chennai</v>
      </c>
      <c r="H1045" s="6" t="str">
        <f>VLOOKUP(B1045,Flights!A:H,6,FALSE())</f>
        <v>Bengaluru</v>
      </c>
      <c r="I1045" s="6" t="str">
        <f t="array" ref="I1045">IFERROR(INDEX(Bookings!$G:$G,MATCH(B1045,Bookings!$B:$B,0)),"")</f>
        <v>1</v>
      </c>
      <c r="J1045" s="5">
        <f>VLOOKUP(B1045,Bookings!B:H,7,FALSE())</f>
        <v>23.25</v>
      </c>
      <c r="K1045" s="5" t="str">
        <f t="shared" si="1"/>
        <v>Long</v>
      </c>
      <c r="L1045" s="11">
        <f t="array" ref="L1045">IFERROR(INDEX(Bookings!$K:$K,MATCH(A1045,Bookings!$A:$A,0)),"")</f>
        <v>72356</v>
      </c>
      <c r="M1045" s="5" t="str">
        <f t="shared" si="2"/>
        <v>High</v>
      </c>
      <c r="N1045" s="5">
        <f t="array" ref="N1045">IFERROR(INDEX(Bookings!$I:$I,MATCH(A1045,Bookings!$A:$A,0)),"")</f>
        <v>5</v>
      </c>
      <c r="O1045" s="5" t="str">
        <f t="shared" si="3"/>
        <v>Last Minute</v>
      </c>
      <c r="P1045" s="5" t="str">
        <f t="shared" si="4"/>
        <v>Chennai -&gt; Bengaluru</v>
      </c>
    </row>
    <row r="1046" ht="15.75" customHeight="1">
      <c r="A1046" s="5" t="s">
        <v>2864</v>
      </c>
      <c r="B1046" s="5" t="s">
        <v>2444</v>
      </c>
      <c r="C1046" s="5" t="s">
        <v>753</v>
      </c>
      <c r="D1046" s="5" t="s">
        <v>43</v>
      </c>
      <c r="E1046" s="6" t="str">
        <f t="array" ref="E1046">IFERROR(INDEX(Airlines!$B:$B,MATCH(D1046,Airlines!$A:$A,0)),"")</f>
        <v>Indigo</v>
      </c>
      <c r="F1046" s="6" t="str">
        <f>VLOOKUP(A1046,Bookings!$A:$F,6,FALSE())</f>
        <v>Economy</v>
      </c>
      <c r="G1046" s="6" t="str">
        <f t="array" ref="G1046">IFERROR(INDEX(Flights!$E:$E,MATCH(B1046,Flights!$A:$A,0)),"")</f>
        <v>Chennai</v>
      </c>
      <c r="H1046" s="6" t="str">
        <f>VLOOKUP(B1046,Flights!A:H,6,FALSE())</f>
        <v>Bengaluru</v>
      </c>
      <c r="I1046" s="6" t="str">
        <f t="array" ref="I1046">IFERROR(INDEX(Bookings!$G:$G,MATCH(B1046,Bookings!$B:$B,0)),"")</f>
        <v>1</v>
      </c>
      <c r="J1046" s="5">
        <f>VLOOKUP(B1046,Bookings!B:H,7,FALSE())</f>
        <v>5.83</v>
      </c>
      <c r="K1046" s="5" t="str">
        <f t="shared" si="1"/>
        <v>Medium</v>
      </c>
      <c r="L1046" s="11">
        <f t="array" ref="L1046">IFERROR(INDEX(Bookings!$K:$K,MATCH(A1046,Bookings!$A:$A,0)),"")</f>
        <v>7037</v>
      </c>
      <c r="M1046" s="5" t="str">
        <f t="shared" si="2"/>
        <v>Medium</v>
      </c>
      <c r="N1046" s="5">
        <f t="array" ref="N1046">IFERROR(INDEX(Bookings!$I:$I,MATCH(A1046,Bookings!$A:$A,0)),"")</f>
        <v>2</v>
      </c>
      <c r="O1046" s="5" t="str">
        <f t="shared" si="3"/>
        <v>Last Minute</v>
      </c>
      <c r="P1046" s="5" t="str">
        <f t="shared" si="4"/>
        <v>Chennai -&gt; Bengaluru</v>
      </c>
    </row>
    <row r="1047" ht="15.75" customHeight="1">
      <c r="A1047" s="5" t="s">
        <v>2865</v>
      </c>
      <c r="B1047" s="5" t="s">
        <v>2418</v>
      </c>
      <c r="C1047" s="5" t="s">
        <v>753</v>
      </c>
      <c r="D1047" s="5" t="s">
        <v>20</v>
      </c>
      <c r="E1047" s="6" t="str">
        <f t="array" ref="E1047">IFERROR(INDEX(Airlines!$B:$B,MATCH(D1047,Airlines!$A:$A,0)),"")</f>
        <v>Vistara</v>
      </c>
      <c r="F1047" s="6" t="str">
        <f>VLOOKUP(A1047,Bookings!$A:$F,6,FALSE())</f>
        <v>Business</v>
      </c>
      <c r="G1047" s="6" t="str">
        <f t="array" ref="G1047">IFERROR(INDEX(Flights!$E:$E,MATCH(B1047,Flights!$A:$A,0)),"")</f>
        <v>Chennai</v>
      </c>
      <c r="H1047" s="6" t="str">
        <f>VLOOKUP(B1047,Flights!A:H,6,FALSE())</f>
        <v>Bengaluru</v>
      </c>
      <c r="I1047" s="6" t="str">
        <f t="array" ref="I1047">IFERROR(INDEX(Bookings!$G:$G,MATCH(B1047,Bookings!$B:$B,0)),"")</f>
        <v>1</v>
      </c>
      <c r="J1047" s="5">
        <f>VLOOKUP(B1047,Bookings!B:H,7,FALSE())</f>
        <v>25.08</v>
      </c>
      <c r="K1047" s="5" t="str">
        <f t="shared" si="1"/>
        <v>Long</v>
      </c>
      <c r="L1047" s="11">
        <f t="array" ref="L1047">IFERROR(INDEX(Bookings!$K:$K,MATCH(A1047,Bookings!$A:$A,0)),"")</f>
        <v>60260</v>
      </c>
      <c r="M1047" s="5" t="str">
        <f t="shared" si="2"/>
        <v>High</v>
      </c>
      <c r="N1047" s="5">
        <f t="array" ref="N1047">IFERROR(INDEX(Bookings!$I:$I,MATCH(A1047,Bookings!$A:$A,0)),"")</f>
        <v>10</v>
      </c>
      <c r="O1047" s="5" t="str">
        <f t="shared" si="3"/>
        <v>Short Notice</v>
      </c>
      <c r="P1047" s="5" t="str">
        <f t="shared" si="4"/>
        <v>Chennai -&gt; Bengaluru</v>
      </c>
    </row>
    <row r="1048" ht="15.75" customHeight="1">
      <c r="A1048" s="5" t="s">
        <v>2866</v>
      </c>
      <c r="B1048" s="5" t="s">
        <v>2473</v>
      </c>
      <c r="C1048" s="5" t="s">
        <v>753</v>
      </c>
      <c r="D1048" s="5" t="s">
        <v>20</v>
      </c>
      <c r="E1048" s="6" t="str">
        <f t="array" ref="E1048">IFERROR(INDEX(Airlines!$B:$B,MATCH(D1048,Airlines!$A:$A,0)),"")</f>
        <v>Vistara</v>
      </c>
      <c r="F1048" s="6" t="str">
        <f>VLOOKUP(A1048,Bookings!$A:$F,6,FALSE())</f>
        <v>Economy</v>
      </c>
      <c r="G1048" s="6" t="str">
        <f t="array" ref="G1048">IFERROR(INDEX(Flights!$E:$E,MATCH(B1048,Flights!$A:$A,0)),"")</f>
        <v>Chennai</v>
      </c>
      <c r="H1048" s="6" t="str">
        <f>VLOOKUP(B1048,Flights!A:H,6,FALSE())</f>
        <v>Bengaluru</v>
      </c>
      <c r="I1048" s="6" t="str">
        <f t="array" ref="I1048">IFERROR(INDEX(Bookings!$G:$G,MATCH(B1048,Bookings!$B:$B,0)),"")</f>
        <v>1</v>
      </c>
      <c r="J1048" s="5">
        <f>VLOOKUP(B1048,Bookings!B:H,7,FALSE())</f>
        <v>19.92</v>
      </c>
      <c r="K1048" s="5" t="str">
        <f t="shared" si="1"/>
        <v>Long</v>
      </c>
      <c r="L1048" s="11">
        <f t="array" ref="L1048">IFERROR(INDEX(Bookings!$K:$K,MATCH(A1048,Bookings!$A:$A,0)),"")</f>
        <v>6437</v>
      </c>
      <c r="M1048" s="5" t="str">
        <f t="shared" si="2"/>
        <v>Medium</v>
      </c>
      <c r="N1048" s="5">
        <f t="array" ref="N1048">IFERROR(INDEX(Bookings!$I:$I,MATCH(A1048,Bookings!$A:$A,0)),"")</f>
        <v>27</v>
      </c>
      <c r="O1048" s="5" t="str">
        <f t="shared" si="3"/>
        <v>Moderate</v>
      </c>
      <c r="P1048" s="5" t="str">
        <f t="shared" si="4"/>
        <v>Chennai -&gt; Bengaluru</v>
      </c>
    </row>
    <row r="1049" ht="15.75" customHeight="1">
      <c r="A1049" s="5" t="s">
        <v>2867</v>
      </c>
      <c r="B1049" s="5" t="s">
        <v>2402</v>
      </c>
      <c r="C1049" s="5" t="s">
        <v>753</v>
      </c>
      <c r="D1049" s="5" t="s">
        <v>45</v>
      </c>
      <c r="E1049" s="6" t="str">
        <f t="array" ref="E1049">IFERROR(INDEX(Airlines!$B:$B,MATCH(D1049,Airlines!$A:$A,0)),"")</f>
        <v>Air_India</v>
      </c>
      <c r="F1049" s="6" t="str">
        <f>VLOOKUP(A1049,Bookings!$A:$F,6,FALSE())</f>
        <v>Business</v>
      </c>
      <c r="G1049" s="6" t="str">
        <f t="array" ref="G1049">IFERROR(INDEX(Flights!$E:$E,MATCH(B1049,Flights!$A:$A,0)),"")</f>
        <v>Chennai</v>
      </c>
      <c r="H1049" s="6" t="str">
        <f>VLOOKUP(B1049,Flights!A:H,6,FALSE())</f>
        <v>Bengaluru</v>
      </c>
      <c r="I1049" s="6">
        <f t="array" ref="I1049">IFERROR(INDEX(Bookings!$G:$G,MATCH(B1049,Bookings!$B:$B,0)),"")</f>
        <v>1</v>
      </c>
      <c r="J1049" s="5">
        <f>VLOOKUP(B1049,Bookings!B:H,7,FALSE())</f>
        <v>7.5</v>
      </c>
      <c r="K1049" s="5" t="str">
        <f t="shared" si="1"/>
        <v>Medium</v>
      </c>
      <c r="L1049" s="11">
        <f t="array" ref="L1049">IFERROR(INDEX(Bookings!$K:$K,MATCH(A1049,Bookings!$A:$A,0)),"")</f>
        <v>65309</v>
      </c>
      <c r="M1049" s="5" t="str">
        <f t="shared" si="2"/>
        <v>High</v>
      </c>
      <c r="N1049" s="5">
        <f t="array" ref="N1049">IFERROR(INDEX(Bookings!$I:$I,MATCH(A1049,Bookings!$A:$A,0)),"")</f>
        <v>2</v>
      </c>
      <c r="O1049" s="5" t="str">
        <f t="shared" si="3"/>
        <v>Last Minute</v>
      </c>
      <c r="P1049" s="5" t="str">
        <f t="shared" si="4"/>
        <v>Chennai -&gt; Bengaluru</v>
      </c>
    </row>
    <row r="1050" ht="15.75" customHeight="1">
      <c r="A1050" s="5" t="s">
        <v>2869</v>
      </c>
      <c r="B1050" s="5" t="s">
        <v>2449</v>
      </c>
      <c r="C1050" s="5" t="s">
        <v>753</v>
      </c>
      <c r="D1050" s="5" t="s">
        <v>45</v>
      </c>
      <c r="E1050" s="6" t="str">
        <f t="array" ref="E1050">IFERROR(INDEX(Airlines!$B:$B,MATCH(D1050,Airlines!$A:$A,0)),"")</f>
        <v>Air_India</v>
      </c>
      <c r="F1050" s="6" t="str">
        <f>VLOOKUP(A1050,Bookings!$A:$F,6,FALSE())</f>
        <v>Economy</v>
      </c>
      <c r="G1050" s="6" t="str">
        <f t="array" ref="G1050">IFERROR(INDEX(Flights!$E:$E,MATCH(B1050,Flights!$A:$A,0)),"")</f>
        <v>Chennai</v>
      </c>
      <c r="H1050" s="6" t="str">
        <f>VLOOKUP(B1050,Flights!A:H,6,FALSE())</f>
        <v>Bengaluru</v>
      </c>
      <c r="I1050" s="6" t="str">
        <f t="array" ref="I1050">IFERROR(INDEX(Bookings!$G:$G,MATCH(B1050,Bookings!$B:$B,0)),"")</f>
        <v>1</v>
      </c>
      <c r="J1050" s="5">
        <f>VLOOKUP(B1050,Bookings!B:H,7,FALSE())</f>
        <v>34</v>
      </c>
      <c r="K1050" s="5" t="str">
        <f t="shared" si="1"/>
        <v>Long</v>
      </c>
      <c r="L1050" s="11">
        <f t="array" ref="L1050">IFERROR(INDEX(Bookings!$K:$K,MATCH(A1050,Bookings!$A:$A,0)),"")</f>
        <v>5012</v>
      </c>
      <c r="M1050" s="5" t="str">
        <f t="shared" si="2"/>
        <v>Medium</v>
      </c>
      <c r="N1050" s="5">
        <f t="array" ref="N1050">IFERROR(INDEX(Bookings!$I:$I,MATCH(A1050,Bookings!$A:$A,0)),"")</f>
        <v>42</v>
      </c>
      <c r="O1050" s="5" t="str">
        <f t="shared" si="3"/>
        <v>Advance</v>
      </c>
      <c r="P1050" s="5" t="str">
        <f t="shared" si="4"/>
        <v>Chennai -&gt; Bengaluru</v>
      </c>
    </row>
    <row r="1051" ht="15.75" customHeight="1">
      <c r="A1051" s="5" t="s">
        <v>2871</v>
      </c>
      <c r="B1051" s="5" t="s">
        <v>2507</v>
      </c>
      <c r="C1051" s="5" t="s">
        <v>753</v>
      </c>
      <c r="D1051" s="5" t="s">
        <v>45</v>
      </c>
      <c r="E1051" s="6" t="str">
        <f t="array" ref="E1051">IFERROR(INDEX(Airlines!$B:$B,MATCH(D1051,Airlines!$A:$A,0)),"")</f>
        <v>Air_India</v>
      </c>
      <c r="F1051" s="6" t="str">
        <f>VLOOKUP(A1051,Bookings!$A:$F,6,FALSE())</f>
        <v>Business</v>
      </c>
      <c r="G1051" s="6" t="str">
        <f t="array" ref="G1051">IFERROR(INDEX(Flights!$E:$E,MATCH(B1051,Flights!$A:$A,0)),"")</f>
        <v>Chennai</v>
      </c>
      <c r="H1051" s="6" t="str">
        <f>VLOOKUP(B1051,Flights!A:H,6,FALSE())</f>
        <v>Bengaluru</v>
      </c>
      <c r="I1051" s="6" t="str">
        <f t="array" ref="I1051">IFERROR(INDEX(Bookings!$G:$G,MATCH(B1051,Bookings!$B:$B,0)),"")</f>
        <v>1</v>
      </c>
      <c r="J1051" s="5">
        <f>VLOOKUP(B1051,Bookings!B:H,7,FALSE())</f>
        <v>14.25</v>
      </c>
      <c r="K1051" s="5" t="str">
        <f t="shared" si="1"/>
        <v>Long</v>
      </c>
      <c r="L1051" s="11">
        <f t="array" ref="L1051">IFERROR(INDEX(Bookings!$K:$K,MATCH(A1051,Bookings!$A:$A,0)),"")</f>
        <v>60260</v>
      </c>
      <c r="M1051" s="5" t="str">
        <f t="shared" si="2"/>
        <v>High</v>
      </c>
      <c r="N1051" s="5">
        <f t="array" ref="N1051">IFERROR(INDEX(Bookings!$I:$I,MATCH(A1051,Bookings!$A:$A,0)),"")</f>
        <v>43</v>
      </c>
      <c r="O1051" s="5" t="str">
        <f t="shared" si="3"/>
        <v>Advance</v>
      </c>
      <c r="P1051" s="5" t="str">
        <f t="shared" si="4"/>
        <v>Chennai -&gt; Bengaluru</v>
      </c>
    </row>
    <row r="1052" ht="15.75" customHeight="1">
      <c r="A1052" s="5" t="s">
        <v>2873</v>
      </c>
      <c r="B1052" s="5" t="s">
        <v>2487</v>
      </c>
      <c r="C1052" s="5" t="s">
        <v>753</v>
      </c>
      <c r="D1052" s="5" t="s">
        <v>45</v>
      </c>
      <c r="E1052" s="6" t="str">
        <f t="array" ref="E1052">IFERROR(INDEX(Airlines!$B:$B,MATCH(D1052,Airlines!$A:$A,0)),"")</f>
        <v>Air_India</v>
      </c>
      <c r="F1052" s="6" t="str">
        <f>VLOOKUP(A1052,Bookings!$A:$F,6,FALSE())</f>
        <v>Economy</v>
      </c>
      <c r="G1052" s="6" t="str">
        <f t="array" ref="G1052">IFERROR(INDEX(Flights!$E:$E,MATCH(B1052,Flights!$A:$A,0)),"")</f>
        <v>Chennai</v>
      </c>
      <c r="H1052" s="6" t="str">
        <f>VLOOKUP(B1052,Flights!A:H,6,FALSE())</f>
        <v>Bengaluru</v>
      </c>
      <c r="I1052" s="6" t="str">
        <f t="array" ref="I1052">IFERROR(INDEX(Bookings!$G:$G,MATCH(B1052,Bookings!$B:$B,0)),"")</f>
        <v>1</v>
      </c>
      <c r="J1052" s="5">
        <f>VLOOKUP(B1052,Bookings!B:H,7,FALSE())</f>
        <v>12.33</v>
      </c>
      <c r="K1052" s="5" t="str">
        <f t="shared" si="1"/>
        <v>Long</v>
      </c>
      <c r="L1052" s="11">
        <f t="array" ref="L1052">IFERROR(INDEX(Bookings!$K:$K,MATCH(A1052,Bookings!$A:$A,0)),"")</f>
        <v>29561</v>
      </c>
      <c r="M1052" s="5" t="str">
        <f t="shared" si="2"/>
        <v>High</v>
      </c>
      <c r="N1052" s="5">
        <f t="array" ref="N1052">IFERROR(INDEX(Bookings!$I:$I,MATCH(A1052,Bookings!$A:$A,0)),"")</f>
        <v>3</v>
      </c>
      <c r="O1052" s="5" t="str">
        <f t="shared" si="3"/>
        <v>Last Minute</v>
      </c>
      <c r="P1052" s="5" t="str">
        <f t="shared" si="4"/>
        <v>Chennai -&gt; Bengaluru</v>
      </c>
    </row>
    <row r="1053" ht="15.75" customHeight="1">
      <c r="A1053" s="5" t="s">
        <v>2875</v>
      </c>
      <c r="B1053" s="5" t="s">
        <v>2459</v>
      </c>
      <c r="C1053" s="5" t="s">
        <v>753</v>
      </c>
      <c r="D1053" s="5" t="s">
        <v>20</v>
      </c>
      <c r="E1053" s="6" t="str">
        <f t="array" ref="E1053">IFERROR(INDEX(Airlines!$B:$B,MATCH(D1053,Airlines!$A:$A,0)),"")</f>
        <v>Vistara</v>
      </c>
      <c r="F1053" s="6" t="str">
        <f>VLOOKUP(A1053,Bookings!$A:$F,6,FALSE())</f>
        <v>Economy</v>
      </c>
      <c r="G1053" s="6" t="str">
        <f t="array" ref="G1053">IFERROR(INDEX(Flights!$E:$E,MATCH(B1053,Flights!$A:$A,0)),"")</f>
        <v>Chennai</v>
      </c>
      <c r="H1053" s="6" t="str">
        <f>VLOOKUP(B1053,Flights!A:H,6,FALSE())</f>
        <v>Bengaluru</v>
      </c>
      <c r="I1053" s="6" t="str">
        <f t="array" ref="I1053">IFERROR(INDEX(Bookings!$G:$G,MATCH(B1053,Bookings!$B:$B,0)),"")</f>
        <v>1</v>
      </c>
      <c r="J1053" s="5">
        <f>VLOOKUP(B1053,Bookings!B:H,7,FALSE())</f>
        <v>26.25</v>
      </c>
      <c r="K1053" s="5" t="str">
        <f t="shared" si="1"/>
        <v>Long</v>
      </c>
      <c r="L1053" s="11">
        <f t="array" ref="L1053">IFERROR(INDEX(Bookings!$K:$K,MATCH(A1053,Bookings!$A:$A,0)),"")</f>
        <v>12318</v>
      </c>
      <c r="M1053" s="5" t="str">
        <f t="shared" si="2"/>
        <v>Medium</v>
      </c>
      <c r="N1053" s="5">
        <f t="array" ref="N1053">IFERROR(INDEX(Bookings!$I:$I,MATCH(A1053,Bookings!$A:$A,0)),"")</f>
        <v>4</v>
      </c>
      <c r="O1053" s="5" t="str">
        <f t="shared" si="3"/>
        <v>Last Minute</v>
      </c>
      <c r="P1053" s="5" t="str">
        <f t="shared" si="4"/>
        <v>Chennai -&gt; Bengaluru</v>
      </c>
    </row>
    <row r="1054" ht="15.75" customHeight="1">
      <c r="A1054" s="5" t="s">
        <v>2876</v>
      </c>
      <c r="B1054" s="5" t="s">
        <v>2482</v>
      </c>
      <c r="C1054" s="5" t="s">
        <v>753</v>
      </c>
      <c r="D1054" s="5" t="s">
        <v>20</v>
      </c>
      <c r="E1054" s="6" t="str">
        <f t="array" ref="E1054">IFERROR(INDEX(Airlines!$B:$B,MATCH(D1054,Airlines!$A:$A,0)),"")</f>
        <v>Vistara</v>
      </c>
      <c r="F1054" s="6" t="str">
        <f>VLOOKUP(A1054,Bookings!$A:$F,6,FALSE())</f>
        <v>Economy</v>
      </c>
      <c r="G1054" s="6" t="str">
        <f t="array" ref="G1054">IFERROR(INDEX(Flights!$E:$E,MATCH(B1054,Flights!$A:$A,0)),"")</f>
        <v>Chennai</v>
      </c>
      <c r="H1054" s="6" t="str">
        <f>VLOOKUP(B1054,Flights!A:H,6,FALSE())</f>
        <v>Bengaluru</v>
      </c>
      <c r="I1054" s="6" t="str">
        <f t="array" ref="I1054">IFERROR(INDEX(Bookings!$G:$G,MATCH(B1054,Bookings!$B:$B,0)),"")</f>
        <v>1</v>
      </c>
      <c r="J1054" s="5">
        <f>VLOOKUP(B1054,Bookings!B:H,7,FALSE())</f>
        <v>22.42</v>
      </c>
      <c r="K1054" s="5" t="str">
        <f t="shared" si="1"/>
        <v>Long</v>
      </c>
      <c r="L1054" s="11">
        <f t="array" ref="L1054">IFERROR(INDEX(Bookings!$K:$K,MATCH(A1054,Bookings!$A:$A,0)),"")</f>
        <v>14954</v>
      </c>
      <c r="M1054" s="5" t="str">
        <f t="shared" si="2"/>
        <v>Medium</v>
      </c>
      <c r="N1054" s="5">
        <f t="array" ref="N1054">IFERROR(INDEX(Bookings!$I:$I,MATCH(A1054,Bookings!$A:$A,0)),"")</f>
        <v>4</v>
      </c>
      <c r="O1054" s="5" t="str">
        <f t="shared" si="3"/>
        <v>Last Minute</v>
      </c>
      <c r="P1054" s="5" t="str">
        <f t="shared" si="4"/>
        <v>Chennai -&gt; Bengaluru</v>
      </c>
    </row>
    <row r="1055" ht="15.75" customHeight="1">
      <c r="A1055" s="5" t="s">
        <v>2878</v>
      </c>
      <c r="B1055" s="5" t="s">
        <v>2461</v>
      </c>
      <c r="C1055" s="5" t="s">
        <v>753</v>
      </c>
      <c r="D1055" s="5" t="s">
        <v>45</v>
      </c>
      <c r="E1055" s="6" t="str">
        <f t="array" ref="E1055">IFERROR(INDEX(Airlines!$B:$B,MATCH(D1055,Airlines!$A:$A,0)),"")</f>
        <v>Air_India</v>
      </c>
      <c r="F1055" s="6" t="str">
        <f>VLOOKUP(A1055,Bookings!$A:$F,6,FALSE())</f>
        <v>Economy</v>
      </c>
      <c r="G1055" s="6" t="str">
        <f t="array" ref="G1055">IFERROR(INDEX(Flights!$E:$E,MATCH(B1055,Flights!$A:$A,0)),"")</f>
        <v>Chennai</v>
      </c>
      <c r="H1055" s="6" t="str">
        <f>VLOOKUP(B1055,Flights!A:H,6,FALSE())</f>
        <v>Bengaluru</v>
      </c>
      <c r="I1055" s="6" t="str">
        <f t="array" ref="I1055">IFERROR(INDEX(Bookings!$G:$G,MATCH(B1055,Bookings!$B:$B,0)),"")</f>
        <v>2+</v>
      </c>
      <c r="J1055" s="5">
        <f>VLOOKUP(B1055,Bookings!B:H,7,FALSE())</f>
        <v>10.92</v>
      </c>
      <c r="K1055" s="5" t="str">
        <f t="shared" si="1"/>
        <v>Long</v>
      </c>
      <c r="L1055" s="11">
        <f t="array" ref="L1055">IFERROR(INDEX(Bookings!$K:$K,MATCH(A1055,Bookings!$A:$A,0)),"")</f>
        <v>15126</v>
      </c>
      <c r="M1055" s="5" t="str">
        <f t="shared" si="2"/>
        <v>Medium</v>
      </c>
      <c r="N1055" s="5">
        <f t="array" ref="N1055">IFERROR(INDEX(Bookings!$I:$I,MATCH(A1055,Bookings!$A:$A,0)),"")</f>
        <v>4</v>
      </c>
      <c r="O1055" s="5" t="str">
        <f t="shared" si="3"/>
        <v>Last Minute</v>
      </c>
      <c r="P1055" s="5" t="str">
        <f t="shared" si="4"/>
        <v>Chennai -&gt; Bengaluru</v>
      </c>
    </row>
    <row r="1056" ht="15.75" customHeight="1">
      <c r="A1056" s="5" t="s">
        <v>2880</v>
      </c>
      <c r="B1056" s="5" t="s">
        <v>2431</v>
      </c>
      <c r="C1056" s="5" t="s">
        <v>753</v>
      </c>
      <c r="D1056" s="5" t="s">
        <v>20</v>
      </c>
      <c r="E1056" s="6" t="str">
        <f t="array" ref="E1056">IFERROR(INDEX(Airlines!$B:$B,MATCH(D1056,Airlines!$A:$A,0)),"")</f>
        <v>Vistara</v>
      </c>
      <c r="F1056" s="6" t="str">
        <f>VLOOKUP(A1056,Bookings!$A:$F,6,FALSE())</f>
        <v>Economy</v>
      </c>
      <c r="G1056" s="6" t="str">
        <f t="array" ref="G1056">IFERROR(INDEX(Flights!$E:$E,MATCH(B1056,Flights!$A:$A,0)),"")</f>
        <v>Chennai</v>
      </c>
      <c r="H1056" s="6" t="str">
        <f>VLOOKUP(B1056,Flights!A:H,6,FALSE())</f>
        <v>Bengaluru</v>
      </c>
      <c r="I1056" s="6" t="str">
        <f t="array" ref="I1056">IFERROR(INDEX(Bookings!$G:$G,MATCH(B1056,Bookings!$B:$B,0)),"")</f>
        <v>1</v>
      </c>
      <c r="J1056" s="5">
        <f>VLOOKUP(B1056,Bookings!B:H,7,FALSE())</f>
        <v>15.5</v>
      </c>
      <c r="K1056" s="5" t="str">
        <f t="shared" si="1"/>
        <v>Long</v>
      </c>
      <c r="L1056" s="11">
        <f t="array" ref="L1056">IFERROR(INDEX(Bookings!$K:$K,MATCH(A1056,Bookings!$A:$A,0)),"")</f>
        <v>6161</v>
      </c>
      <c r="M1056" s="5" t="str">
        <f t="shared" si="2"/>
        <v>Medium</v>
      </c>
      <c r="N1056" s="5">
        <f t="array" ref="N1056">IFERROR(INDEX(Bookings!$I:$I,MATCH(A1056,Bookings!$A:$A,0)),"")</f>
        <v>41</v>
      </c>
      <c r="O1056" s="5" t="str">
        <f t="shared" si="3"/>
        <v>Advance</v>
      </c>
      <c r="P1056" s="5" t="str">
        <f t="shared" si="4"/>
        <v>Chennai -&gt; Bengaluru</v>
      </c>
    </row>
    <row r="1057" ht="15.75" customHeight="1">
      <c r="A1057" s="5" t="s">
        <v>2882</v>
      </c>
      <c r="B1057" s="5" t="s">
        <v>2506</v>
      </c>
      <c r="C1057" s="5" t="s">
        <v>753</v>
      </c>
      <c r="D1057" s="5" t="s">
        <v>20</v>
      </c>
      <c r="E1057" s="6" t="str">
        <f t="array" ref="E1057">IFERROR(INDEX(Airlines!$B:$B,MATCH(D1057,Airlines!$A:$A,0)),"")</f>
        <v>Vistara</v>
      </c>
      <c r="F1057" s="6" t="str">
        <f>VLOOKUP(A1057,Bookings!$A:$F,6,FALSE())</f>
        <v>Economy</v>
      </c>
      <c r="G1057" s="6" t="str">
        <f t="array" ref="G1057">IFERROR(INDEX(Flights!$E:$E,MATCH(B1057,Flights!$A:$A,0)),"")</f>
        <v>Chennai</v>
      </c>
      <c r="H1057" s="6" t="str">
        <f>VLOOKUP(B1057,Flights!A:H,6,FALSE())</f>
        <v>Bengaluru</v>
      </c>
      <c r="I1057" s="6" t="str">
        <f t="array" ref="I1057">IFERROR(INDEX(Bookings!$G:$G,MATCH(B1057,Bookings!$B:$B,0)),"")</f>
        <v>1</v>
      </c>
      <c r="J1057" s="5">
        <f>VLOOKUP(B1057,Bookings!B:H,7,FALSE())</f>
        <v>23.83</v>
      </c>
      <c r="K1057" s="5" t="str">
        <f t="shared" si="1"/>
        <v>Long</v>
      </c>
      <c r="L1057" s="11">
        <f t="array" ref="L1057">IFERROR(INDEX(Bookings!$K:$K,MATCH(A1057,Bookings!$A:$A,0)),"")</f>
        <v>15531</v>
      </c>
      <c r="M1057" s="5" t="str">
        <f t="shared" si="2"/>
        <v>Medium</v>
      </c>
      <c r="N1057" s="5">
        <f t="array" ref="N1057">IFERROR(INDEX(Bookings!$I:$I,MATCH(A1057,Bookings!$A:$A,0)),"")</f>
        <v>4</v>
      </c>
      <c r="O1057" s="5" t="str">
        <f t="shared" si="3"/>
        <v>Last Minute</v>
      </c>
      <c r="P1057" s="5" t="str">
        <f t="shared" si="4"/>
        <v>Chennai -&gt; Bengaluru</v>
      </c>
    </row>
    <row r="1058" ht="15.75" customHeight="1">
      <c r="A1058" s="5" t="s">
        <v>2884</v>
      </c>
      <c r="B1058" s="5" t="s">
        <v>2400</v>
      </c>
      <c r="C1058" s="5" t="s">
        <v>753</v>
      </c>
      <c r="D1058" s="5" t="s">
        <v>20</v>
      </c>
      <c r="E1058" s="6" t="str">
        <f t="array" ref="E1058">IFERROR(INDEX(Airlines!$B:$B,MATCH(D1058,Airlines!$A:$A,0)),"")</f>
        <v>Vistara</v>
      </c>
      <c r="F1058" s="6" t="str">
        <f>VLOOKUP(A1058,Bookings!$A:$F,6,FALSE())</f>
        <v>Economy</v>
      </c>
      <c r="G1058" s="6" t="str">
        <f t="array" ref="G1058">IFERROR(INDEX(Flights!$E:$E,MATCH(B1058,Flights!$A:$A,0)),"")</f>
        <v>Chennai</v>
      </c>
      <c r="H1058" s="6" t="str">
        <f>VLOOKUP(B1058,Flights!A:H,6,FALSE())</f>
        <v>Bengaluru</v>
      </c>
      <c r="I1058" s="6" t="str">
        <f t="array" ref="I1058">IFERROR(INDEX(Bookings!$G:$G,MATCH(B1058,Bookings!$B:$B,0)),"")</f>
        <v>1</v>
      </c>
      <c r="J1058" s="5">
        <f>VLOOKUP(B1058,Bookings!B:H,7,FALSE())</f>
        <v>13.67</v>
      </c>
      <c r="K1058" s="5" t="str">
        <f t="shared" si="1"/>
        <v>Long</v>
      </c>
      <c r="L1058" s="11">
        <f t="array" ref="L1058">IFERROR(INDEX(Bookings!$K:$K,MATCH(A1058,Bookings!$A:$A,0)),"")</f>
        <v>15794</v>
      </c>
      <c r="M1058" s="5" t="str">
        <f t="shared" si="2"/>
        <v>Medium</v>
      </c>
      <c r="N1058" s="5" t="str">
        <f t="array" ref="N1058">IFERROR(INDEX(Bookings!$I:$I,MATCH(A1058,Bookings!$A:$A,0)),"")</f>
        <v/>
      </c>
      <c r="O1058" s="5" t="str">
        <f t="shared" si="3"/>
        <v>Last Minute</v>
      </c>
      <c r="P1058" s="5" t="str">
        <f t="shared" si="4"/>
        <v>Chennai -&gt; Bengaluru</v>
      </c>
    </row>
    <row r="1059" ht="15.75" customHeight="1">
      <c r="A1059" s="5" t="s">
        <v>2886</v>
      </c>
      <c r="B1059" s="5" t="s">
        <v>2397</v>
      </c>
      <c r="C1059" s="5" t="s">
        <v>753</v>
      </c>
      <c r="D1059" s="5" t="s">
        <v>20</v>
      </c>
      <c r="E1059" s="6" t="str">
        <f t="array" ref="E1059">IFERROR(INDEX(Airlines!$B:$B,MATCH(D1059,Airlines!$A:$A,0)),"")</f>
        <v>Vistara</v>
      </c>
      <c r="F1059" s="6" t="str">
        <f>VLOOKUP(A1059,Bookings!$A:$F,6,FALSE())</f>
        <v>Economy</v>
      </c>
      <c r="G1059" s="6" t="str">
        <f t="array" ref="G1059">IFERROR(INDEX(Flights!$E:$E,MATCH(B1059,Flights!$A:$A,0)),"")</f>
        <v>Chennai</v>
      </c>
      <c r="H1059" s="6" t="str">
        <f>VLOOKUP(B1059,Flights!A:H,6,FALSE())</f>
        <v>Bengaluru</v>
      </c>
      <c r="I1059" s="6" t="str">
        <f t="array" ref="I1059">IFERROR(INDEX(Bookings!$G:$G,MATCH(B1059,Bookings!$B:$B,0)),"")</f>
        <v>1</v>
      </c>
      <c r="J1059" s="5">
        <f>VLOOKUP(B1059,Bookings!B:H,7,FALSE())</f>
        <v>10.83</v>
      </c>
      <c r="K1059" s="5" t="str">
        <f t="shared" si="1"/>
        <v>Long</v>
      </c>
      <c r="L1059" s="11">
        <f t="array" ref="L1059">IFERROR(INDEX(Bookings!$K:$K,MATCH(A1059,Bookings!$A:$A,0)),"")</f>
        <v>20268</v>
      </c>
      <c r="M1059" s="5" t="str">
        <f t="shared" si="2"/>
        <v>High</v>
      </c>
      <c r="N1059" s="5">
        <f t="array" ref="N1059">IFERROR(INDEX(Bookings!$I:$I,MATCH(A1059,Bookings!$A:$A,0)),"")</f>
        <v>5</v>
      </c>
      <c r="O1059" s="5" t="str">
        <f t="shared" si="3"/>
        <v>Last Minute</v>
      </c>
      <c r="P1059" s="5" t="str">
        <f t="shared" si="4"/>
        <v>Chennai -&gt; Bengaluru</v>
      </c>
    </row>
    <row r="1060" ht="15.75" customHeight="1">
      <c r="A1060" s="5" t="s">
        <v>2888</v>
      </c>
      <c r="B1060" s="5" t="s">
        <v>2436</v>
      </c>
      <c r="C1060" s="5" t="s">
        <v>753</v>
      </c>
      <c r="D1060" s="5" t="s">
        <v>20</v>
      </c>
      <c r="E1060" s="6" t="str">
        <f t="array" ref="E1060">IFERROR(INDEX(Airlines!$B:$B,MATCH(D1060,Airlines!$A:$A,0)),"")</f>
        <v>Vistara</v>
      </c>
      <c r="F1060" s="6" t="str">
        <f>VLOOKUP(A1060,Bookings!$A:$F,6,FALSE())</f>
        <v>Economy</v>
      </c>
      <c r="G1060" s="6" t="str">
        <f t="array" ref="G1060">IFERROR(INDEX(Flights!$E:$E,MATCH(B1060,Flights!$A:$A,0)),"")</f>
        <v>Chennai</v>
      </c>
      <c r="H1060" s="6" t="str">
        <f>VLOOKUP(B1060,Flights!A:H,6,FALSE())</f>
        <v>Bengaluru</v>
      </c>
      <c r="I1060" s="6" t="str">
        <f t="array" ref="I1060">IFERROR(INDEX(Bookings!$G:$G,MATCH(B1060,Bookings!$B:$B,0)),"")</f>
        <v>1</v>
      </c>
      <c r="J1060" s="5">
        <f>VLOOKUP(B1060,Bookings!B:H,7,FALSE())</f>
        <v>5.25</v>
      </c>
      <c r="K1060" s="5" t="str">
        <f t="shared" si="1"/>
        <v>Medium</v>
      </c>
      <c r="L1060" s="11">
        <f t="array" ref="L1060">IFERROR(INDEX(Bookings!$K:$K,MATCH(A1060,Bookings!$A:$A,0)),"")</f>
        <v>4755</v>
      </c>
      <c r="M1060" s="5" t="str">
        <f t="shared" si="2"/>
        <v>Medium</v>
      </c>
      <c r="N1060" s="5">
        <f t="array" ref="N1060">IFERROR(INDEX(Bookings!$I:$I,MATCH(A1060,Bookings!$A:$A,0)),"")</f>
        <v>45</v>
      </c>
      <c r="O1060" s="5" t="str">
        <f t="shared" si="3"/>
        <v>Advance</v>
      </c>
      <c r="P1060" s="5" t="str">
        <f t="shared" si="4"/>
        <v>Chennai -&gt; Bengaluru</v>
      </c>
    </row>
    <row r="1061" ht="15.75" customHeight="1">
      <c r="A1061" s="5" t="s">
        <v>2890</v>
      </c>
      <c r="B1061" s="5" t="s">
        <v>2454</v>
      </c>
      <c r="C1061" s="5" t="s">
        <v>753</v>
      </c>
      <c r="D1061" s="5" t="s">
        <v>20</v>
      </c>
      <c r="E1061" s="6" t="str">
        <f t="array" ref="E1061">IFERROR(INDEX(Airlines!$B:$B,MATCH(D1061,Airlines!$A:$A,0)),"")</f>
        <v>Vistara</v>
      </c>
      <c r="F1061" s="6" t="str">
        <f>VLOOKUP(A1061,Bookings!$A:$F,6,FALSE())</f>
        <v>Economy</v>
      </c>
      <c r="G1061" s="6" t="str">
        <f t="array" ref="G1061">IFERROR(INDEX(Flights!$E:$E,MATCH(B1061,Flights!$A:$A,0)),"")</f>
        <v>Chennai</v>
      </c>
      <c r="H1061" s="6" t="str">
        <f>VLOOKUP(B1061,Flights!A:H,6,FALSE())</f>
        <v>Bengaluru</v>
      </c>
      <c r="I1061" s="6">
        <f t="array" ref="I1061">IFERROR(INDEX(Bookings!$G:$G,MATCH(B1061,Bookings!$B:$B,0)),"")</f>
        <v>1</v>
      </c>
      <c r="J1061" s="5">
        <f>VLOOKUP(B1061,Bookings!B:H,7,FALSE())</f>
        <v>6.75</v>
      </c>
      <c r="K1061" s="5" t="str">
        <f t="shared" si="1"/>
        <v>Medium</v>
      </c>
      <c r="L1061" s="11">
        <f t="array" ref="L1061">IFERROR(INDEX(Bookings!$K:$K,MATCH(A1061,Bookings!$A:$A,0)),"")</f>
        <v>4755</v>
      </c>
      <c r="M1061" s="5" t="str">
        <f t="shared" si="2"/>
        <v>Medium</v>
      </c>
      <c r="N1061" s="5">
        <f t="array" ref="N1061">IFERROR(INDEX(Bookings!$I:$I,MATCH(A1061,Bookings!$A:$A,0)),"")</f>
        <v>45</v>
      </c>
      <c r="O1061" s="5" t="str">
        <f t="shared" si="3"/>
        <v>Advance</v>
      </c>
      <c r="P1061" s="5" t="str">
        <f t="shared" si="4"/>
        <v>Chennai -&gt; Bengaluru</v>
      </c>
    </row>
    <row r="1062" ht="15.75" customHeight="1">
      <c r="A1062" s="5" t="s">
        <v>2892</v>
      </c>
      <c r="B1062" s="5" t="s">
        <v>2420</v>
      </c>
      <c r="C1062" s="5" t="s">
        <v>753</v>
      </c>
      <c r="D1062" s="5" t="s">
        <v>20</v>
      </c>
      <c r="E1062" s="6" t="str">
        <f t="array" ref="E1062">IFERROR(INDEX(Airlines!$B:$B,MATCH(D1062,Airlines!$A:$A,0)),"")</f>
        <v>Vistara</v>
      </c>
      <c r="F1062" s="6" t="str">
        <f>VLOOKUP(A1062,Bookings!$A:$F,6,FALSE())</f>
        <v>Economy</v>
      </c>
      <c r="G1062" s="6" t="str">
        <f t="array" ref="G1062">IFERROR(INDEX(Flights!$E:$E,MATCH(B1062,Flights!$A:$A,0)),"")</f>
        <v>Chennai</v>
      </c>
      <c r="H1062" s="6" t="str">
        <f>VLOOKUP(B1062,Flights!A:H,6,FALSE())</f>
        <v>Bengaluru</v>
      </c>
      <c r="I1062" s="6" t="str">
        <f t="array" ref="I1062">IFERROR(INDEX(Bookings!$G:$G,MATCH(B1062,Bookings!$B:$B,0)),"")</f>
        <v>1</v>
      </c>
      <c r="J1062" s="5">
        <f>VLOOKUP(B1062,Bookings!B:H,7,FALSE())</f>
        <v>19.33</v>
      </c>
      <c r="K1062" s="5" t="str">
        <f t="shared" si="1"/>
        <v>Long</v>
      </c>
      <c r="L1062" s="11">
        <f t="array" ref="L1062">IFERROR(INDEX(Bookings!$K:$K,MATCH(A1062,Bookings!$A:$A,0)),"")</f>
        <v>10222</v>
      </c>
      <c r="M1062" s="5" t="str">
        <f t="shared" si="2"/>
        <v>Medium</v>
      </c>
      <c r="N1062" s="5">
        <f t="array" ref="N1062">IFERROR(INDEX(Bookings!$I:$I,MATCH(A1062,Bookings!$A:$A,0)),"")</f>
        <v>10</v>
      </c>
      <c r="O1062" s="5" t="str">
        <f t="shared" si="3"/>
        <v>Short Notice</v>
      </c>
      <c r="P1062" s="5" t="str">
        <f t="shared" si="4"/>
        <v>Chennai -&gt; Bengaluru</v>
      </c>
    </row>
    <row r="1063" ht="15.75" customHeight="1">
      <c r="A1063" s="5" t="s">
        <v>2895</v>
      </c>
      <c r="B1063" s="5" t="s">
        <v>2405</v>
      </c>
      <c r="C1063" s="5" t="s">
        <v>753</v>
      </c>
      <c r="D1063" s="5" t="s">
        <v>20</v>
      </c>
      <c r="E1063" s="6" t="str">
        <f t="array" ref="E1063">IFERROR(INDEX(Airlines!$B:$B,MATCH(D1063,Airlines!$A:$A,0)),"")</f>
        <v>Vistara</v>
      </c>
      <c r="F1063" s="6" t="str">
        <f>VLOOKUP(A1063,Bookings!$A:$F,6,FALSE())</f>
        <v>Economy</v>
      </c>
      <c r="G1063" s="6" t="str">
        <f t="array" ref="G1063">IFERROR(INDEX(Flights!$E:$E,MATCH(B1063,Flights!$A:$A,0)),"")</f>
        <v>Chennai</v>
      </c>
      <c r="H1063" s="6" t="str">
        <f>VLOOKUP(B1063,Flights!A:H,6,FALSE())</f>
        <v>Bengaluru</v>
      </c>
      <c r="I1063" s="6" t="str">
        <f t="array" ref="I1063">IFERROR(INDEX(Bookings!$G:$G,MATCH(B1063,Bookings!$B:$B,0)),"")</f>
        <v>1</v>
      </c>
      <c r="J1063" s="5">
        <f>VLOOKUP(B1063,Bookings!B:H,7,FALSE())</f>
        <v>22.25</v>
      </c>
      <c r="K1063" s="5" t="str">
        <f t="shared" si="1"/>
        <v>Long</v>
      </c>
      <c r="L1063" s="11">
        <f t="array" ref="L1063">IFERROR(INDEX(Bookings!$K:$K,MATCH(A1063,Bookings!$A:$A,0)),"")</f>
        <v>4755</v>
      </c>
      <c r="M1063" s="5" t="str">
        <f t="shared" si="2"/>
        <v>Medium</v>
      </c>
      <c r="N1063" s="5">
        <f t="array" ref="N1063">IFERROR(INDEX(Bookings!$I:$I,MATCH(A1063,Bookings!$A:$A,0)),"")</f>
        <v>41</v>
      </c>
      <c r="O1063" s="5" t="str">
        <f t="shared" si="3"/>
        <v>Advance</v>
      </c>
      <c r="P1063" s="5" t="str">
        <f t="shared" si="4"/>
        <v>Chennai -&gt; Bengaluru</v>
      </c>
    </row>
    <row r="1064" ht="15.75" customHeight="1">
      <c r="A1064" s="5" t="s">
        <v>2896</v>
      </c>
      <c r="B1064" s="5" t="s">
        <v>2466</v>
      </c>
      <c r="C1064" s="5" t="s">
        <v>753</v>
      </c>
      <c r="D1064" s="5" t="s">
        <v>20</v>
      </c>
      <c r="E1064" s="6" t="str">
        <f t="array" ref="E1064">IFERROR(INDEX(Airlines!$B:$B,MATCH(D1064,Airlines!$A:$A,0)),"")</f>
        <v>Vistara</v>
      </c>
      <c r="F1064" s="6" t="str">
        <f>VLOOKUP(A1064,Bookings!$A:$F,6,FALSE())</f>
        <v>Economy</v>
      </c>
      <c r="G1064" s="6" t="str">
        <f t="array" ref="G1064">IFERROR(INDEX(Flights!$E:$E,MATCH(B1064,Flights!$A:$A,0)),"")</f>
        <v>Chennai</v>
      </c>
      <c r="H1064" s="6" t="str">
        <f>VLOOKUP(B1064,Flights!A:H,6,FALSE())</f>
        <v>Bengaluru</v>
      </c>
      <c r="I1064" s="6">
        <f t="array" ref="I1064">IFERROR(INDEX(Bookings!$G:$G,MATCH(B1064,Bookings!$B:$B,0)),"")</f>
        <v>1</v>
      </c>
      <c r="J1064" s="5">
        <f>VLOOKUP(B1064,Bookings!B:H,7,FALSE())</f>
        <v>8.5</v>
      </c>
      <c r="K1064" s="5" t="str">
        <f t="shared" si="1"/>
        <v>Medium</v>
      </c>
      <c r="L1064" s="11">
        <f t="array" ref="L1064">IFERROR(INDEX(Bookings!$K:$K,MATCH(A1064,Bookings!$A:$A,0)),"")</f>
        <v>18844</v>
      </c>
      <c r="M1064" s="5" t="str">
        <f t="shared" si="2"/>
        <v>High</v>
      </c>
      <c r="N1064" s="5">
        <f t="array" ref="N1064">IFERROR(INDEX(Bookings!$I:$I,MATCH(A1064,Bookings!$A:$A,0)),"")</f>
        <v>10</v>
      </c>
      <c r="O1064" s="5" t="str">
        <f t="shared" si="3"/>
        <v>Short Notice</v>
      </c>
      <c r="P1064" s="5" t="str">
        <f t="shared" si="4"/>
        <v>Chennai -&gt; Bengaluru</v>
      </c>
    </row>
    <row r="1065" ht="15.75" customHeight="1">
      <c r="A1065" s="5" t="s">
        <v>2898</v>
      </c>
      <c r="B1065" s="5" t="s">
        <v>2457</v>
      </c>
      <c r="C1065" s="5" t="s">
        <v>753</v>
      </c>
      <c r="D1065" s="5" t="s">
        <v>20</v>
      </c>
      <c r="E1065" s="6" t="str">
        <f t="array" ref="E1065">IFERROR(INDEX(Airlines!$B:$B,MATCH(D1065,Airlines!$A:$A,0)),"")</f>
        <v>Vistara</v>
      </c>
      <c r="F1065" s="6" t="str">
        <f>VLOOKUP(A1065,Bookings!$A:$F,6,FALSE())</f>
        <v>Economy</v>
      </c>
      <c r="G1065" s="6" t="str">
        <f t="array" ref="G1065">IFERROR(INDEX(Flights!$E:$E,MATCH(B1065,Flights!$A:$A,0)),"")</f>
        <v>Chennai</v>
      </c>
      <c r="H1065" s="6" t="str">
        <f>VLOOKUP(B1065,Flights!A:H,6,FALSE())</f>
        <v>Bengaluru</v>
      </c>
      <c r="I1065" s="6" t="str">
        <f t="array" ref="I1065">IFERROR(INDEX(Bookings!$G:$G,MATCH(B1065,Bookings!$B:$B,0)),"")</f>
        <v>1</v>
      </c>
      <c r="J1065" s="5">
        <f>VLOOKUP(B1065,Bookings!B:H,7,FALSE())</f>
        <v>9.08</v>
      </c>
      <c r="K1065" s="5" t="str">
        <f t="shared" si="1"/>
        <v>Medium</v>
      </c>
      <c r="L1065" s="11">
        <f t="array" ref="L1065">IFERROR(INDEX(Bookings!$K:$K,MATCH(A1065,Bookings!$A:$A,0)),"")</f>
        <v>33813</v>
      </c>
      <c r="M1065" s="5" t="str">
        <f t="shared" si="2"/>
        <v>High</v>
      </c>
      <c r="N1065" s="5" t="str">
        <f t="array" ref="N1065">IFERROR(INDEX(Bookings!$I:$I,MATCH(A1065,Bookings!$A:$A,0)),"")</f>
        <v/>
      </c>
      <c r="O1065" s="5" t="str">
        <f t="shared" si="3"/>
        <v>Last Minute</v>
      </c>
      <c r="P1065" s="5" t="str">
        <f t="shared" si="4"/>
        <v>Chennai -&gt; Bengaluru</v>
      </c>
    </row>
    <row r="1066" ht="15.75" customHeight="1">
      <c r="A1066" s="5" t="s">
        <v>2900</v>
      </c>
      <c r="B1066" s="5" t="s">
        <v>2439</v>
      </c>
      <c r="C1066" s="5" t="s">
        <v>753</v>
      </c>
      <c r="D1066" s="5" t="s">
        <v>43</v>
      </c>
      <c r="E1066" s="6" t="str">
        <f t="array" ref="E1066">IFERROR(INDEX(Airlines!$B:$B,MATCH(D1066,Airlines!$A:$A,0)),"")</f>
        <v>Indigo</v>
      </c>
      <c r="F1066" s="6" t="str">
        <f>VLOOKUP(A1066,Bookings!$A:$F,6,FALSE())</f>
        <v>Economy</v>
      </c>
      <c r="G1066" s="6" t="str">
        <f t="array" ref="G1066">IFERROR(INDEX(Flights!$E:$E,MATCH(B1066,Flights!$A:$A,0)),"")</f>
        <v>Chennai</v>
      </c>
      <c r="H1066" s="6" t="str">
        <f>VLOOKUP(B1066,Flights!A:H,6,FALSE())</f>
        <v>Bengaluru</v>
      </c>
      <c r="I1066" s="6" t="str">
        <f t="array" ref="I1066">IFERROR(INDEX(Bookings!$G:$G,MATCH(B1066,Bookings!$B:$B,0)),"")</f>
        <v>0</v>
      </c>
      <c r="J1066" s="5">
        <f>VLOOKUP(B1066,Bookings!B:H,7,FALSE())</f>
        <v>1.17</v>
      </c>
      <c r="K1066" s="5" t="str">
        <f t="shared" si="1"/>
        <v>Short</v>
      </c>
      <c r="L1066" s="11">
        <f t="array" ref="L1066">IFERROR(INDEX(Bookings!$K:$K,MATCH(A1066,Bookings!$A:$A,0)),"")</f>
        <v>1443</v>
      </c>
      <c r="M1066" s="5" t="str">
        <f t="shared" si="2"/>
        <v>Low</v>
      </c>
      <c r="N1066" s="5">
        <f t="array" ref="N1066">IFERROR(INDEX(Bookings!$I:$I,MATCH(A1066,Bookings!$A:$A,0)),"")</f>
        <v>39</v>
      </c>
      <c r="O1066" s="5" t="str">
        <f t="shared" si="3"/>
        <v>Advance</v>
      </c>
      <c r="P1066" s="5" t="str">
        <f t="shared" si="4"/>
        <v>Chennai -&gt; Bengaluru</v>
      </c>
    </row>
    <row r="1067" ht="15.75" customHeight="1">
      <c r="A1067" s="5" t="s">
        <v>2902</v>
      </c>
      <c r="B1067" s="5" t="s">
        <v>2433</v>
      </c>
      <c r="C1067" s="5" t="s">
        <v>753</v>
      </c>
      <c r="D1067" s="5" t="s">
        <v>20</v>
      </c>
      <c r="E1067" s="6" t="str">
        <f t="array" ref="E1067">IFERROR(INDEX(Airlines!$B:$B,MATCH(D1067,Airlines!$A:$A,0)),"")</f>
        <v>Vistara</v>
      </c>
      <c r="F1067" s="6" t="str">
        <f>VLOOKUP(A1067,Bookings!$A:$F,6,FALSE())</f>
        <v>Economy</v>
      </c>
      <c r="G1067" s="6" t="str">
        <f t="array" ref="G1067">IFERROR(INDEX(Flights!$E:$E,MATCH(B1067,Flights!$A:$A,0)),"")</f>
        <v>Chennai</v>
      </c>
      <c r="H1067" s="6" t="str">
        <f>VLOOKUP(B1067,Flights!A:H,6,FALSE())</f>
        <v>Bengaluru</v>
      </c>
      <c r="I1067" s="6">
        <f t="array" ref="I1067">IFERROR(INDEX(Bookings!$G:$G,MATCH(B1067,Bookings!$B:$B,0)),"")</f>
        <v>1</v>
      </c>
      <c r="J1067" s="5">
        <f>VLOOKUP(B1067,Bookings!B:H,7,FALSE())</f>
        <v>12.5</v>
      </c>
      <c r="K1067" s="5" t="str">
        <f t="shared" si="1"/>
        <v>Long</v>
      </c>
      <c r="L1067" s="11">
        <f t="array" ref="L1067">IFERROR(INDEX(Bookings!$K:$K,MATCH(A1067,Bookings!$A:$A,0)),"")</f>
        <v>7336</v>
      </c>
      <c r="M1067" s="5" t="str">
        <f t="shared" si="2"/>
        <v>Medium</v>
      </c>
      <c r="N1067" s="5" t="str">
        <f t="array" ref="N1067">IFERROR(INDEX(Bookings!$I:$I,MATCH(A1067,Bookings!$A:$A,0)),"")</f>
        <v/>
      </c>
      <c r="O1067" s="5" t="str">
        <f t="shared" si="3"/>
        <v>Last Minute</v>
      </c>
      <c r="P1067" s="5" t="str">
        <f t="shared" si="4"/>
        <v>Chennai -&gt; Bengaluru</v>
      </c>
    </row>
    <row r="1068" ht="15.75" customHeight="1">
      <c r="A1068" s="5" t="s">
        <v>2904</v>
      </c>
      <c r="B1068" s="5" t="s">
        <v>2441</v>
      </c>
      <c r="C1068" s="5" t="s">
        <v>753</v>
      </c>
      <c r="D1068" s="5" t="s">
        <v>20</v>
      </c>
      <c r="E1068" s="6" t="str">
        <f t="array" ref="E1068">IFERROR(INDEX(Airlines!$B:$B,MATCH(D1068,Airlines!$A:$A,0)),"")</f>
        <v>Vistara</v>
      </c>
      <c r="F1068" s="6" t="str">
        <f>VLOOKUP(A1068,Bookings!$A:$F,6,FALSE())</f>
        <v>Economy</v>
      </c>
      <c r="G1068" s="6" t="str">
        <f t="array" ref="G1068">IFERROR(INDEX(Flights!$E:$E,MATCH(B1068,Flights!$A:$A,0)),"")</f>
        <v>Chennai</v>
      </c>
      <c r="H1068" s="6" t="str">
        <f>VLOOKUP(B1068,Flights!A:H,6,FALSE())</f>
        <v>Bengaluru</v>
      </c>
      <c r="I1068" s="6" t="str">
        <f t="array" ref="I1068">IFERROR(INDEX(Bookings!$G:$G,MATCH(B1068,Bookings!$B:$B,0)),"")</f>
        <v>1</v>
      </c>
      <c r="J1068" s="5">
        <f>VLOOKUP(B1068,Bookings!B:H,7,FALSE())</f>
        <v>27.5</v>
      </c>
      <c r="K1068" s="5" t="str">
        <f t="shared" si="1"/>
        <v>Long</v>
      </c>
      <c r="L1068" s="11">
        <f t="array" ref="L1068">IFERROR(INDEX(Bookings!$K:$K,MATCH(A1068,Bookings!$A:$A,0)),"")</f>
        <v>9902</v>
      </c>
      <c r="M1068" s="5" t="str">
        <f t="shared" si="2"/>
        <v>Medium</v>
      </c>
      <c r="N1068" s="5">
        <f t="array" ref="N1068">IFERROR(INDEX(Bookings!$I:$I,MATCH(A1068,Bookings!$A:$A,0)),"")</f>
        <v>20</v>
      </c>
      <c r="O1068" s="5" t="str">
        <f t="shared" si="3"/>
        <v>Moderate</v>
      </c>
      <c r="P1068" s="5" t="str">
        <f t="shared" si="4"/>
        <v>Chennai -&gt; Bengaluru</v>
      </c>
    </row>
    <row r="1069" ht="15.75" customHeight="1">
      <c r="A1069" s="5" t="s">
        <v>2906</v>
      </c>
      <c r="B1069" s="5" t="s">
        <v>2463</v>
      </c>
      <c r="C1069" s="5" t="s">
        <v>753</v>
      </c>
      <c r="D1069" s="5" t="s">
        <v>29</v>
      </c>
      <c r="E1069" s="6" t="str">
        <f t="array" ref="E1069">IFERROR(INDEX(Airlines!$B:$B,MATCH(D1069,Airlines!$A:$A,0)),"")</f>
        <v>AirAsia</v>
      </c>
      <c r="F1069" s="6" t="str">
        <f>VLOOKUP(A1069,Bookings!$A:$F,6,FALSE())</f>
        <v>Economy</v>
      </c>
      <c r="G1069" s="6" t="str">
        <f t="array" ref="G1069">IFERROR(INDEX(Flights!$E:$E,MATCH(B1069,Flights!$A:$A,0)),"")</f>
        <v>Chennai</v>
      </c>
      <c r="H1069" s="6" t="str">
        <f>VLOOKUP(B1069,Flights!A:H,6,FALSE())</f>
        <v>Bengaluru</v>
      </c>
      <c r="I1069" s="6" t="str">
        <f t="array" ref="I1069">IFERROR(INDEX(Bookings!$G:$G,MATCH(B1069,Bookings!$B:$B,0)),"")</f>
        <v>0</v>
      </c>
      <c r="J1069" s="5">
        <f>VLOOKUP(B1069,Bookings!B:H,7,FALSE())</f>
        <v>1.17</v>
      </c>
      <c r="K1069" s="5" t="str">
        <f t="shared" si="1"/>
        <v>Short</v>
      </c>
      <c r="L1069" s="11">
        <f t="array" ref="L1069">IFERROR(INDEX(Bookings!$K:$K,MATCH(A1069,Bookings!$A:$A,0)),"")</f>
        <v>1443</v>
      </c>
      <c r="M1069" s="5" t="str">
        <f t="shared" si="2"/>
        <v>Low</v>
      </c>
      <c r="N1069" s="5">
        <f t="array" ref="N1069">IFERROR(INDEX(Bookings!$I:$I,MATCH(A1069,Bookings!$A:$A,0)),"")</f>
        <v>44</v>
      </c>
      <c r="O1069" s="5" t="str">
        <f t="shared" si="3"/>
        <v>Advance</v>
      </c>
      <c r="P1069" s="5" t="str">
        <f t="shared" si="4"/>
        <v>Chennai -&gt; Bengaluru</v>
      </c>
    </row>
    <row r="1070" ht="15.75" customHeight="1">
      <c r="A1070" s="5" t="s">
        <v>2908</v>
      </c>
      <c r="B1070" s="5" t="s">
        <v>2471</v>
      </c>
      <c r="C1070" s="5" t="s">
        <v>753</v>
      </c>
      <c r="D1070" s="5" t="s">
        <v>45</v>
      </c>
      <c r="E1070" s="6" t="str">
        <f t="array" ref="E1070">IFERROR(INDEX(Airlines!$B:$B,MATCH(D1070,Airlines!$A:$A,0)),"")</f>
        <v>Air_India</v>
      </c>
      <c r="F1070" s="6" t="str">
        <f>VLOOKUP(A1070,Bookings!$A:$F,6,FALSE())</f>
        <v>Economy</v>
      </c>
      <c r="G1070" s="6" t="str">
        <f t="array" ref="G1070">IFERROR(INDEX(Flights!$E:$E,MATCH(B1070,Flights!$A:$A,0)),"")</f>
        <v>Chennai</v>
      </c>
      <c r="H1070" s="6" t="str">
        <f>VLOOKUP(B1070,Flights!A:H,6,FALSE())</f>
        <v>Bengaluru</v>
      </c>
      <c r="I1070" s="6" t="str">
        <f t="array" ref="I1070">IFERROR(INDEX(Bookings!$G:$G,MATCH(B1070,Bookings!$B:$B,0)),"")</f>
        <v>1</v>
      </c>
      <c r="J1070" s="5">
        <f>VLOOKUP(B1070,Bookings!B:H,7,FALSE())</f>
        <v>49.83</v>
      </c>
      <c r="K1070" s="5" t="str">
        <f t="shared" si="1"/>
        <v>Long</v>
      </c>
      <c r="L1070" s="11">
        <f t="array" ref="L1070">IFERROR(INDEX(Bookings!$K:$K,MATCH(A1070,Bookings!$A:$A,0)),"")</f>
        <v>17538</v>
      </c>
      <c r="M1070" s="5" t="str">
        <f t="shared" si="2"/>
        <v>High</v>
      </c>
      <c r="N1070" s="5">
        <f t="array" ref="N1070">IFERROR(INDEX(Bookings!$I:$I,MATCH(A1070,Bookings!$A:$A,0)),"")</f>
        <v>9</v>
      </c>
      <c r="O1070" s="5" t="str">
        <f t="shared" si="3"/>
        <v>Short Notice</v>
      </c>
      <c r="P1070" s="5" t="str">
        <f t="shared" si="4"/>
        <v>Chennai -&gt; Bengaluru</v>
      </c>
    </row>
    <row r="1071" ht="15.75" customHeight="1">
      <c r="A1071" s="5" t="s">
        <v>2911</v>
      </c>
      <c r="B1071" s="5" t="s">
        <v>2413</v>
      </c>
      <c r="C1071" s="5" t="s">
        <v>753</v>
      </c>
      <c r="D1071" s="5" t="s">
        <v>45</v>
      </c>
      <c r="E1071" s="6" t="str">
        <f t="array" ref="E1071">IFERROR(INDEX(Airlines!$B:$B,MATCH(D1071,Airlines!$A:$A,0)),"")</f>
        <v>Air_India</v>
      </c>
      <c r="F1071" s="6" t="str">
        <f>VLOOKUP(A1071,Bookings!$A:$F,6,FALSE())</f>
        <v>Economy</v>
      </c>
      <c r="G1071" s="6" t="str">
        <f t="array" ref="G1071">IFERROR(INDEX(Flights!$E:$E,MATCH(B1071,Flights!$A:$A,0)),"")</f>
        <v>Chennai</v>
      </c>
      <c r="H1071" s="6" t="str">
        <f>VLOOKUP(B1071,Flights!A:H,6,FALSE())</f>
        <v>Bengaluru</v>
      </c>
      <c r="I1071" s="6" t="str">
        <f t="array" ref="I1071">IFERROR(INDEX(Bookings!$G:$G,MATCH(B1071,Bookings!$B:$B,0)),"")</f>
        <v>1</v>
      </c>
      <c r="J1071" s="5">
        <f>VLOOKUP(B1071,Bookings!B:H,7,FALSE())</f>
        <v>22.83</v>
      </c>
      <c r="K1071" s="5" t="str">
        <f t="shared" si="1"/>
        <v>Long</v>
      </c>
      <c r="L1071" s="11">
        <f t="array" ref="L1071">IFERROR(INDEX(Bookings!$K:$K,MATCH(A1071,Bookings!$A:$A,0)),"")</f>
        <v>11805</v>
      </c>
      <c r="M1071" s="5" t="str">
        <f t="shared" si="2"/>
        <v>Medium</v>
      </c>
      <c r="N1071" s="5">
        <f t="array" ref="N1071">IFERROR(INDEX(Bookings!$I:$I,MATCH(A1071,Bookings!$A:$A,0)),"")</f>
        <v>16</v>
      </c>
      <c r="O1071" s="5" t="str">
        <f t="shared" si="3"/>
        <v>Moderate</v>
      </c>
      <c r="P1071" s="5" t="str">
        <f t="shared" si="4"/>
        <v>Chennai -&gt; Bengaluru</v>
      </c>
    </row>
    <row r="1072" ht="15.75" customHeight="1">
      <c r="A1072" s="5" t="s">
        <v>2912</v>
      </c>
      <c r="B1072" s="5" t="s">
        <v>2411</v>
      </c>
      <c r="C1072" s="5" t="s">
        <v>753</v>
      </c>
      <c r="D1072" s="5" t="s">
        <v>45</v>
      </c>
      <c r="E1072" s="6" t="str">
        <f t="array" ref="E1072">IFERROR(INDEX(Airlines!$B:$B,MATCH(D1072,Airlines!$A:$A,0)),"")</f>
        <v>Air_India</v>
      </c>
      <c r="F1072" s="6" t="str">
        <f>VLOOKUP(A1072,Bookings!$A:$F,6,FALSE())</f>
        <v>Economy</v>
      </c>
      <c r="G1072" s="6" t="str">
        <f t="array" ref="G1072">IFERROR(INDEX(Flights!$E:$E,MATCH(B1072,Flights!$A:$A,0)),"")</f>
        <v>Chennai</v>
      </c>
      <c r="H1072" s="6" t="str">
        <f>VLOOKUP(B1072,Flights!A:H,6,FALSE())</f>
        <v>Bengaluru</v>
      </c>
      <c r="I1072" s="6">
        <f t="array" ref="I1072">IFERROR(INDEX(Bookings!$G:$G,MATCH(B1072,Bookings!$B:$B,0)),"")</f>
        <v>1</v>
      </c>
      <c r="J1072" s="5">
        <f>VLOOKUP(B1072,Bookings!B:H,7,FALSE())</f>
        <v>32.58</v>
      </c>
      <c r="K1072" s="5" t="str">
        <f t="shared" si="1"/>
        <v>Long</v>
      </c>
      <c r="L1072" s="11">
        <f t="array" ref="L1072">IFERROR(INDEX(Bookings!$K:$K,MATCH(A1072,Bookings!$A:$A,0)),"")</f>
        <v>12170</v>
      </c>
      <c r="M1072" s="5" t="str">
        <f t="shared" si="2"/>
        <v>Medium</v>
      </c>
      <c r="N1072" s="5">
        <f t="array" ref="N1072">IFERROR(INDEX(Bookings!$I:$I,MATCH(A1072,Bookings!$A:$A,0)),"")</f>
        <v>16</v>
      </c>
      <c r="O1072" s="5" t="str">
        <f t="shared" si="3"/>
        <v>Moderate</v>
      </c>
      <c r="P1072" s="5" t="str">
        <f t="shared" si="4"/>
        <v>Chennai -&gt; Bengaluru</v>
      </c>
    </row>
    <row r="1073" ht="15.75" customHeight="1">
      <c r="A1073" s="5" t="s">
        <v>2914</v>
      </c>
      <c r="B1073" s="5" t="s">
        <v>2447</v>
      </c>
      <c r="C1073" s="5" t="s">
        <v>753</v>
      </c>
      <c r="D1073" s="5" t="s">
        <v>45</v>
      </c>
      <c r="E1073" s="6" t="str">
        <f t="array" ref="E1073">IFERROR(INDEX(Airlines!$B:$B,MATCH(D1073,Airlines!$A:$A,0)),"")</f>
        <v>Air_India</v>
      </c>
      <c r="F1073" s="6" t="str">
        <f>VLOOKUP(A1073,Bookings!$A:$F,6,FALSE())</f>
        <v>Economy</v>
      </c>
      <c r="G1073" s="6" t="str">
        <f t="array" ref="G1073">IFERROR(INDEX(Flights!$E:$E,MATCH(B1073,Flights!$A:$A,0)),"")</f>
        <v>Chennai</v>
      </c>
      <c r="H1073" s="6" t="str">
        <f>VLOOKUP(B1073,Flights!A:H,6,FALSE())</f>
        <v>Bengaluru</v>
      </c>
      <c r="I1073" s="6" t="str">
        <f t="array" ref="I1073">IFERROR(INDEX(Bookings!$G:$G,MATCH(B1073,Bookings!$B:$B,0)),"")</f>
        <v>1</v>
      </c>
      <c r="J1073" s="5">
        <f>VLOOKUP(B1073,Bookings!B:H,7,FALSE())</f>
        <v>7.58</v>
      </c>
      <c r="K1073" s="5" t="str">
        <f t="shared" si="1"/>
        <v>Medium</v>
      </c>
      <c r="L1073" s="11">
        <f t="array" ref="L1073">IFERROR(INDEX(Bookings!$K:$K,MATCH(A1073,Bookings!$A:$A,0)),"")</f>
        <v>13653</v>
      </c>
      <c r="M1073" s="5" t="str">
        <f t="shared" si="2"/>
        <v>Medium</v>
      </c>
      <c r="N1073" s="5">
        <f t="array" ref="N1073">IFERROR(INDEX(Bookings!$I:$I,MATCH(A1073,Bookings!$A:$A,0)),"")</f>
        <v>11</v>
      </c>
      <c r="O1073" s="5" t="str">
        <f t="shared" si="3"/>
        <v>Short Notice</v>
      </c>
      <c r="P1073" s="5" t="str">
        <f t="shared" si="4"/>
        <v>Chennai -&gt; Bengaluru</v>
      </c>
    </row>
    <row r="1074" ht="15.75" customHeight="1">
      <c r="A1074" s="5" t="s">
        <v>2916</v>
      </c>
      <c r="B1074" s="5" t="s">
        <v>2491</v>
      </c>
      <c r="C1074" s="5" t="s">
        <v>753</v>
      </c>
      <c r="D1074" s="5" t="s">
        <v>20</v>
      </c>
      <c r="E1074" s="6" t="str">
        <f t="array" ref="E1074">IFERROR(INDEX(Airlines!$B:$B,MATCH(D1074,Airlines!$A:$A,0)),"")</f>
        <v>Vistara</v>
      </c>
      <c r="F1074" s="6" t="str">
        <f>VLOOKUP(A1074,Bookings!$A:$F,6,FALSE())</f>
        <v>Economy</v>
      </c>
      <c r="G1074" s="6" t="str">
        <f t="array" ref="G1074">IFERROR(INDEX(Flights!$E:$E,MATCH(B1074,Flights!$A:$A,0)),"")</f>
        <v>Chennai</v>
      </c>
      <c r="H1074" s="6" t="str">
        <f>VLOOKUP(B1074,Flights!A:H,6,FALSE())</f>
        <v>Bengaluru</v>
      </c>
      <c r="I1074" s="6" t="str">
        <f t="array" ref="I1074">IFERROR(INDEX(Bookings!$G:$G,MATCH(B1074,Bookings!$B:$B,0)),"")</f>
        <v>1</v>
      </c>
      <c r="J1074" s="5">
        <f>VLOOKUP(B1074,Bookings!B:H,7,FALSE())</f>
        <v>21.92</v>
      </c>
      <c r="K1074" s="5" t="str">
        <f t="shared" si="1"/>
        <v>Long</v>
      </c>
      <c r="L1074" s="11">
        <f t="array" ref="L1074">IFERROR(INDEX(Bookings!$K:$K,MATCH(A1074,Bookings!$A:$A,0)),"")</f>
        <v>12304</v>
      </c>
      <c r="M1074" s="5" t="str">
        <f t="shared" si="2"/>
        <v>Medium</v>
      </c>
      <c r="N1074" s="5">
        <f t="array" ref="N1074">IFERROR(INDEX(Bookings!$I:$I,MATCH(A1074,Bookings!$A:$A,0)),"")</f>
        <v>15</v>
      </c>
      <c r="O1074" s="5" t="str">
        <f t="shared" si="3"/>
        <v>Short Notice</v>
      </c>
      <c r="P1074" s="5" t="str">
        <f t="shared" si="4"/>
        <v>Chennai -&gt; Bengaluru</v>
      </c>
    </row>
    <row r="1075" ht="15.75" customHeight="1">
      <c r="A1075" s="5" t="s">
        <v>2919</v>
      </c>
      <c r="B1075" s="5" t="s">
        <v>2423</v>
      </c>
      <c r="C1075" s="5" t="s">
        <v>753</v>
      </c>
      <c r="D1075" s="5" t="s">
        <v>20</v>
      </c>
      <c r="E1075" s="6" t="str">
        <f t="array" ref="E1075">IFERROR(INDEX(Airlines!$B:$B,MATCH(D1075,Airlines!$A:$A,0)),"")</f>
        <v>Vistara</v>
      </c>
      <c r="F1075" s="6" t="str">
        <f>VLOOKUP(A1075,Bookings!$A:$F,6,FALSE())</f>
        <v>Economy</v>
      </c>
      <c r="G1075" s="6" t="str">
        <f t="array" ref="G1075">IFERROR(INDEX(Flights!$E:$E,MATCH(B1075,Flights!$A:$A,0)),"")</f>
        <v>Chennai</v>
      </c>
      <c r="H1075" s="6" t="str">
        <f>VLOOKUP(B1075,Flights!A:H,6,FALSE())</f>
        <v>Bengaluru</v>
      </c>
      <c r="I1075" s="6" t="str">
        <f t="array" ref="I1075">IFERROR(INDEX(Bookings!$G:$G,MATCH(B1075,Bookings!$B:$B,0)),"")</f>
        <v>1</v>
      </c>
      <c r="J1075" s="5">
        <f>VLOOKUP(B1075,Bookings!B:H,7,FALSE())</f>
        <v>0</v>
      </c>
      <c r="K1075" s="5" t="str">
        <f t="shared" si="1"/>
        <v>Short</v>
      </c>
      <c r="L1075" s="11">
        <f t="array" ref="L1075">IFERROR(INDEX(Bookings!$K:$K,MATCH(A1075,Bookings!$A:$A,0)),"")</f>
        <v>15697</v>
      </c>
      <c r="M1075" s="5" t="str">
        <f t="shared" si="2"/>
        <v>Medium</v>
      </c>
      <c r="N1075" s="5">
        <f t="array" ref="N1075">IFERROR(INDEX(Bookings!$I:$I,MATCH(A1075,Bookings!$A:$A,0)),"")</f>
        <v>16</v>
      </c>
      <c r="O1075" s="5" t="str">
        <f t="shared" si="3"/>
        <v>Moderate</v>
      </c>
      <c r="P1075" s="5" t="str">
        <f t="shared" si="4"/>
        <v>Chennai -&gt; Bengaluru</v>
      </c>
    </row>
    <row r="1076" ht="15.75" customHeight="1">
      <c r="A1076" s="5" t="s">
        <v>2920</v>
      </c>
      <c r="B1076" s="5" t="s">
        <v>2395</v>
      </c>
      <c r="C1076" s="5" t="s">
        <v>753</v>
      </c>
      <c r="D1076" s="5" t="s">
        <v>45</v>
      </c>
      <c r="E1076" s="6" t="str">
        <f t="array" ref="E1076">IFERROR(INDEX(Airlines!$B:$B,MATCH(D1076,Airlines!$A:$A,0)),"")</f>
        <v>Air_India</v>
      </c>
      <c r="F1076" s="6" t="str">
        <f>VLOOKUP(A1076,Bookings!$A:$F,6,FALSE())</f>
        <v>Economy</v>
      </c>
      <c r="G1076" s="6" t="str">
        <f t="array" ref="G1076">IFERROR(INDEX(Flights!$E:$E,MATCH(B1076,Flights!$A:$A,0)),"")</f>
        <v>Chennai</v>
      </c>
      <c r="H1076" s="6" t="str">
        <f>VLOOKUP(B1076,Flights!A:H,6,FALSE())</f>
        <v>Bengaluru</v>
      </c>
      <c r="I1076" s="6" t="str">
        <f t="array" ref="I1076">IFERROR(INDEX(Bookings!$G:$G,MATCH(B1076,Bookings!$B:$B,0)),"")</f>
        <v>1</v>
      </c>
      <c r="J1076" s="5">
        <f>VLOOKUP(B1076,Bookings!B:H,7,FALSE())</f>
        <v>37</v>
      </c>
      <c r="K1076" s="5" t="str">
        <f t="shared" si="1"/>
        <v>Long</v>
      </c>
      <c r="L1076" s="11">
        <f t="array" ref="L1076">IFERROR(INDEX(Bookings!$K:$K,MATCH(A1076,Bookings!$A:$A,0)),"")</f>
        <v>8344</v>
      </c>
      <c r="M1076" s="5" t="str">
        <f t="shared" si="2"/>
        <v>Medium</v>
      </c>
      <c r="N1076" s="5">
        <f t="array" ref="N1076">IFERROR(INDEX(Bookings!$I:$I,MATCH(A1076,Bookings!$A:$A,0)),"")</f>
        <v>18</v>
      </c>
      <c r="O1076" s="5" t="str">
        <f t="shared" si="3"/>
        <v>Moderate</v>
      </c>
      <c r="P1076" s="5" t="str">
        <f t="shared" si="4"/>
        <v>Chennai -&gt; Bengaluru</v>
      </c>
    </row>
    <row r="1077" ht="15.75" customHeight="1">
      <c r="A1077" s="5" t="s">
        <v>2921</v>
      </c>
      <c r="B1077" s="5" t="s">
        <v>2485</v>
      </c>
      <c r="C1077" s="5" t="s">
        <v>753</v>
      </c>
      <c r="D1077" s="5" t="s">
        <v>45</v>
      </c>
      <c r="E1077" s="6" t="str">
        <f t="array" ref="E1077">IFERROR(INDEX(Airlines!$B:$B,MATCH(D1077,Airlines!$A:$A,0)),"")</f>
        <v>Air_India</v>
      </c>
      <c r="F1077" s="6" t="str">
        <f>VLOOKUP(A1077,Bookings!$A:$F,6,FALSE())</f>
        <v>Economy</v>
      </c>
      <c r="G1077" s="6" t="str">
        <f t="array" ref="G1077">IFERROR(INDEX(Flights!$E:$E,MATCH(B1077,Flights!$A:$A,0)),"")</f>
        <v>Chennai</v>
      </c>
      <c r="H1077" s="6" t="str">
        <f>VLOOKUP(B1077,Flights!A:H,6,FALSE())</f>
        <v>Bengaluru</v>
      </c>
      <c r="I1077" s="6" t="str">
        <f t="array" ref="I1077">IFERROR(INDEX(Bookings!$G:$G,MATCH(B1077,Bookings!$B:$B,0)),"")</f>
        <v>2+</v>
      </c>
      <c r="J1077" s="5">
        <f>VLOOKUP(B1077,Bookings!B:H,7,FALSE())</f>
        <v>14.25</v>
      </c>
      <c r="K1077" s="5" t="str">
        <f t="shared" si="1"/>
        <v>Long</v>
      </c>
      <c r="L1077" s="11">
        <f t="array" ref="L1077">IFERROR(INDEX(Bookings!$K:$K,MATCH(A1077,Bookings!$A:$A,0)),"")</f>
        <v>6623</v>
      </c>
      <c r="M1077" s="5" t="str">
        <f t="shared" si="2"/>
        <v>Medium</v>
      </c>
      <c r="N1077" s="5">
        <f t="array" ref="N1077">IFERROR(INDEX(Bookings!$I:$I,MATCH(A1077,Bookings!$A:$A,0)),"")</f>
        <v>25</v>
      </c>
      <c r="O1077" s="5" t="str">
        <f t="shared" si="3"/>
        <v>Moderate</v>
      </c>
      <c r="P1077" s="5" t="str">
        <f t="shared" si="4"/>
        <v>Chennai -&gt; Bengaluru</v>
      </c>
    </row>
    <row r="1078" ht="15.75" customHeight="1">
      <c r="A1078" s="5" t="s">
        <v>2922</v>
      </c>
      <c r="B1078" s="5" t="s">
        <v>2428</v>
      </c>
      <c r="C1078" s="5" t="s">
        <v>753</v>
      </c>
      <c r="D1078" s="5" t="s">
        <v>43</v>
      </c>
      <c r="E1078" s="6" t="str">
        <f t="array" ref="E1078">IFERROR(INDEX(Airlines!$B:$B,MATCH(D1078,Airlines!$A:$A,0)),"")</f>
        <v>Indigo</v>
      </c>
      <c r="F1078" s="6" t="str">
        <f>VLOOKUP(A1078,Bookings!$A:$F,6,FALSE())</f>
        <v>Economy</v>
      </c>
      <c r="G1078" s="6" t="str">
        <f t="array" ref="G1078">IFERROR(INDEX(Flights!$E:$E,MATCH(B1078,Flights!$A:$A,0)),"")</f>
        <v>Chennai</v>
      </c>
      <c r="H1078" s="6" t="str">
        <f>VLOOKUP(B1078,Flights!A:H,6,FALSE())</f>
        <v>Bengaluru</v>
      </c>
      <c r="I1078" s="6" t="str">
        <f t="array" ref="I1078">IFERROR(INDEX(Bookings!$G:$G,MATCH(B1078,Bookings!$B:$B,0)),"")</f>
        <v>0</v>
      </c>
      <c r="J1078" s="5">
        <f>VLOOKUP(B1078,Bookings!B:H,7,FALSE())</f>
        <v>0.83</v>
      </c>
      <c r="K1078" s="5" t="str">
        <f t="shared" si="1"/>
        <v>Short</v>
      </c>
      <c r="L1078" s="11">
        <f t="array" ref="L1078">IFERROR(INDEX(Bookings!$K:$K,MATCH(A1078,Bookings!$A:$A,0)),"")</f>
        <v>1443</v>
      </c>
      <c r="M1078" s="5" t="str">
        <f t="shared" si="2"/>
        <v>Low</v>
      </c>
      <c r="N1078" s="5">
        <f t="array" ref="N1078">IFERROR(INDEX(Bookings!$I:$I,MATCH(A1078,Bookings!$A:$A,0)),"")</f>
        <v>46</v>
      </c>
      <c r="O1078" s="5" t="str">
        <f t="shared" si="3"/>
        <v>Advance</v>
      </c>
      <c r="P1078" s="5" t="str">
        <f t="shared" si="4"/>
        <v>Chennai -&gt; Bengaluru</v>
      </c>
    </row>
    <row r="1079" ht="15.75" customHeight="1">
      <c r="A1079" s="5" t="s">
        <v>2923</v>
      </c>
      <c r="B1079" s="5" t="s">
        <v>2407</v>
      </c>
      <c r="C1079" s="5" t="s">
        <v>753</v>
      </c>
      <c r="D1079" s="5" t="s">
        <v>43</v>
      </c>
      <c r="E1079" s="6" t="str">
        <f t="array" ref="E1079">IFERROR(INDEX(Airlines!$B:$B,MATCH(D1079,Airlines!$A:$A,0)),"")</f>
        <v>Indigo</v>
      </c>
      <c r="F1079" s="6" t="str">
        <f>VLOOKUP(A1079,Bookings!$A:$F,6,FALSE())</f>
        <v>Economy</v>
      </c>
      <c r="G1079" s="6" t="str">
        <f t="array" ref="G1079">IFERROR(INDEX(Flights!$E:$E,MATCH(B1079,Flights!$A:$A,0)),"")</f>
        <v>Chennai</v>
      </c>
      <c r="H1079" s="6" t="str">
        <f>VLOOKUP(B1079,Flights!A:H,6,FALSE())</f>
        <v>Bengaluru</v>
      </c>
      <c r="I1079" s="6" t="str">
        <f t="array" ref="I1079">IFERROR(INDEX(Bookings!$G:$G,MATCH(B1079,Bookings!$B:$B,0)),"")</f>
        <v>0</v>
      </c>
      <c r="J1079" s="5">
        <f>VLOOKUP(B1079,Bookings!B:H,7,FALSE())</f>
        <v>1</v>
      </c>
      <c r="K1079" s="5" t="str">
        <f t="shared" si="1"/>
        <v>Short</v>
      </c>
      <c r="L1079" s="11">
        <f t="array" ref="L1079">IFERROR(INDEX(Bookings!$K:$K,MATCH(A1079,Bookings!$A:$A,0)),"")</f>
        <v>1443</v>
      </c>
      <c r="M1079" s="5" t="str">
        <f t="shared" si="2"/>
        <v>Low</v>
      </c>
      <c r="N1079" s="5">
        <f t="array" ref="N1079">IFERROR(INDEX(Bookings!$I:$I,MATCH(A1079,Bookings!$A:$A,0)),"")</f>
        <v>46</v>
      </c>
      <c r="O1079" s="5" t="str">
        <f t="shared" si="3"/>
        <v>Advance</v>
      </c>
      <c r="P1079" s="5" t="str">
        <f t="shared" si="4"/>
        <v>Chennai -&gt; Bengaluru</v>
      </c>
    </row>
    <row r="1080" ht="15.75" customHeight="1">
      <c r="A1080" s="5" t="s">
        <v>2924</v>
      </c>
      <c r="B1080" s="5" t="s">
        <v>2426</v>
      </c>
      <c r="C1080" s="5" t="s">
        <v>753</v>
      </c>
      <c r="D1080" s="5" t="s">
        <v>45</v>
      </c>
      <c r="E1080" s="6" t="str">
        <f t="array" ref="E1080">IFERROR(INDEX(Airlines!$B:$B,MATCH(D1080,Airlines!$A:$A,0)),"")</f>
        <v>Air_India</v>
      </c>
      <c r="F1080" s="6" t="str">
        <f>VLOOKUP(A1080,Bookings!$A:$F,6,FALSE())</f>
        <v>Economy</v>
      </c>
      <c r="G1080" s="6" t="str">
        <f t="array" ref="G1080">IFERROR(INDEX(Flights!$E:$E,MATCH(B1080,Flights!$A:$A,0)),"")</f>
        <v>Chennai</v>
      </c>
      <c r="H1080" s="6" t="str">
        <f>VLOOKUP(B1080,Flights!A:H,6,FALSE())</f>
        <v>Bengaluru</v>
      </c>
      <c r="I1080" s="6" t="str">
        <f t="array" ref="I1080">IFERROR(INDEX(Bookings!$G:$G,MATCH(B1080,Bookings!$B:$B,0)),"")</f>
        <v>1</v>
      </c>
      <c r="J1080" s="5">
        <f>VLOOKUP(B1080,Bookings!B:H,7,FALSE())</f>
        <v>12</v>
      </c>
      <c r="K1080" s="5" t="str">
        <f t="shared" si="1"/>
        <v>Long</v>
      </c>
      <c r="L1080" s="11">
        <f t="array" ref="L1080">IFERROR(INDEX(Bookings!$K:$K,MATCH(A1080,Bookings!$A:$A,0)),"")</f>
        <v>5299</v>
      </c>
      <c r="M1080" s="5" t="str">
        <f t="shared" si="2"/>
        <v>Medium</v>
      </c>
      <c r="N1080" s="5">
        <f t="array" ref="N1080">IFERROR(INDEX(Bookings!$I:$I,MATCH(A1080,Bookings!$A:$A,0)),"")</f>
        <v>47</v>
      </c>
      <c r="O1080" s="5" t="str">
        <f t="shared" si="3"/>
        <v>Advance</v>
      </c>
      <c r="P1080" s="5" t="str">
        <f t="shared" si="4"/>
        <v>Chennai -&gt; Bengaluru</v>
      </c>
    </row>
    <row r="1081" ht="15.75" customHeight="1">
      <c r="A1081" s="5" t="s">
        <v>2927</v>
      </c>
      <c r="B1081" s="5" t="s">
        <v>2452</v>
      </c>
      <c r="C1081" s="5" t="s">
        <v>753</v>
      </c>
      <c r="D1081" s="5" t="s">
        <v>20</v>
      </c>
      <c r="E1081" s="6" t="str">
        <f t="array" ref="E1081">IFERROR(INDEX(Airlines!$B:$B,MATCH(D1081,Airlines!$A:$A,0)),"")</f>
        <v>Vistara</v>
      </c>
      <c r="F1081" s="6" t="str">
        <f>VLOOKUP(A1081,Bookings!$A:$F,6,FALSE())</f>
        <v>Economy</v>
      </c>
      <c r="G1081" s="6" t="str">
        <f t="array" ref="G1081">IFERROR(INDEX(Flights!$E:$E,MATCH(B1081,Flights!$A:$A,0)),"")</f>
        <v>Chennai</v>
      </c>
      <c r="H1081" s="6" t="str">
        <f>VLOOKUP(B1081,Flights!A:H,6,FALSE())</f>
        <v>Bengaluru</v>
      </c>
      <c r="I1081" s="6" t="str">
        <f t="array" ref="I1081">IFERROR(INDEX(Bookings!$G:$G,MATCH(B1081,Bookings!$B:$B,0)),"")</f>
        <v>2+</v>
      </c>
      <c r="J1081" s="5">
        <f>VLOOKUP(B1081,Bookings!B:H,7,FALSE())</f>
        <v>10</v>
      </c>
      <c r="K1081" s="5" t="str">
        <f t="shared" si="1"/>
        <v>Medium</v>
      </c>
      <c r="L1081" s="11">
        <f t="array" ref="L1081">IFERROR(INDEX(Bookings!$K:$K,MATCH(A1081,Bookings!$A:$A,0)),"")</f>
        <v>6437</v>
      </c>
      <c r="M1081" s="5" t="str">
        <f t="shared" si="2"/>
        <v>Medium</v>
      </c>
      <c r="N1081" s="5">
        <f t="array" ref="N1081">IFERROR(INDEX(Bookings!$I:$I,MATCH(A1081,Bookings!$A:$A,0)),"")</f>
        <v>46</v>
      </c>
      <c r="O1081" s="5" t="str">
        <f t="shared" si="3"/>
        <v>Advance</v>
      </c>
      <c r="P1081" s="5" t="str">
        <f t="shared" si="4"/>
        <v>Chennai -&gt; Bengaluru</v>
      </c>
    </row>
    <row r="1082" ht="15.75" customHeight="1">
      <c r="A1082" s="5" t="s">
        <v>2930</v>
      </c>
      <c r="B1082" s="5" t="s">
        <v>2468</v>
      </c>
      <c r="C1082" s="5" t="s">
        <v>753</v>
      </c>
      <c r="D1082" s="5" t="s">
        <v>45</v>
      </c>
      <c r="E1082" s="6" t="str">
        <f t="array" ref="E1082">IFERROR(INDEX(Airlines!$B:$B,MATCH(D1082,Airlines!$A:$A,0)),"")</f>
        <v>Air_India</v>
      </c>
      <c r="F1082" s="6" t="str">
        <f>VLOOKUP(A1082,Bookings!$A:$F,6,FALSE())</f>
        <v>Economy</v>
      </c>
      <c r="G1082" s="6" t="str">
        <f t="array" ref="G1082">IFERROR(INDEX(Flights!$E:$E,MATCH(B1082,Flights!$A:$A,0)),"")</f>
        <v>Chennai</v>
      </c>
      <c r="H1082" s="6" t="str">
        <f>VLOOKUP(B1082,Flights!A:H,6,FALSE())</f>
        <v>Bengaluru</v>
      </c>
      <c r="I1082" s="6" t="str">
        <f t="array" ref="I1082">IFERROR(INDEX(Bookings!$G:$G,MATCH(B1082,Bookings!$B:$B,0)),"")</f>
        <v>1</v>
      </c>
      <c r="J1082" s="5">
        <f>VLOOKUP(B1082,Bookings!B:H,7,FALSE())</f>
        <v>19.08</v>
      </c>
      <c r="K1082" s="5" t="str">
        <f t="shared" si="1"/>
        <v>Long</v>
      </c>
      <c r="L1082" s="11">
        <f t="array" ref="L1082">IFERROR(INDEX(Bookings!$K:$K,MATCH(A1082,Bookings!$A:$A,0)),"")</f>
        <v>6308</v>
      </c>
      <c r="M1082" s="5" t="str">
        <f t="shared" si="2"/>
        <v>Medium</v>
      </c>
      <c r="N1082" s="5">
        <f t="array" ref="N1082">IFERROR(INDEX(Bookings!$I:$I,MATCH(A1082,Bookings!$A:$A,0)),"")</f>
        <v>46</v>
      </c>
      <c r="O1082" s="5" t="str">
        <f t="shared" si="3"/>
        <v>Advance</v>
      </c>
      <c r="P1082" s="5" t="str">
        <f t="shared" si="4"/>
        <v>Chennai -&gt; Bengaluru</v>
      </c>
    </row>
    <row r="1083" ht="15.75" customHeight="1">
      <c r="A1083" s="5" t="s">
        <v>2933</v>
      </c>
      <c r="B1083" s="5" t="s">
        <v>2583</v>
      </c>
      <c r="C1083" s="5" t="s">
        <v>771</v>
      </c>
      <c r="D1083" s="5" t="s">
        <v>43</v>
      </c>
      <c r="E1083" s="6" t="str">
        <f t="array" ref="E1083">IFERROR(INDEX(Airlines!$B:$B,MATCH(D1083,Airlines!$A:$A,0)),"")</f>
        <v>Indigo</v>
      </c>
      <c r="F1083" s="6" t="str">
        <f>VLOOKUP(A1083,Bookings!$A:$F,6,FALSE())</f>
        <v>Economy</v>
      </c>
      <c r="G1083" s="6" t="str">
        <f t="array" ref="G1083">IFERROR(INDEX(Flights!$E:$E,MATCH(B1083,Flights!$A:$A,0)),"")</f>
        <v>Chennai</v>
      </c>
      <c r="H1083" s="6" t="str">
        <f>VLOOKUP(B1083,Flights!A:H,6,FALSE())</f>
        <v>Kolkata</v>
      </c>
      <c r="I1083" s="6" t="str">
        <f t="array" ref="I1083">IFERROR(INDEX(Bookings!$G:$G,MATCH(B1083,Bookings!$B:$B,0)),"")</f>
        <v>1</v>
      </c>
      <c r="J1083" s="5">
        <f>VLOOKUP(B1083,Bookings!B:H,7,FALSE())</f>
        <v>8.08</v>
      </c>
      <c r="K1083" s="5" t="str">
        <f t="shared" si="1"/>
        <v>Medium</v>
      </c>
      <c r="L1083" s="11">
        <f t="array" ref="L1083">IFERROR(INDEX(Bookings!$K:$K,MATCH(A1083,Bookings!$A:$A,0)),"")</f>
        <v>5042</v>
      </c>
      <c r="M1083" s="5" t="str">
        <f t="shared" si="2"/>
        <v>Medium</v>
      </c>
      <c r="N1083" s="5">
        <f t="array" ref="N1083">IFERROR(INDEX(Bookings!$I:$I,MATCH(A1083,Bookings!$A:$A,0)),"")</f>
        <v>23</v>
      </c>
      <c r="O1083" s="5" t="str">
        <f t="shared" si="3"/>
        <v>Moderate</v>
      </c>
      <c r="P1083" s="5" t="str">
        <f t="shared" si="4"/>
        <v>Chennai -&gt; Kolkata</v>
      </c>
    </row>
    <row r="1084" ht="15.75" customHeight="1">
      <c r="A1084" s="5" t="s">
        <v>2936</v>
      </c>
      <c r="B1084" s="5" t="s">
        <v>2523</v>
      </c>
      <c r="C1084" s="5" t="s">
        <v>771</v>
      </c>
      <c r="D1084" s="5" t="s">
        <v>43</v>
      </c>
      <c r="E1084" s="6" t="str">
        <f t="array" ref="E1084">IFERROR(INDEX(Airlines!$B:$B,MATCH(D1084,Airlines!$A:$A,0)),"")</f>
        <v>Indigo</v>
      </c>
      <c r="F1084" s="6" t="str">
        <f>VLOOKUP(A1084,Bookings!$A:$F,6,FALSE())</f>
        <v>Economy</v>
      </c>
      <c r="G1084" s="6" t="str">
        <f t="array" ref="G1084">IFERROR(INDEX(Flights!$E:$E,MATCH(B1084,Flights!$A:$A,0)),"")</f>
        <v>Chennai</v>
      </c>
      <c r="H1084" s="6" t="str">
        <f>VLOOKUP(B1084,Flights!A:H,6,FALSE())</f>
        <v>Kolkata</v>
      </c>
      <c r="I1084" s="6" t="str">
        <f t="array" ref="I1084">IFERROR(INDEX(Bookings!$G:$G,MATCH(B1084,Bookings!$B:$B,0)),"")</f>
        <v>2+</v>
      </c>
      <c r="J1084" s="5">
        <f>VLOOKUP(B1084,Bookings!B:H,7,FALSE())</f>
        <v>8</v>
      </c>
      <c r="K1084" s="5" t="str">
        <f t="shared" si="1"/>
        <v>Medium</v>
      </c>
      <c r="L1084" s="11">
        <f t="array" ref="L1084">IFERROR(INDEX(Bookings!$K:$K,MATCH(A1084,Bookings!$A:$A,0)),"")</f>
        <v>13773</v>
      </c>
      <c r="M1084" s="5" t="str">
        <f t="shared" si="2"/>
        <v>Medium</v>
      </c>
      <c r="N1084" s="5">
        <f t="array" ref="N1084">IFERROR(INDEX(Bookings!$I:$I,MATCH(A1084,Bookings!$A:$A,0)),"")</f>
        <v>2</v>
      </c>
      <c r="O1084" s="5" t="str">
        <f t="shared" si="3"/>
        <v>Last Minute</v>
      </c>
      <c r="P1084" s="5" t="str">
        <f t="shared" si="4"/>
        <v>Chennai -&gt; Kolkata</v>
      </c>
    </row>
    <row r="1085" ht="15.75" customHeight="1">
      <c r="A1085" s="5" t="s">
        <v>2938</v>
      </c>
      <c r="B1085" s="5" t="s">
        <v>2595</v>
      </c>
      <c r="C1085" s="5" t="s">
        <v>771</v>
      </c>
      <c r="D1085" s="5" t="s">
        <v>45</v>
      </c>
      <c r="E1085" s="6" t="str">
        <f t="array" ref="E1085">IFERROR(INDEX(Airlines!$B:$B,MATCH(D1085,Airlines!$A:$A,0)),"")</f>
        <v>Air_India</v>
      </c>
      <c r="F1085" s="6" t="str">
        <f>VLOOKUP(A1085,Bookings!$A:$F,6,FALSE())</f>
        <v>Business</v>
      </c>
      <c r="G1085" s="6" t="str">
        <f t="array" ref="G1085">IFERROR(INDEX(Flights!$E:$E,MATCH(B1085,Flights!$A:$A,0)),"")</f>
        <v>Chennai</v>
      </c>
      <c r="H1085" s="6" t="str">
        <f>VLOOKUP(B1085,Flights!A:H,6,FALSE())</f>
        <v>Kolkata</v>
      </c>
      <c r="I1085" s="6" t="str">
        <f t="array" ref="I1085">IFERROR(INDEX(Bookings!$G:$G,MATCH(B1085,Bookings!$B:$B,0)),"")</f>
        <v>1</v>
      </c>
      <c r="J1085" s="5">
        <f>VLOOKUP(B1085,Bookings!B:H,7,FALSE())</f>
        <v>26</v>
      </c>
      <c r="K1085" s="5" t="str">
        <f t="shared" si="1"/>
        <v>Long</v>
      </c>
      <c r="L1085" s="11">
        <f t="array" ref="L1085">IFERROR(INDEX(Bookings!$K:$K,MATCH(A1085,Bookings!$A:$A,0)),"")</f>
        <v>7336</v>
      </c>
      <c r="M1085" s="5" t="str">
        <f t="shared" si="2"/>
        <v>Medium</v>
      </c>
      <c r="N1085" s="5">
        <f t="array" ref="N1085">IFERROR(INDEX(Bookings!$I:$I,MATCH(A1085,Bookings!$A:$A,0)),"")</f>
        <v>43</v>
      </c>
      <c r="O1085" s="5" t="str">
        <f t="shared" si="3"/>
        <v>Advance</v>
      </c>
      <c r="P1085" s="5" t="str">
        <f t="shared" si="4"/>
        <v>Chennai -&gt; Kolkata</v>
      </c>
    </row>
    <row r="1086" ht="15.75" customHeight="1">
      <c r="A1086" s="5" t="s">
        <v>2943</v>
      </c>
      <c r="B1086" s="5" t="s">
        <v>2574</v>
      </c>
      <c r="C1086" s="5" t="s">
        <v>771</v>
      </c>
      <c r="D1086" s="5" t="s">
        <v>45</v>
      </c>
      <c r="E1086" s="6" t="str">
        <f t="array" ref="E1086">IFERROR(INDEX(Airlines!$B:$B,MATCH(D1086,Airlines!$A:$A,0)),"")</f>
        <v>Air_India</v>
      </c>
      <c r="F1086" s="6" t="str">
        <f>VLOOKUP(A1086,Bookings!$A:$F,6,FALSE())</f>
        <v>Economy</v>
      </c>
      <c r="G1086" s="6" t="str">
        <f t="array" ref="G1086">IFERROR(INDEX(Flights!$E:$E,MATCH(B1086,Flights!$A:$A,0)),"")</f>
        <v>Chennai</v>
      </c>
      <c r="H1086" s="6" t="str">
        <f>VLOOKUP(B1086,Flights!A:H,6,FALSE())</f>
        <v>Kolkata</v>
      </c>
      <c r="I1086" s="6" t="str">
        <f t="array" ref="I1086">IFERROR(INDEX(Bookings!$G:$G,MATCH(B1086,Bookings!$B:$B,0)),"")</f>
        <v>2+</v>
      </c>
      <c r="J1086" s="5">
        <f>VLOOKUP(B1086,Bookings!B:H,7,FALSE())</f>
        <v>26.5</v>
      </c>
      <c r="K1086" s="5" t="str">
        <f t="shared" si="1"/>
        <v>Long</v>
      </c>
      <c r="L1086" s="11">
        <f t="array" ref="L1086">IFERROR(INDEX(Bookings!$K:$K,MATCH(A1086,Bookings!$A:$A,0)),"")</f>
        <v>17223</v>
      </c>
      <c r="M1086" s="5" t="str">
        <f t="shared" si="2"/>
        <v>High</v>
      </c>
      <c r="N1086" s="5">
        <f t="array" ref="N1086">IFERROR(INDEX(Bookings!$I:$I,MATCH(A1086,Bookings!$A:$A,0)),"")</f>
        <v>2</v>
      </c>
      <c r="O1086" s="5" t="str">
        <f t="shared" si="3"/>
        <v>Last Minute</v>
      </c>
      <c r="P1086" s="5" t="str">
        <f t="shared" si="4"/>
        <v>Chennai -&gt; Kolkata</v>
      </c>
    </row>
    <row r="1087" ht="15.75" customHeight="1">
      <c r="A1087" s="5" t="s">
        <v>2944</v>
      </c>
      <c r="B1087" s="5" t="s">
        <v>2563</v>
      </c>
      <c r="C1087" s="5" t="s">
        <v>771</v>
      </c>
      <c r="D1087" s="5" t="s">
        <v>20</v>
      </c>
      <c r="E1087" s="6" t="str">
        <f t="array" ref="E1087">IFERROR(INDEX(Airlines!$B:$B,MATCH(D1087,Airlines!$A:$A,0)),"")</f>
        <v>Vistara</v>
      </c>
      <c r="F1087" s="6" t="str">
        <f>VLOOKUP(A1087,Bookings!$A:$F,6,FALSE())</f>
        <v>Economy</v>
      </c>
      <c r="G1087" s="6" t="str">
        <f t="array" ref="G1087">IFERROR(INDEX(Flights!$E:$E,MATCH(B1087,Flights!$A:$A,0)),"")</f>
        <v>Chennai</v>
      </c>
      <c r="H1087" s="6" t="str">
        <f>VLOOKUP(B1087,Flights!A:H,6,FALSE())</f>
        <v>Kolkata</v>
      </c>
      <c r="I1087" s="6" t="str">
        <f t="array" ref="I1087">IFERROR(INDEX(Bookings!$G:$G,MATCH(B1087,Bookings!$B:$B,0)),"")</f>
        <v>2+</v>
      </c>
      <c r="J1087" s="5">
        <f>VLOOKUP(B1087,Bookings!B:H,7,FALSE())</f>
        <v>37.83</v>
      </c>
      <c r="K1087" s="5" t="str">
        <f t="shared" si="1"/>
        <v>Long</v>
      </c>
      <c r="L1087" s="11">
        <f t="array" ref="L1087">IFERROR(INDEX(Bookings!$K:$K,MATCH(A1087,Bookings!$A:$A,0)),"")</f>
        <v>19670</v>
      </c>
      <c r="M1087" s="5" t="str">
        <f t="shared" si="2"/>
        <v>High</v>
      </c>
      <c r="N1087" s="5">
        <f t="array" ref="N1087">IFERROR(INDEX(Bookings!$I:$I,MATCH(A1087,Bookings!$A:$A,0)),"")</f>
        <v>2</v>
      </c>
      <c r="O1087" s="5" t="str">
        <f t="shared" si="3"/>
        <v>Last Minute</v>
      </c>
      <c r="P1087" s="5" t="str">
        <f t="shared" si="4"/>
        <v>Chennai -&gt; Kolkata</v>
      </c>
    </row>
    <row r="1088" ht="15.75" customHeight="1">
      <c r="A1088" s="5" t="s">
        <v>2947</v>
      </c>
      <c r="B1088" s="5" t="s">
        <v>2592</v>
      </c>
      <c r="C1088" s="5" t="s">
        <v>771</v>
      </c>
      <c r="D1088" s="5" t="s">
        <v>43</v>
      </c>
      <c r="E1088" s="6" t="str">
        <f t="array" ref="E1088">IFERROR(INDEX(Airlines!$B:$B,MATCH(D1088,Airlines!$A:$A,0)),"")</f>
        <v>Indigo</v>
      </c>
      <c r="F1088" s="6" t="str">
        <f>VLOOKUP(A1088,Bookings!$A:$F,6,FALSE())</f>
        <v>Economy</v>
      </c>
      <c r="G1088" s="6" t="str">
        <f t="array" ref="G1088">IFERROR(INDEX(Flights!$E:$E,MATCH(B1088,Flights!$A:$A,0)),"")</f>
        <v>Chennai</v>
      </c>
      <c r="H1088" s="6" t="str">
        <f>VLOOKUP(B1088,Flights!A:H,6,FALSE())</f>
        <v>Kolkata</v>
      </c>
      <c r="I1088" s="6" t="str">
        <f t="array" ref="I1088">IFERROR(INDEX(Bookings!$G:$G,MATCH(B1088,Bookings!$B:$B,0)),"")</f>
        <v>2+</v>
      </c>
      <c r="J1088" s="5">
        <f>VLOOKUP(B1088,Bookings!B:H,7,FALSE())</f>
        <v>7.42</v>
      </c>
      <c r="K1088" s="5" t="str">
        <f t="shared" si="1"/>
        <v>Medium</v>
      </c>
      <c r="L1088" s="11">
        <f t="array" ref="L1088">IFERROR(INDEX(Bookings!$K:$K,MATCH(A1088,Bookings!$A:$A,0)),"")</f>
        <v>21055</v>
      </c>
      <c r="M1088" s="5" t="str">
        <f t="shared" si="2"/>
        <v>High</v>
      </c>
      <c r="N1088" s="5">
        <f t="array" ref="N1088">IFERROR(INDEX(Bookings!$I:$I,MATCH(A1088,Bookings!$A:$A,0)),"")</f>
        <v>2</v>
      </c>
      <c r="O1088" s="5" t="str">
        <f t="shared" si="3"/>
        <v>Last Minute</v>
      </c>
      <c r="P1088" s="5" t="str">
        <f t="shared" si="4"/>
        <v>Chennai -&gt; Kolkata</v>
      </c>
    </row>
    <row r="1089" ht="15.75" customHeight="1">
      <c r="A1089" s="5" t="s">
        <v>2948</v>
      </c>
      <c r="B1089" s="5" t="s">
        <v>2511</v>
      </c>
      <c r="C1089" s="5" t="s">
        <v>771</v>
      </c>
      <c r="D1089" s="5" t="s">
        <v>45</v>
      </c>
      <c r="E1089" s="6" t="str">
        <f t="array" ref="E1089">IFERROR(INDEX(Airlines!$B:$B,MATCH(D1089,Airlines!$A:$A,0)),"")</f>
        <v>Air_India</v>
      </c>
      <c r="F1089" s="6" t="str">
        <f>VLOOKUP(A1089,Bookings!$A:$F,6,FALSE())</f>
        <v>Business</v>
      </c>
      <c r="G1089" s="6" t="str">
        <f t="array" ref="G1089">IFERROR(INDEX(Flights!$E:$E,MATCH(B1089,Flights!$A:$A,0)),"")</f>
        <v>Chennai</v>
      </c>
      <c r="H1089" s="6" t="str">
        <f>VLOOKUP(B1089,Flights!A:H,6,FALSE())</f>
        <v>Kolkata</v>
      </c>
      <c r="I1089" s="6" t="str">
        <f t="array" ref="I1089">IFERROR(INDEX(Bookings!$G:$G,MATCH(B1089,Bookings!$B:$B,0)),"")</f>
        <v>1</v>
      </c>
      <c r="J1089" s="5">
        <f>VLOOKUP(B1089,Bookings!B:H,7,FALSE())</f>
        <v>12.42</v>
      </c>
      <c r="K1089" s="5" t="str">
        <f t="shared" si="1"/>
        <v>Long</v>
      </c>
      <c r="L1089" s="11">
        <f t="array" ref="L1089">IFERROR(INDEX(Bookings!$K:$K,MATCH(A1089,Bookings!$A:$A,0)),"")</f>
        <v>55377</v>
      </c>
      <c r="M1089" s="5" t="str">
        <f t="shared" si="2"/>
        <v>High</v>
      </c>
      <c r="N1089" s="5">
        <f t="array" ref="N1089">IFERROR(INDEX(Bookings!$I:$I,MATCH(A1089,Bookings!$A:$A,0)),"")</f>
        <v>43</v>
      </c>
      <c r="O1089" s="5" t="str">
        <f t="shared" si="3"/>
        <v>Advance</v>
      </c>
      <c r="P1089" s="5" t="str">
        <f t="shared" si="4"/>
        <v>Chennai -&gt; Kolkata</v>
      </c>
    </row>
    <row r="1090" ht="15.75" customHeight="1">
      <c r="A1090" s="5" t="s">
        <v>2950</v>
      </c>
      <c r="B1090" s="5" t="s">
        <v>2519</v>
      </c>
      <c r="C1090" s="5" t="s">
        <v>771</v>
      </c>
      <c r="D1090" s="5" t="s">
        <v>45</v>
      </c>
      <c r="E1090" s="6" t="str">
        <f t="array" ref="E1090">IFERROR(INDEX(Airlines!$B:$B,MATCH(D1090,Airlines!$A:$A,0)),"")</f>
        <v>Air_India</v>
      </c>
      <c r="F1090" s="6" t="str">
        <f>VLOOKUP(A1090,Bookings!$A:$F,6,FALSE())</f>
        <v>Economy</v>
      </c>
      <c r="G1090" s="6" t="str">
        <f t="array" ref="G1090">IFERROR(INDEX(Flights!$E:$E,MATCH(B1090,Flights!$A:$A,0)),"")</f>
        <v>Chennai</v>
      </c>
      <c r="H1090" s="6" t="str">
        <f>VLOOKUP(B1090,Flights!A:H,6,FALSE())</f>
        <v>Kolkata</v>
      </c>
      <c r="I1090" s="6" t="str">
        <f t="array" ref="I1090">IFERROR(INDEX(Bookings!$G:$G,MATCH(B1090,Bookings!$B:$B,0)),"")</f>
        <v>1</v>
      </c>
      <c r="J1090" s="5">
        <f>VLOOKUP(B1090,Bookings!B:H,7,FALSE())</f>
        <v>41.5</v>
      </c>
      <c r="K1090" s="5" t="str">
        <f t="shared" si="1"/>
        <v>Long</v>
      </c>
      <c r="L1090" s="11">
        <f t="array" ref="L1090">IFERROR(INDEX(Bookings!$K:$K,MATCH(A1090,Bookings!$A:$A,0)),"")</f>
        <v>31398</v>
      </c>
      <c r="M1090" s="5" t="str">
        <f t="shared" si="2"/>
        <v>High</v>
      </c>
      <c r="N1090" s="5">
        <f t="array" ref="N1090">IFERROR(INDEX(Bookings!$I:$I,MATCH(A1090,Bookings!$A:$A,0)),"")</f>
        <v>2</v>
      </c>
      <c r="O1090" s="5" t="str">
        <f t="shared" si="3"/>
        <v>Last Minute</v>
      </c>
      <c r="P1090" s="5" t="str">
        <f t="shared" si="4"/>
        <v>Chennai -&gt; Kolkata</v>
      </c>
    </row>
    <row r="1091" ht="15.75" customHeight="1">
      <c r="A1091" s="5" t="s">
        <v>2951</v>
      </c>
      <c r="B1091" s="5" t="s">
        <v>2526</v>
      </c>
      <c r="C1091" s="5" t="s">
        <v>771</v>
      </c>
      <c r="D1091" s="5" t="s">
        <v>20</v>
      </c>
      <c r="E1091" s="6" t="str">
        <f t="array" ref="E1091">IFERROR(INDEX(Airlines!$B:$B,MATCH(D1091,Airlines!$A:$A,0)),"")</f>
        <v>Vistara</v>
      </c>
      <c r="F1091" s="6" t="str">
        <f>VLOOKUP(A1091,Bookings!$A:$F,6,FALSE())</f>
        <v>Business</v>
      </c>
      <c r="G1091" s="6" t="str">
        <f t="array" ref="G1091">IFERROR(INDEX(Flights!$E:$E,MATCH(B1091,Flights!$A:$A,0)),"")</f>
        <v>Chennai</v>
      </c>
      <c r="H1091" s="6" t="str">
        <f>VLOOKUP(B1091,Flights!A:H,6,FALSE())</f>
        <v>Kolkata</v>
      </c>
      <c r="I1091" s="6" t="str">
        <f t="array" ref="I1091">IFERROR(INDEX(Bookings!$G:$G,MATCH(B1091,Bookings!$B:$B,0)),"")</f>
        <v>1</v>
      </c>
      <c r="J1091" s="5">
        <f>VLOOKUP(B1091,Bookings!B:H,7,FALSE())</f>
        <v>7.17</v>
      </c>
      <c r="K1091" s="5" t="str">
        <f t="shared" si="1"/>
        <v>Medium</v>
      </c>
      <c r="L1091" s="11">
        <f t="array" ref="L1091">IFERROR(INDEX(Bookings!$K:$K,MATCH(A1091,Bookings!$A:$A,0)),"")</f>
        <v>54896</v>
      </c>
      <c r="M1091" s="5" t="str">
        <f t="shared" si="2"/>
        <v>High</v>
      </c>
      <c r="N1091" s="5">
        <f t="array" ref="N1091">IFERROR(INDEX(Bookings!$I:$I,MATCH(A1091,Bookings!$A:$A,0)),"")</f>
        <v>48</v>
      </c>
      <c r="O1091" s="5" t="str">
        <f t="shared" si="3"/>
        <v>Advance</v>
      </c>
      <c r="P1091" s="5" t="str">
        <f t="shared" si="4"/>
        <v>Chennai -&gt; Kolkata</v>
      </c>
    </row>
    <row r="1092" ht="15.75" customHeight="1">
      <c r="A1092" s="5" t="s">
        <v>2954</v>
      </c>
      <c r="B1092" s="5" t="s">
        <v>2577</v>
      </c>
      <c r="C1092" s="5" t="s">
        <v>771</v>
      </c>
      <c r="D1092" s="5" t="s">
        <v>43</v>
      </c>
      <c r="E1092" s="6" t="str">
        <f t="array" ref="E1092">IFERROR(INDEX(Airlines!$B:$B,MATCH(D1092,Airlines!$A:$A,0)),"")</f>
        <v>Indigo</v>
      </c>
      <c r="F1092" s="6" t="str">
        <f>VLOOKUP(A1092,Bookings!$A:$F,6,FALSE())</f>
        <v>Economy</v>
      </c>
      <c r="G1092" s="6" t="str">
        <f t="array" ref="G1092">IFERROR(INDEX(Flights!$E:$E,MATCH(B1092,Flights!$A:$A,0)),"")</f>
        <v>Chennai</v>
      </c>
      <c r="H1092" s="6" t="str">
        <f>VLOOKUP(B1092,Flights!A:H,6,FALSE())</f>
        <v>Kolkata</v>
      </c>
      <c r="I1092" s="6" t="str">
        <f t="array" ref="I1092">IFERROR(INDEX(Bookings!$G:$G,MATCH(B1092,Bookings!$B:$B,0)),"")</f>
        <v>1</v>
      </c>
      <c r="J1092" s="5">
        <f>VLOOKUP(B1092,Bookings!B:H,7,FALSE())</f>
        <v>9.5</v>
      </c>
      <c r="K1092" s="5" t="str">
        <f t="shared" si="1"/>
        <v>Medium</v>
      </c>
      <c r="L1092" s="11">
        <f t="array" ref="L1092">IFERROR(INDEX(Bookings!$K:$K,MATCH(A1092,Bookings!$A:$A,0)),"")</f>
        <v>13264</v>
      </c>
      <c r="M1092" s="5" t="str">
        <f t="shared" si="2"/>
        <v>Medium</v>
      </c>
      <c r="N1092" s="5">
        <f t="array" ref="N1092">IFERROR(INDEX(Bookings!$I:$I,MATCH(A1092,Bookings!$A:$A,0)),"")</f>
        <v>3</v>
      </c>
      <c r="O1092" s="5" t="str">
        <f t="shared" si="3"/>
        <v>Last Minute</v>
      </c>
      <c r="P1092" s="5" t="str">
        <f t="shared" si="4"/>
        <v>Chennai -&gt; Kolkata</v>
      </c>
    </row>
    <row r="1093" ht="15.75" customHeight="1">
      <c r="A1093" s="5" t="s">
        <v>2956</v>
      </c>
      <c r="B1093" s="5" t="s">
        <v>2534</v>
      </c>
      <c r="C1093" s="5" t="s">
        <v>771</v>
      </c>
      <c r="D1093" s="5" t="s">
        <v>45</v>
      </c>
      <c r="E1093" s="6" t="str">
        <f t="array" ref="E1093">IFERROR(INDEX(Airlines!$B:$B,MATCH(D1093,Airlines!$A:$A,0)),"")</f>
        <v>Air_India</v>
      </c>
      <c r="F1093" s="6" t="str">
        <f>VLOOKUP(A1093,Bookings!$A:$F,6,FALSE())</f>
        <v>Economy</v>
      </c>
      <c r="G1093" s="6" t="str">
        <f t="array" ref="G1093">IFERROR(INDEX(Flights!$E:$E,MATCH(B1093,Flights!$A:$A,0)),"")</f>
        <v>Chennai</v>
      </c>
      <c r="H1093" s="6" t="str">
        <f>VLOOKUP(B1093,Flights!A:H,6,FALSE())</f>
        <v>Kolkata</v>
      </c>
      <c r="I1093" s="6" t="str">
        <f t="array" ref="I1093">IFERROR(INDEX(Bookings!$G:$G,MATCH(B1093,Bookings!$B:$B,0)),"")</f>
        <v>1</v>
      </c>
      <c r="J1093" s="5">
        <f>VLOOKUP(B1093,Bookings!B:H,7,FALSE())</f>
        <v>30.17</v>
      </c>
      <c r="K1093" s="5" t="str">
        <f t="shared" si="1"/>
        <v>Long</v>
      </c>
      <c r="L1093" s="11">
        <f t="array" ref="L1093">IFERROR(INDEX(Bookings!$K:$K,MATCH(A1093,Bookings!$A:$A,0)),"")</f>
        <v>18234</v>
      </c>
      <c r="M1093" s="5" t="str">
        <f t="shared" si="2"/>
        <v>High</v>
      </c>
      <c r="N1093" s="5">
        <f t="array" ref="N1093">IFERROR(INDEX(Bookings!$I:$I,MATCH(A1093,Bookings!$A:$A,0)),"")</f>
        <v>3</v>
      </c>
      <c r="O1093" s="5" t="str">
        <f t="shared" si="3"/>
        <v>Last Minute</v>
      </c>
      <c r="P1093" s="5" t="str">
        <f t="shared" si="4"/>
        <v>Chennai -&gt; Kolkata</v>
      </c>
    </row>
    <row r="1094" ht="15.75" customHeight="1">
      <c r="A1094" s="5" t="s">
        <v>2959</v>
      </c>
      <c r="B1094" s="5" t="s">
        <v>2601</v>
      </c>
      <c r="C1094" s="5" t="s">
        <v>771</v>
      </c>
      <c r="D1094" s="5" t="s">
        <v>20</v>
      </c>
      <c r="E1094" s="6" t="str">
        <f t="array" ref="E1094">IFERROR(INDEX(Airlines!$B:$B,MATCH(D1094,Airlines!$A:$A,0)),"")</f>
        <v>Vistara</v>
      </c>
      <c r="F1094" s="6" t="str">
        <f>VLOOKUP(A1094,Bookings!$A:$F,6,FALSE())</f>
        <v>Economy</v>
      </c>
      <c r="G1094" s="6" t="str">
        <f t="array" ref="G1094">IFERROR(INDEX(Flights!$E:$E,MATCH(B1094,Flights!$A:$A,0)),"")</f>
        <v>Chennai</v>
      </c>
      <c r="H1094" s="6" t="str">
        <f>VLOOKUP(B1094,Flights!A:H,6,FALSE())</f>
        <v>Kolkata</v>
      </c>
      <c r="I1094" s="6" t="str">
        <f t="array" ref="I1094">IFERROR(INDEX(Bookings!$G:$G,MATCH(B1094,Bookings!$B:$B,0)),"")</f>
        <v>1</v>
      </c>
      <c r="J1094" s="5">
        <f>VLOOKUP(B1094,Bookings!B:H,7,FALSE())</f>
        <v>7.33</v>
      </c>
      <c r="K1094" s="5" t="str">
        <f t="shared" si="1"/>
        <v>Medium</v>
      </c>
      <c r="L1094" s="11">
        <f t="array" ref="L1094">IFERROR(INDEX(Bookings!$K:$K,MATCH(A1094,Bookings!$A:$A,0)),"")</f>
        <v>5937</v>
      </c>
      <c r="M1094" s="5" t="str">
        <f t="shared" si="2"/>
        <v>Medium</v>
      </c>
      <c r="N1094" s="5">
        <f t="array" ref="N1094">IFERROR(INDEX(Bookings!$I:$I,MATCH(A1094,Bookings!$A:$A,0)),"")</f>
        <v>34</v>
      </c>
      <c r="O1094" s="5" t="str">
        <f t="shared" si="3"/>
        <v>Advance</v>
      </c>
      <c r="P1094" s="5" t="str">
        <f t="shared" si="4"/>
        <v>Chennai -&gt; Kolkata</v>
      </c>
    </row>
    <row r="1095" ht="15.75" customHeight="1">
      <c r="A1095" s="5" t="s">
        <v>2961</v>
      </c>
      <c r="B1095" s="5" t="s">
        <v>2599</v>
      </c>
      <c r="C1095" s="5" t="s">
        <v>771</v>
      </c>
      <c r="D1095" s="5" t="s">
        <v>45</v>
      </c>
      <c r="E1095" s="6" t="str">
        <f t="array" ref="E1095">IFERROR(INDEX(Airlines!$B:$B,MATCH(D1095,Airlines!$A:$A,0)),"")</f>
        <v>Air_India</v>
      </c>
      <c r="F1095" s="6" t="str">
        <f>VLOOKUP(A1095,Bookings!$A:$F,6,FALSE())</f>
        <v>Economy</v>
      </c>
      <c r="G1095" s="6" t="str">
        <f t="array" ref="G1095">IFERROR(INDEX(Flights!$E:$E,MATCH(B1095,Flights!$A:$A,0)),"")</f>
        <v>Chennai</v>
      </c>
      <c r="H1095" s="6" t="str">
        <f>VLOOKUP(B1095,Flights!A:H,6,FALSE())</f>
        <v>Kolkata</v>
      </c>
      <c r="I1095" s="6" t="str">
        <f t="array" ref="I1095">IFERROR(INDEX(Bookings!$G:$G,MATCH(B1095,Bookings!$B:$B,0)),"")</f>
        <v>2+</v>
      </c>
      <c r="J1095" s="5">
        <f>VLOOKUP(B1095,Bookings!B:H,7,FALSE())</f>
        <v>16.17</v>
      </c>
      <c r="K1095" s="5" t="str">
        <f t="shared" si="1"/>
        <v>Long</v>
      </c>
      <c r="L1095" s="11">
        <f t="array" ref="L1095">IFERROR(INDEX(Bookings!$K:$K,MATCH(A1095,Bookings!$A:$A,0)),"")</f>
        <v>19953</v>
      </c>
      <c r="M1095" s="5" t="str">
        <f t="shared" si="2"/>
        <v>High</v>
      </c>
      <c r="N1095" s="5">
        <f t="array" ref="N1095">IFERROR(INDEX(Bookings!$I:$I,MATCH(A1095,Bookings!$A:$A,0)),"")</f>
        <v>3</v>
      </c>
      <c r="O1095" s="5" t="str">
        <f t="shared" si="3"/>
        <v>Last Minute</v>
      </c>
      <c r="P1095" s="5" t="str">
        <f t="shared" si="4"/>
        <v>Chennai -&gt; Kolkata</v>
      </c>
    </row>
    <row r="1096" ht="15.75" customHeight="1">
      <c r="A1096" s="5" t="s">
        <v>2962</v>
      </c>
      <c r="B1096" s="5" t="s">
        <v>2591</v>
      </c>
      <c r="C1096" s="5" t="s">
        <v>771</v>
      </c>
      <c r="D1096" s="5" t="s">
        <v>43</v>
      </c>
      <c r="E1096" s="6" t="str">
        <f t="array" ref="E1096">IFERROR(INDEX(Airlines!$B:$B,MATCH(D1096,Airlines!$A:$A,0)),"")</f>
        <v>Indigo</v>
      </c>
      <c r="F1096" s="6" t="str">
        <f>VLOOKUP(A1096,Bookings!$A:$F,6,FALSE())</f>
        <v>Economy</v>
      </c>
      <c r="G1096" s="6" t="str">
        <f t="array" ref="G1096">IFERROR(INDEX(Flights!$E:$E,MATCH(B1096,Flights!$A:$A,0)),"")</f>
        <v>Chennai</v>
      </c>
      <c r="H1096" s="6" t="str">
        <f>VLOOKUP(B1096,Flights!A:H,6,FALSE())</f>
        <v>Kolkata</v>
      </c>
      <c r="I1096" s="6" t="str">
        <f t="array" ref="I1096">IFERROR(INDEX(Bookings!$G:$G,MATCH(B1096,Bookings!$B:$B,0)),"")</f>
        <v>1</v>
      </c>
      <c r="J1096" s="5">
        <f>VLOOKUP(B1096,Bookings!B:H,7,FALSE())</f>
        <v>7.58</v>
      </c>
      <c r="K1096" s="5" t="str">
        <f t="shared" si="1"/>
        <v>Medium</v>
      </c>
      <c r="L1096" s="11">
        <f t="array" ref="L1096">IFERROR(INDEX(Bookings!$K:$K,MATCH(A1096,Bookings!$A:$A,0)),"")</f>
        <v>5042</v>
      </c>
      <c r="M1096" s="5" t="str">
        <f t="shared" si="2"/>
        <v>Medium</v>
      </c>
      <c r="N1096" s="5">
        <f t="array" ref="N1096">IFERROR(INDEX(Bookings!$I:$I,MATCH(A1096,Bookings!$A:$A,0)),"")</f>
        <v>4</v>
      </c>
      <c r="O1096" s="5" t="str">
        <f t="shared" si="3"/>
        <v>Last Minute</v>
      </c>
      <c r="P1096" s="5" t="str">
        <f t="shared" si="4"/>
        <v>Chennai -&gt; Kolkata</v>
      </c>
    </row>
    <row r="1097" ht="15.75" customHeight="1">
      <c r="A1097" s="5" t="s">
        <v>2963</v>
      </c>
      <c r="B1097" s="5" t="s">
        <v>2546</v>
      </c>
      <c r="C1097" s="5" t="s">
        <v>771</v>
      </c>
      <c r="D1097" s="5" t="s">
        <v>43</v>
      </c>
      <c r="E1097" s="6" t="str">
        <f t="array" ref="E1097">IFERROR(INDEX(Airlines!$B:$B,MATCH(D1097,Airlines!$A:$A,0)),"")</f>
        <v>Indigo</v>
      </c>
      <c r="F1097" s="6" t="str">
        <f>VLOOKUP(A1097,Bookings!$A:$F,6,FALSE())</f>
        <v>Economy</v>
      </c>
      <c r="G1097" s="6" t="str">
        <f t="array" ref="G1097">IFERROR(INDEX(Flights!$E:$E,MATCH(B1097,Flights!$A:$A,0)),"")</f>
        <v>Chennai</v>
      </c>
      <c r="H1097" s="6" t="str">
        <f>VLOOKUP(B1097,Flights!A:H,6,FALSE())</f>
        <v>Kolkata</v>
      </c>
      <c r="I1097" s="6" t="str">
        <f t="array" ref="I1097">IFERROR(INDEX(Bookings!$G:$G,MATCH(B1097,Bookings!$B:$B,0)),"")</f>
        <v>1</v>
      </c>
      <c r="J1097" s="5">
        <f>VLOOKUP(B1097,Bookings!B:H,7,FALSE())</f>
        <v>11.67</v>
      </c>
      <c r="K1097" s="5" t="str">
        <f t="shared" si="1"/>
        <v>Long</v>
      </c>
      <c r="L1097" s="11">
        <f t="array" ref="L1097">IFERROR(INDEX(Bookings!$K:$K,MATCH(A1097,Bookings!$A:$A,0)),"")</f>
        <v>8035</v>
      </c>
      <c r="M1097" s="5" t="str">
        <f t="shared" si="2"/>
        <v>Medium</v>
      </c>
      <c r="N1097" s="5">
        <f t="array" ref="N1097">IFERROR(INDEX(Bookings!$I:$I,MATCH(A1097,Bookings!$A:$A,0)),"")</f>
        <v>4</v>
      </c>
      <c r="O1097" s="5" t="str">
        <f t="shared" si="3"/>
        <v>Last Minute</v>
      </c>
      <c r="P1097" s="5" t="str">
        <f t="shared" si="4"/>
        <v>Chennai -&gt; Kolkata</v>
      </c>
    </row>
    <row r="1098" ht="15.75" customHeight="1">
      <c r="A1098" s="5" t="s">
        <v>2964</v>
      </c>
      <c r="B1098" s="5" t="s">
        <v>2532</v>
      </c>
      <c r="C1098" s="5" t="s">
        <v>771</v>
      </c>
      <c r="D1098" s="5" t="s">
        <v>20</v>
      </c>
      <c r="E1098" s="6" t="str">
        <f t="array" ref="E1098">IFERROR(INDEX(Airlines!$B:$B,MATCH(D1098,Airlines!$A:$A,0)),"")</f>
        <v>Vistara</v>
      </c>
      <c r="F1098" s="6" t="str">
        <f>VLOOKUP(A1098,Bookings!$A:$F,6,FALSE())</f>
        <v>Economy</v>
      </c>
      <c r="G1098" s="6" t="str">
        <f t="array" ref="G1098">IFERROR(INDEX(Flights!$E:$E,MATCH(B1098,Flights!$A:$A,0)),"")</f>
        <v>Chennai</v>
      </c>
      <c r="H1098" s="6" t="str">
        <f>VLOOKUP(B1098,Flights!A:H,6,FALSE())</f>
        <v>Kolkata</v>
      </c>
      <c r="I1098" s="6" t="str">
        <f t="array" ref="I1098">IFERROR(INDEX(Bookings!$G:$G,MATCH(B1098,Bookings!$B:$B,0)),"")</f>
        <v>1</v>
      </c>
      <c r="J1098" s="5">
        <f>VLOOKUP(B1098,Bookings!B:H,7,FALSE())</f>
        <v>25.67</v>
      </c>
      <c r="K1098" s="5" t="str">
        <f t="shared" si="1"/>
        <v>Long</v>
      </c>
      <c r="L1098" s="11">
        <f t="array" ref="L1098">IFERROR(INDEX(Bookings!$K:$K,MATCH(A1098,Bookings!$A:$A,0)),"")</f>
        <v>5937</v>
      </c>
      <c r="M1098" s="5" t="str">
        <f t="shared" si="2"/>
        <v>Medium</v>
      </c>
      <c r="N1098" s="5">
        <f t="array" ref="N1098">IFERROR(INDEX(Bookings!$I:$I,MATCH(A1098,Bookings!$A:$A,0)),"")</f>
        <v>26</v>
      </c>
      <c r="O1098" s="5" t="str">
        <f t="shared" si="3"/>
        <v>Moderate</v>
      </c>
      <c r="P1098" s="5" t="str">
        <f t="shared" si="4"/>
        <v>Chennai -&gt; Kolkata</v>
      </c>
    </row>
    <row r="1099" ht="15.75" customHeight="1">
      <c r="A1099" s="5" t="s">
        <v>2965</v>
      </c>
      <c r="B1099" s="5" t="s">
        <v>2548</v>
      </c>
      <c r="C1099" s="5" t="s">
        <v>771</v>
      </c>
      <c r="D1099" s="5" t="s">
        <v>43</v>
      </c>
      <c r="E1099" s="6" t="str">
        <f t="array" ref="E1099">IFERROR(INDEX(Airlines!$B:$B,MATCH(D1099,Airlines!$A:$A,0)),"")</f>
        <v>Indigo</v>
      </c>
      <c r="F1099" s="6" t="str">
        <f>VLOOKUP(A1099,Bookings!$A:$F,6,FALSE())</f>
        <v>Economy</v>
      </c>
      <c r="G1099" s="6" t="str">
        <f t="array" ref="G1099">IFERROR(INDEX(Flights!$E:$E,MATCH(B1099,Flights!$A:$A,0)),"")</f>
        <v>Chennai</v>
      </c>
      <c r="H1099" s="6" t="str">
        <f>VLOOKUP(B1099,Flights!A:H,6,FALSE())</f>
        <v>Kolkata</v>
      </c>
      <c r="I1099" s="6" t="str">
        <f t="array" ref="I1099">IFERROR(INDEX(Bookings!$G:$G,MATCH(B1099,Bookings!$B:$B,0)),"")</f>
        <v>1</v>
      </c>
      <c r="J1099" s="5">
        <f>VLOOKUP(B1099,Bookings!B:H,7,FALSE())</f>
        <v>8.75</v>
      </c>
      <c r="K1099" s="5" t="str">
        <f t="shared" si="1"/>
        <v>Medium</v>
      </c>
      <c r="L1099" s="11">
        <f t="array" ref="L1099">IFERROR(INDEX(Bookings!$K:$K,MATCH(A1099,Bookings!$A:$A,0)),"")</f>
        <v>11757</v>
      </c>
      <c r="M1099" s="5" t="str">
        <f t="shared" si="2"/>
        <v>Medium</v>
      </c>
      <c r="N1099" s="5">
        <f t="array" ref="N1099">IFERROR(INDEX(Bookings!$I:$I,MATCH(A1099,Bookings!$A:$A,0)),"")</f>
        <v>4</v>
      </c>
      <c r="O1099" s="5" t="str">
        <f t="shared" si="3"/>
        <v>Last Minute</v>
      </c>
      <c r="P1099" s="5" t="str">
        <f t="shared" si="4"/>
        <v>Chennai -&gt; Kolkata</v>
      </c>
    </row>
    <row r="1100" ht="15.75" customHeight="1">
      <c r="A1100" s="5" t="s">
        <v>2966</v>
      </c>
      <c r="B1100" s="5" t="s">
        <v>2553</v>
      </c>
      <c r="C1100" s="5" t="s">
        <v>771</v>
      </c>
      <c r="D1100" s="5" t="s">
        <v>45</v>
      </c>
      <c r="E1100" s="6" t="str">
        <f t="array" ref="E1100">IFERROR(INDEX(Airlines!$B:$B,MATCH(D1100,Airlines!$A:$A,0)),"")</f>
        <v>Air_India</v>
      </c>
      <c r="F1100" s="6" t="str">
        <f>VLOOKUP(A1100,Bookings!$A:$F,6,FALSE())</f>
        <v>Economy</v>
      </c>
      <c r="G1100" s="6" t="str">
        <f t="array" ref="G1100">IFERROR(INDEX(Flights!$E:$E,MATCH(B1100,Flights!$A:$A,0)),"")</f>
        <v>Chennai</v>
      </c>
      <c r="H1100" s="6" t="str">
        <f>VLOOKUP(B1100,Flights!A:H,6,FALSE())</f>
        <v>Kolkata</v>
      </c>
      <c r="I1100" s="6" t="str">
        <f t="array" ref="I1100">IFERROR(INDEX(Bookings!$G:$G,MATCH(B1100,Bookings!$B:$B,0)),"")</f>
        <v>2+</v>
      </c>
      <c r="J1100" s="5">
        <f>VLOOKUP(B1100,Bookings!B:H,7,FALSE())</f>
        <v>12.42</v>
      </c>
      <c r="K1100" s="5" t="str">
        <f t="shared" si="1"/>
        <v>Long</v>
      </c>
      <c r="L1100" s="11">
        <f t="array" ref="L1100">IFERROR(INDEX(Bookings!$K:$K,MATCH(A1100,Bookings!$A:$A,0)),"")</f>
        <v>15123</v>
      </c>
      <c r="M1100" s="5" t="str">
        <f t="shared" si="2"/>
        <v>Medium</v>
      </c>
      <c r="N1100" s="5">
        <f t="array" ref="N1100">IFERROR(INDEX(Bookings!$I:$I,MATCH(A1100,Bookings!$A:$A,0)),"")</f>
        <v>4</v>
      </c>
      <c r="O1100" s="5" t="str">
        <f t="shared" si="3"/>
        <v>Last Minute</v>
      </c>
      <c r="P1100" s="5" t="str">
        <f t="shared" si="4"/>
        <v>Chennai -&gt; Kolkata</v>
      </c>
    </row>
    <row r="1101" ht="15.75" customHeight="1">
      <c r="A1101" s="5" t="s">
        <v>2967</v>
      </c>
      <c r="B1101" s="5" t="s">
        <v>2556</v>
      </c>
      <c r="C1101" s="5" t="s">
        <v>771</v>
      </c>
      <c r="D1101" s="5" t="s">
        <v>45</v>
      </c>
      <c r="E1101" s="6" t="str">
        <f t="array" ref="E1101">IFERROR(INDEX(Airlines!$B:$B,MATCH(D1101,Airlines!$A:$A,0)),"")</f>
        <v>Air_India</v>
      </c>
      <c r="F1101" s="6" t="str">
        <f>VLOOKUP(A1101,Bookings!$A:$F,6,FALSE())</f>
        <v>Economy</v>
      </c>
      <c r="G1101" s="6" t="str">
        <f t="array" ref="G1101">IFERROR(INDEX(Flights!$E:$E,MATCH(B1101,Flights!$A:$A,0)),"")</f>
        <v>Chennai</v>
      </c>
      <c r="H1101" s="6" t="str">
        <f>VLOOKUP(B1101,Flights!A:H,6,FALSE())</f>
        <v>Kolkata</v>
      </c>
      <c r="I1101" s="6" t="str">
        <f t="array" ref="I1101">IFERROR(INDEX(Bookings!$G:$G,MATCH(B1101,Bookings!$B:$B,0)),"")</f>
        <v>2+</v>
      </c>
      <c r="J1101" s="5">
        <f>VLOOKUP(B1101,Bookings!B:H,7,FALSE())</f>
        <v>23.08</v>
      </c>
      <c r="K1101" s="5" t="str">
        <f t="shared" si="1"/>
        <v>Long</v>
      </c>
      <c r="L1101" s="11">
        <f t="array" ref="L1101">IFERROR(INDEX(Bookings!$K:$K,MATCH(A1101,Bookings!$A:$A,0)),"")</f>
        <v>15123</v>
      </c>
      <c r="M1101" s="5" t="str">
        <f t="shared" si="2"/>
        <v>Medium</v>
      </c>
      <c r="N1101" s="5">
        <f t="array" ref="N1101">IFERROR(INDEX(Bookings!$I:$I,MATCH(A1101,Bookings!$A:$A,0)),"")</f>
        <v>6</v>
      </c>
      <c r="O1101" s="5" t="str">
        <f t="shared" si="3"/>
        <v>Last Minute</v>
      </c>
      <c r="P1101" s="5" t="str">
        <f t="shared" si="4"/>
        <v>Chennai -&gt; Kolkata</v>
      </c>
    </row>
    <row r="1102" ht="15.75" customHeight="1">
      <c r="A1102" s="5" t="s">
        <v>2968</v>
      </c>
      <c r="B1102" s="5" t="s">
        <v>2571</v>
      </c>
      <c r="C1102" s="5" t="s">
        <v>771</v>
      </c>
      <c r="D1102" s="5" t="s">
        <v>20</v>
      </c>
      <c r="E1102" s="6" t="str">
        <f t="array" ref="E1102">IFERROR(INDEX(Airlines!$B:$B,MATCH(D1102,Airlines!$A:$A,0)),"")</f>
        <v>Vistara</v>
      </c>
      <c r="F1102" s="6" t="str">
        <f>VLOOKUP(A1102,Bookings!$A:$F,6,FALSE())</f>
        <v>Economy</v>
      </c>
      <c r="G1102" s="6" t="str">
        <f t="array" ref="G1102">IFERROR(INDEX(Flights!$E:$E,MATCH(B1102,Flights!$A:$A,0)),"")</f>
        <v>Chennai</v>
      </c>
      <c r="H1102" s="6" t="str">
        <f>VLOOKUP(B1102,Flights!A:H,6,FALSE())</f>
        <v>Kolkata</v>
      </c>
      <c r="I1102" s="6" t="str">
        <f t="array" ref="I1102">IFERROR(INDEX(Bookings!$G:$G,MATCH(B1102,Bookings!$B:$B,0)),"")</f>
        <v>1</v>
      </c>
      <c r="J1102" s="5">
        <f>VLOOKUP(B1102,Bookings!B:H,7,FALSE())</f>
        <v>13.17</v>
      </c>
      <c r="K1102" s="5" t="str">
        <f t="shared" si="1"/>
        <v>Long</v>
      </c>
      <c r="L1102" s="11">
        <f t="array" ref="L1102">IFERROR(INDEX(Bookings!$K:$K,MATCH(A1102,Bookings!$A:$A,0)),"")</f>
        <v>7081</v>
      </c>
      <c r="M1102" s="5" t="str">
        <f t="shared" si="2"/>
        <v>Medium</v>
      </c>
      <c r="N1102" s="5">
        <f t="array" ref="N1102">IFERROR(INDEX(Bookings!$I:$I,MATCH(A1102,Bookings!$A:$A,0)),"")</f>
        <v>46</v>
      </c>
      <c r="O1102" s="5" t="str">
        <f t="shared" si="3"/>
        <v>Advance</v>
      </c>
      <c r="P1102" s="5" t="str">
        <f t="shared" si="4"/>
        <v>Chennai -&gt; Kolkata</v>
      </c>
    </row>
    <row r="1103" ht="15.75" customHeight="1">
      <c r="A1103" s="5" t="s">
        <v>2970</v>
      </c>
      <c r="B1103" s="5" t="s">
        <v>2588</v>
      </c>
      <c r="C1103" s="5" t="s">
        <v>771</v>
      </c>
      <c r="D1103" s="5" t="s">
        <v>20</v>
      </c>
      <c r="E1103" s="6" t="str">
        <f t="array" ref="E1103">IFERROR(INDEX(Airlines!$B:$B,MATCH(D1103,Airlines!$A:$A,0)),"")</f>
        <v>Vistara</v>
      </c>
      <c r="F1103" s="6" t="str">
        <f>VLOOKUP(A1103,Bookings!$A:$F,6,FALSE())</f>
        <v>Economy</v>
      </c>
      <c r="G1103" s="6" t="str">
        <f t="array" ref="G1103">IFERROR(INDEX(Flights!$E:$E,MATCH(B1103,Flights!$A:$A,0)),"")</f>
        <v>Chennai</v>
      </c>
      <c r="H1103" s="6" t="str">
        <f>VLOOKUP(B1103,Flights!A:H,6,FALSE())</f>
        <v>Kolkata</v>
      </c>
      <c r="I1103" s="6" t="str">
        <f t="array" ref="I1103">IFERROR(INDEX(Bookings!$G:$G,MATCH(B1103,Bookings!$B:$B,0)),"")</f>
        <v>1</v>
      </c>
      <c r="J1103" s="5">
        <f>VLOOKUP(B1103,Bookings!B:H,7,FALSE())</f>
        <v>20.33</v>
      </c>
      <c r="K1103" s="5" t="str">
        <f t="shared" si="1"/>
        <v>Long</v>
      </c>
      <c r="L1103" s="11">
        <f t="array" ref="L1103">IFERROR(INDEX(Bookings!$K:$K,MATCH(A1103,Bookings!$A:$A,0)),"")</f>
        <v>7081</v>
      </c>
      <c r="M1103" s="5" t="str">
        <f t="shared" si="2"/>
        <v>Medium</v>
      </c>
      <c r="N1103" s="5">
        <f t="array" ref="N1103">IFERROR(INDEX(Bookings!$I:$I,MATCH(A1103,Bookings!$A:$A,0)),"")</f>
        <v>36</v>
      </c>
      <c r="O1103" s="5" t="str">
        <f t="shared" si="3"/>
        <v>Advance</v>
      </c>
      <c r="P1103" s="5" t="str">
        <f t="shared" si="4"/>
        <v>Chennai -&gt; Kolkata</v>
      </c>
    </row>
    <row r="1104" ht="15.75" customHeight="1">
      <c r="A1104" s="5" t="s">
        <v>2971</v>
      </c>
      <c r="B1104" s="5" t="s">
        <v>2549</v>
      </c>
      <c r="C1104" s="5" t="s">
        <v>771</v>
      </c>
      <c r="D1104" s="5" t="s">
        <v>43</v>
      </c>
      <c r="E1104" s="6" t="str">
        <f t="array" ref="E1104">IFERROR(INDEX(Airlines!$B:$B,MATCH(D1104,Airlines!$A:$A,0)),"")</f>
        <v>Indigo</v>
      </c>
      <c r="F1104" s="6" t="str">
        <f>VLOOKUP(A1104,Bookings!$A:$F,6,FALSE())</f>
        <v>Economy</v>
      </c>
      <c r="G1104" s="6" t="str">
        <f t="array" ref="G1104">IFERROR(INDEX(Flights!$E:$E,MATCH(B1104,Flights!$A:$A,0)),"")</f>
        <v>Chennai</v>
      </c>
      <c r="H1104" s="6" t="str">
        <f>VLOOKUP(B1104,Flights!A:H,6,FALSE())</f>
        <v>Kolkata</v>
      </c>
      <c r="I1104" s="6" t="str">
        <f t="array" ref="I1104">IFERROR(INDEX(Bookings!$G:$G,MATCH(B1104,Bookings!$B:$B,0)),"")</f>
        <v>1</v>
      </c>
      <c r="J1104" s="5">
        <f>VLOOKUP(B1104,Bookings!B:H,7,FALSE())</f>
        <v>8.25</v>
      </c>
      <c r="K1104" s="5" t="str">
        <f t="shared" si="1"/>
        <v>Medium</v>
      </c>
      <c r="L1104" s="11">
        <f t="array" ref="L1104">IFERROR(INDEX(Bookings!$K:$K,MATCH(A1104,Bookings!$A:$A,0)),"")</f>
        <v>5798</v>
      </c>
      <c r="M1104" s="5" t="str">
        <f t="shared" si="2"/>
        <v>Medium</v>
      </c>
      <c r="N1104" s="5">
        <f t="array" ref="N1104">IFERROR(INDEX(Bookings!$I:$I,MATCH(A1104,Bookings!$A:$A,0)),"")</f>
        <v>42</v>
      </c>
      <c r="O1104" s="5" t="str">
        <f t="shared" si="3"/>
        <v>Advance</v>
      </c>
      <c r="P1104" s="5" t="str">
        <f t="shared" si="4"/>
        <v>Chennai -&gt; Kolkata</v>
      </c>
    </row>
    <row r="1105" ht="15.75" customHeight="1">
      <c r="A1105" s="5" t="s">
        <v>2972</v>
      </c>
      <c r="B1105" s="5" t="s">
        <v>2543</v>
      </c>
      <c r="C1105" s="5" t="s">
        <v>771</v>
      </c>
      <c r="D1105" s="5" t="s">
        <v>45</v>
      </c>
      <c r="E1105" s="6" t="str">
        <f t="array" ref="E1105">IFERROR(INDEX(Airlines!$B:$B,MATCH(D1105,Airlines!$A:$A,0)),"")</f>
        <v>Air_India</v>
      </c>
      <c r="F1105" s="6" t="str">
        <f>VLOOKUP(A1105,Bookings!$A:$F,6,FALSE())</f>
        <v>Business</v>
      </c>
      <c r="G1105" s="6" t="str">
        <f t="array" ref="G1105">IFERROR(INDEX(Flights!$E:$E,MATCH(B1105,Flights!$A:$A,0)),"")</f>
        <v>Chennai</v>
      </c>
      <c r="H1105" s="6" t="str">
        <f>VLOOKUP(B1105,Flights!A:H,6,FALSE())</f>
        <v>Kolkata</v>
      </c>
      <c r="I1105" s="6" t="str">
        <f t="array" ref="I1105">IFERROR(INDEX(Bookings!$G:$G,MATCH(B1105,Bookings!$B:$B,0)),"")</f>
        <v>1</v>
      </c>
      <c r="J1105" s="5">
        <f>VLOOKUP(B1105,Bookings!B:H,7,FALSE())</f>
        <v>18.17</v>
      </c>
      <c r="K1105" s="5" t="str">
        <f t="shared" si="1"/>
        <v>Long</v>
      </c>
      <c r="L1105" s="11">
        <f t="array" ref="L1105">IFERROR(INDEX(Bookings!$K:$K,MATCH(A1105,Bookings!$A:$A,0)),"")</f>
        <v>55377</v>
      </c>
      <c r="M1105" s="5" t="str">
        <f t="shared" si="2"/>
        <v>High</v>
      </c>
      <c r="N1105" s="5">
        <f t="array" ref="N1105">IFERROR(INDEX(Bookings!$I:$I,MATCH(A1105,Bookings!$A:$A,0)),"")</f>
        <v>43</v>
      </c>
      <c r="O1105" s="5" t="str">
        <f t="shared" si="3"/>
        <v>Advance</v>
      </c>
      <c r="P1105" s="5" t="str">
        <f t="shared" si="4"/>
        <v>Chennai -&gt; Kolkata</v>
      </c>
    </row>
    <row r="1106" ht="15.75" customHeight="1">
      <c r="A1106" s="5" t="s">
        <v>2974</v>
      </c>
      <c r="B1106" s="5" t="s">
        <v>2568</v>
      </c>
      <c r="C1106" s="5" t="s">
        <v>771</v>
      </c>
      <c r="D1106" s="5" t="s">
        <v>43</v>
      </c>
      <c r="E1106" s="6" t="str">
        <f t="array" ref="E1106">IFERROR(INDEX(Airlines!$B:$B,MATCH(D1106,Airlines!$A:$A,0)),"")</f>
        <v>Indigo</v>
      </c>
      <c r="F1106" s="6" t="str">
        <f>VLOOKUP(A1106,Bookings!$A:$F,6,FALSE())</f>
        <v>Economy</v>
      </c>
      <c r="G1106" s="6" t="str">
        <f t="array" ref="G1106">IFERROR(INDEX(Flights!$E:$E,MATCH(B1106,Flights!$A:$A,0)),"")</f>
        <v>Chennai</v>
      </c>
      <c r="H1106" s="6" t="str">
        <f>VLOOKUP(B1106,Flights!A:H,6,FALSE())</f>
        <v>Kolkata</v>
      </c>
      <c r="I1106" s="6" t="str">
        <f t="array" ref="I1106">IFERROR(INDEX(Bookings!$G:$G,MATCH(B1106,Bookings!$B:$B,0)),"")</f>
        <v>1</v>
      </c>
      <c r="J1106" s="5">
        <f>VLOOKUP(B1106,Bookings!B:H,7,FALSE())</f>
        <v>12.42</v>
      </c>
      <c r="K1106" s="5" t="str">
        <f t="shared" si="1"/>
        <v>Long</v>
      </c>
      <c r="L1106" s="11">
        <f t="array" ref="L1106">IFERROR(INDEX(Bookings!$K:$K,MATCH(A1106,Bookings!$A:$A,0)),"")</f>
        <v>5042</v>
      </c>
      <c r="M1106" s="5" t="str">
        <f t="shared" si="2"/>
        <v>Medium</v>
      </c>
      <c r="N1106" s="5">
        <f t="array" ref="N1106">IFERROR(INDEX(Bookings!$I:$I,MATCH(A1106,Bookings!$A:$A,0)),"")</f>
        <v>16</v>
      </c>
      <c r="O1106" s="5" t="str">
        <f t="shared" si="3"/>
        <v>Moderate</v>
      </c>
      <c r="P1106" s="5" t="str">
        <f t="shared" si="4"/>
        <v>Chennai -&gt; Kolkata</v>
      </c>
    </row>
    <row r="1107" ht="15.75" customHeight="1">
      <c r="A1107" s="5" t="s">
        <v>2976</v>
      </c>
      <c r="B1107" s="5" t="s">
        <v>2558</v>
      </c>
      <c r="C1107" s="5" t="s">
        <v>771</v>
      </c>
      <c r="D1107" s="5" t="s">
        <v>45</v>
      </c>
      <c r="E1107" s="6" t="str">
        <f t="array" ref="E1107">IFERROR(INDEX(Airlines!$B:$B,MATCH(D1107,Airlines!$A:$A,0)),"")</f>
        <v>Air_India</v>
      </c>
      <c r="F1107" s="6" t="str">
        <f>VLOOKUP(A1107,Bookings!$A:$F,6,FALSE())</f>
        <v>Economy</v>
      </c>
      <c r="G1107" s="6" t="str">
        <f t="array" ref="G1107">IFERROR(INDEX(Flights!$E:$E,MATCH(B1107,Flights!$A:$A,0)),"")</f>
        <v>Chennai</v>
      </c>
      <c r="H1107" s="6" t="str">
        <f>VLOOKUP(B1107,Flights!A:H,6,FALSE())</f>
        <v>Kolkata</v>
      </c>
      <c r="I1107" s="6" t="str">
        <f t="array" ref="I1107">IFERROR(INDEX(Bookings!$G:$G,MATCH(B1107,Bookings!$B:$B,0)),"")</f>
        <v>2+</v>
      </c>
      <c r="J1107" s="5">
        <f>VLOOKUP(B1107,Bookings!B:H,7,FALSE())</f>
        <v>30</v>
      </c>
      <c r="K1107" s="5" t="str">
        <f t="shared" si="1"/>
        <v>Long</v>
      </c>
      <c r="L1107" s="11">
        <f t="array" ref="L1107">IFERROR(INDEX(Bookings!$K:$K,MATCH(A1107,Bookings!$A:$A,0)),"")</f>
        <v>16239</v>
      </c>
      <c r="M1107" s="5" t="str">
        <f t="shared" si="2"/>
        <v>High</v>
      </c>
      <c r="N1107" s="5">
        <f t="array" ref="N1107">IFERROR(INDEX(Bookings!$I:$I,MATCH(A1107,Bookings!$A:$A,0)),"")</f>
        <v>9</v>
      </c>
      <c r="O1107" s="5" t="str">
        <f t="shared" si="3"/>
        <v>Short Notice</v>
      </c>
      <c r="P1107" s="5" t="str">
        <f t="shared" si="4"/>
        <v>Chennai -&gt; Kolkata</v>
      </c>
    </row>
    <row r="1108" ht="15.75" customHeight="1">
      <c r="A1108" s="5" t="s">
        <v>2978</v>
      </c>
      <c r="B1108" s="5" t="s">
        <v>2509</v>
      </c>
      <c r="C1108" s="5" t="s">
        <v>771</v>
      </c>
      <c r="D1108" s="5" t="s">
        <v>29</v>
      </c>
      <c r="E1108" s="6" t="str">
        <f t="array" ref="E1108">IFERROR(INDEX(Airlines!$B:$B,MATCH(D1108,Airlines!$A:$A,0)),"")</f>
        <v>AirAsia</v>
      </c>
      <c r="F1108" s="6" t="str">
        <f>VLOOKUP(A1108,Bookings!$A:$F,6,FALSE())</f>
        <v>Economy</v>
      </c>
      <c r="G1108" s="6" t="str">
        <f t="array" ref="G1108">IFERROR(INDEX(Flights!$E:$E,MATCH(B1108,Flights!$A:$A,0)),"")</f>
        <v>Chennai</v>
      </c>
      <c r="H1108" s="6" t="str">
        <f>VLOOKUP(B1108,Flights!A:H,6,FALSE())</f>
        <v>Kolkata</v>
      </c>
      <c r="I1108" s="6" t="str">
        <f t="array" ref="I1108">IFERROR(INDEX(Bookings!$G:$G,MATCH(B1108,Bookings!$B:$B,0)),"")</f>
        <v>1</v>
      </c>
      <c r="J1108" s="5">
        <f>VLOOKUP(B1108,Bookings!B:H,7,FALSE())</f>
        <v>10.42</v>
      </c>
      <c r="K1108" s="5" t="str">
        <f t="shared" si="1"/>
        <v>Long</v>
      </c>
      <c r="L1108" s="11">
        <f t="array" ref="L1108">IFERROR(INDEX(Bookings!$K:$K,MATCH(A1108,Bookings!$A:$A,0)),"")</f>
        <v>4087</v>
      </c>
      <c r="M1108" s="5" t="str">
        <f t="shared" si="2"/>
        <v>Low</v>
      </c>
      <c r="N1108" s="5">
        <f t="array" ref="N1108">IFERROR(INDEX(Bookings!$I:$I,MATCH(A1108,Bookings!$A:$A,0)),"")</f>
        <v>43</v>
      </c>
      <c r="O1108" s="5" t="str">
        <f t="shared" si="3"/>
        <v>Advance</v>
      </c>
      <c r="P1108" s="5" t="str">
        <f t="shared" si="4"/>
        <v>Chennai -&gt; Kolkata</v>
      </c>
    </row>
    <row r="1109" ht="15.75" customHeight="1">
      <c r="A1109" s="5" t="s">
        <v>2982</v>
      </c>
      <c r="B1109" s="5" t="s">
        <v>2528</v>
      </c>
      <c r="C1109" s="5" t="s">
        <v>771</v>
      </c>
      <c r="D1109" s="5" t="s">
        <v>45</v>
      </c>
      <c r="E1109" s="6" t="str">
        <f t="array" ref="E1109">IFERROR(INDEX(Airlines!$B:$B,MATCH(D1109,Airlines!$A:$A,0)),"")</f>
        <v>Air_India</v>
      </c>
      <c r="F1109" s="6" t="str">
        <f>VLOOKUP(A1109,Bookings!$A:$F,6,FALSE())</f>
        <v>Economy</v>
      </c>
      <c r="G1109" s="6" t="str">
        <f t="array" ref="G1109">IFERROR(INDEX(Flights!$E:$E,MATCH(B1109,Flights!$A:$A,0)),"")</f>
        <v>Chennai</v>
      </c>
      <c r="H1109" s="6" t="str">
        <f>VLOOKUP(B1109,Flights!A:H,6,FALSE())</f>
        <v>Kolkata</v>
      </c>
      <c r="I1109" s="6" t="str">
        <f t="array" ref="I1109">IFERROR(INDEX(Bookings!$G:$G,MATCH(B1109,Bookings!$B:$B,0)),"")</f>
        <v>1</v>
      </c>
      <c r="J1109" s="5">
        <f>VLOOKUP(B1109,Bookings!B:H,7,FALSE())</f>
        <v>19.5</v>
      </c>
      <c r="K1109" s="5" t="str">
        <f t="shared" si="1"/>
        <v>Long</v>
      </c>
      <c r="L1109" s="11">
        <f t="array" ref="L1109">IFERROR(INDEX(Bookings!$K:$K,MATCH(A1109,Bookings!$A:$A,0)),"")</f>
        <v>24888</v>
      </c>
      <c r="M1109" s="5" t="str">
        <f t="shared" si="2"/>
        <v>High</v>
      </c>
      <c r="N1109" s="5">
        <f t="array" ref="N1109">IFERROR(INDEX(Bookings!$I:$I,MATCH(A1109,Bookings!$A:$A,0)),"")</f>
        <v>12</v>
      </c>
      <c r="O1109" s="5" t="str">
        <f t="shared" si="3"/>
        <v>Short Notice</v>
      </c>
      <c r="P1109" s="5" t="str">
        <f t="shared" si="4"/>
        <v>Chennai -&gt; Kolkata</v>
      </c>
    </row>
    <row r="1110" ht="15.75" customHeight="1">
      <c r="A1110" s="5" t="s">
        <v>2984</v>
      </c>
      <c r="B1110" s="5" t="s">
        <v>2580</v>
      </c>
      <c r="C1110" s="5" t="s">
        <v>771</v>
      </c>
      <c r="D1110" s="5" t="s">
        <v>43</v>
      </c>
      <c r="E1110" s="6" t="str">
        <f t="array" ref="E1110">IFERROR(INDEX(Airlines!$B:$B,MATCH(D1110,Airlines!$A:$A,0)),"")</f>
        <v>Indigo</v>
      </c>
      <c r="F1110" s="6" t="str">
        <f>VLOOKUP(A1110,Bookings!$A:$F,6,FALSE())</f>
        <v>Economy</v>
      </c>
      <c r="G1110" s="6" t="str">
        <f t="array" ref="G1110">IFERROR(INDEX(Flights!$E:$E,MATCH(B1110,Flights!$A:$A,0)),"")</f>
        <v>Chennai</v>
      </c>
      <c r="H1110" s="6" t="str">
        <f>VLOOKUP(B1110,Flights!A:H,6,FALSE())</f>
        <v>Kolkata</v>
      </c>
      <c r="I1110" s="6" t="str">
        <f t="array" ref="I1110">IFERROR(INDEX(Bookings!$G:$G,MATCH(B1110,Bookings!$B:$B,0)),"")</f>
        <v>0</v>
      </c>
      <c r="J1110" s="5">
        <f>VLOOKUP(B1110,Bookings!B:H,7,FALSE())</f>
        <v>2.33</v>
      </c>
      <c r="K1110" s="5" t="str">
        <f t="shared" si="1"/>
        <v>Short</v>
      </c>
      <c r="L1110" s="11">
        <f t="array" ref="L1110">IFERROR(INDEX(Bookings!$K:$K,MATCH(A1110,Bookings!$A:$A,0)),"")</f>
        <v>2359</v>
      </c>
      <c r="M1110" s="5" t="str">
        <f t="shared" si="2"/>
        <v>Low</v>
      </c>
      <c r="N1110" s="5">
        <f t="array" ref="N1110">IFERROR(INDEX(Bookings!$I:$I,MATCH(A1110,Bookings!$A:$A,0)),"")</f>
        <v>48</v>
      </c>
      <c r="O1110" s="5" t="str">
        <f t="shared" si="3"/>
        <v>Advance</v>
      </c>
      <c r="P1110" s="5" t="str">
        <f t="shared" si="4"/>
        <v>Chennai -&gt; Kolkata</v>
      </c>
    </row>
    <row r="1111" ht="15.75" customHeight="1">
      <c r="A1111" s="5" t="s">
        <v>2985</v>
      </c>
      <c r="B1111" s="5" t="s">
        <v>2521</v>
      </c>
      <c r="C1111" s="5" t="s">
        <v>771</v>
      </c>
      <c r="D1111" s="5" t="s">
        <v>43</v>
      </c>
      <c r="E1111" s="6" t="str">
        <f t="array" ref="E1111">IFERROR(INDEX(Airlines!$B:$B,MATCH(D1111,Airlines!$A:$A,0)),"")</f>
        <v>Indigo</v>
      </c>
      <c r="F1111" s="6" t="str">
        <f>VLOOKUP(A1111,Bookings!$A:$F,6,FALSE())</f>
        <v>Economy</v>
      </c>
      <c r="G1111" s="6" t="str">
        <f t="array" ref="G1111">IFERROR(INDEX(Flights!$E:$E,MATCH(B1111,Flights!$A:$A,0)),"")</f>
        <v>Chennai</v>
      </c>
      <c r="H1111" s="6" t="str">
        <f>VLOOKUP(B1111,Flights!A:H,6,FALSE())</f>
        <v>Kolkata</v>
      </c>
      <c r="I1111" s="6" t="str">
        <f t="array" ref="I1111">IFERROR(INDEX(Bookings!$G:$G,MATCH(B1111,Bookings!$B:$B,0)),"")</f>
        <v>1</v>
      </c>
      <c r="J1111" s="5">
        <f>VLOOKUP(B1111,Bookings!B:H,7,FALSE())</f>
        <v>6.83</v>
      </c>
      <c r="K1111" s="5" t="str">
        <f t="shared" si="1"/>
        <v>Medium</v>
      </c>
      <c r="L1111" s="11">
        <f t="array" ref="L1111">IFERROR(INDEX(Bookings!$K:$K,MATCH(A1111,Bookings!$A:$A,0)),"")</f>
        <v>4939</v>
      </c>
      <c r="M1111" s="5" t="str">
        <f t="shared" si="2"/>
        <v>Medium</v>
      </c>
      <c r="N1111" s="5">
        <f t="array" ref="N1111">IFERROR(INDEX(Bookings!$I:$I,MATCH(A1111,Bookings!$A:$A,0)),"")</f>
        <v>41</v>
      </c>
      <c r="O1111" s="5" t="str">
        <f t="shared" si="3"/>
        <v>Advance</v>
      </c>
      <c r="P1111" s="5" t="str">
        <f t="shared" si="4"/>
        <v>Chennai -&gt; Kolkata</v>
      </c>
    </row>
    <row r="1112" ht="15.75" customHeight="1">
      <c r="A1112" s="5" t="s">
        <v>2986</v>
      </c>
      <c r="B1112" s="5" t="s">
        <v>2513</v>
      </c>
      <c r="C1112" s="5" t="s">
        <v>771</v>
      </c>
      <c r="D1112" s="5" t="s">
        <v>72</v>
      </c>
      <c r="E1112" s="6" t="str">
        <f t="array" ref="E1112">IFERROR(INDEX(Airlines!$B:$B,MATCH(D1112,Airlines!$A:$A,0)),"")</f>
        <v>Spicejet</v>
      </c>
      <c r="F1112" s="6" t="str">
        <f>VLOOKUP(A1112,Bookings!$A:$F,6,FALSE())</f>
        <v>Economy</v>
      </c>
      <c r="G1112" s="6" t="str">
        <f t="array" ref="G1112">IFERROR(INDEX(Flights!$E:$E,MATCH(B1112,Flights!$A:$A,0)),"")</f>
        <v>Chennai</v>
      </c>
      <c r="H1112" s="6" t="str">
        <f>VLOOKUP(B1112,Flights!A:H,6,FALSE())</f>
        <v>Kolkata</v>
      </c>
      <c r="I1112" s="6" t="str">
        <f t="array" ref="I1112">IFERROR(INDEX(Bookings!$G:$G,MATCH(B1112,Bookings!$B:$B,0)),"")</f>
        <v>1</v>
      </c>
      <c r="J1112" s="5">
        <f>VLOOKUP(B1112,Bookings!B:H,7,FALSE())</f>
        <v>24.08</v>
      </c>
      <c r="K1112" s="5" t="str">
        <f t="shared" si="1"/>
        <v>Long</v>
      </c>
      <c r="L1112" s="11">
        <f t="array" ref="L1112">IFERROR(INDEX(Bookings!$K:$K,MATCH(A1112,Bookings!$A:$A,0)),"")</f>
        <v>4281</v>
      </c>
      <c r="M1112" s="5" t="str">
        <f t="shared" si="2"/>
        <v>Low</v>
      </c>
      <c r="N1112" s="5">
        <f t="array" ref="N1112">IFERROR(INDEX(Bookings!$I:$I,MATCH(A1112,Bookings!$A:$A,0)),"")</f>
        <v>44</v>
      </c>
      <c r="O1112" s="5" t="str">
        <f t="shared" si="3"/>
        <v>Advance</v>
      </c>
      <c r="P1112" s="5" t="str">
        <f t="shared" si="4"/>
        <v>Chennai -&gt; Kolkata</v>
      </c>
    </row>
    <row r="1113" ht="15.75" customHeight="1">
      <c r="A1113" s="5" t="s">
        <v>2989</v>
      </c>
      <c r="B1113" s="5" t="s">
        <v>2565</v>
      </c>
      <c r="C1113" s="5" t="s">
        <v>771</v>
      </c>
      <c r="D1113" s="5" t="s">
        <v>29</v>
      </c>
      <c r="E1113" s="6" t="str">
        <f t="array" ref="E1113">IFERROR(INDEX(Airlines!$B:$B,MATCH(D1113,Airlines!$A:$A,0)),"")</f>
        <v>AirAsia</v>
      </c>
      <c r="F1113" s="6" t="str">
        <f>VLOOKUP(A1113,Bookings!$A:$F,6,FALSE())</f>
        <v>Economy</v>
      </c>
      <c r="G1113" s="6" t="str">
        <f t="array" ref="G1113">IFERROR(INDEX(Flights!$E:$E,MATCH(B1113,Flights!$A:$A,0)),"")</f>
        <v>Chennai</v>
      </c>
      <c r="H1113" s="6" t="str">
        <f>VLOOKUP(B1113,Flights!A:H,6,FALSE())</f>
        <v>Kolkata</v>
      </c>
      <c r="I1113" s="6" t="str">
        <f t="array" ref="I1113">IFERROR(INDEX(Bookings!$G:$G,MATCH(B1113,Bookings!$B:$B,0)),"")</f>
        <v>0</v>
      </c>
      <c r="J1113" s="5">
        <f>VLOOKUP(B1113,Bookings!B:H,7,FALSE())</f>
        <v>2.33</v>
      </c>
      <c r="K1113" s="5" t="str">
        <f t="shared" si="1"/>
        <v>Short</v>
      </c>
      <c r="L1113" s="11">
        <f t="array" ref="L1113">IFERROR(INDEX(Bookings!$K:$K,MATCH(A1113,Bookings!$A:$A,0)),"")</f>
        <v>2359</v>
      </c>
      <c r="M1113" s="5" t="str">
        <f t="shared" si="2"/>
        <v>Low</v>
      </c>
      <c r="N1113" s="5">
        <f t="array" ref="N1113">IFERROR(INDEX(Bookings!$I:$I,MATCH(A1113,Bookings!$A:$A,0)),"")</f>
        <v>46</v>
      </c>
      <c r="O1113" s="5" t="str">
        <f t="shared" si="3"/>
        <v>Advance</v>
      </c>
      <c r="P1113" s="5" t="str">
        <f t="shared" si="4"/>
        <v>Chennai -&gt; Kolkata</v>
      </c>
    </row>
    <row r="1114" ht="15.75" customHeight="1">
      <c r="A1114" s="5" t="s">
        <v>2990</v>
      </c>
      <c r="B1114" s="5" t="s">
        <v>2551</v>
      </c>
      <c r="C1114" s="5" t="s">
        <v>771</v>
      </c>
      <c r="D1114" s="5" t="s">
        <v>43</v>
      </c>
      <c r="E1114" s="6" t="str">
        <f t="array" ref="E1114">IFERROR(INDEX(Airlines!$B:$B,MATCH(D1114,Airlines!$A:$A,0)),"")</f>
        <v>Indigo</v>
      </c>
      <c r="F1114" s="6" t="str">
        <f>VLOOKUP(A1114,Bookings!$A:$F,6,FALSE())</f>
        <v>Economy</v>
      </c>
      <c r="G1114" s="6" t="str">
        <f t="array" ref="G1114">IFERROR(INDEX(Flights!$E:$E,MATCH(B1114,Flights!$A:$A,0)),"")</f>
        <v>Chennai</v>
      </c>
      <c r="H1114" s="6" t="str">
        <f>VLOOKUP(B1114,Flights!A:H,6,FALSE())</f>
        <v>Kolkata</v>
      </c>
      <c r="I1114" s="6" t="str">
        <f t="array" ref="I1114">IFERROR(INDEX(Bookings!$G:$G,MATCH(B1114,Bookings!$B:$B,0)),"")</f>
        <v>1</v>
      </c>
      <c r="J1114" s="5">
        <f>VLOOKUP(B1114,Bookings!B:H,7,FALSE())</f>
        <v>4.75</v>
      </c>
      <c r="K1114" s="5" t="str">
        <f t="shared" si="1"/>
        <v>Medium</v>
      </c>
      <c r="L1114" s="11">
        <f t="array" ref="L1114">IFERROR(INDEX(Bookings!$K:$K,MATCH(A1114,Bookings!$A:$A,0)),"")</f>
        <v>2359</v>
      </c>
      <c r="M1114" s="5" t="str">
        <f t="shared" si="2"/>
        <v>Low</v>
      </c>
      <c r="N1114" s="5">
        <f t="array" ref="N1114">IFERROR(INDEX(Bookings!$I:$I,MATCH(A1114,Bookings!$A:$A,0)),"")</f>
        <v>46</v>
      </c>
      <c r="O1114" s="5" t="str">
        <f t="shared" si="3"/>
        <v>Advance</v>
      </c>
      <c r="P1114" s="5" t="str">
        <f t="shared" si="4"/>
        <v>Chennai -&gt; Kolkata</v>
      </c>
    </row>
    <row r="1115" ht="15.75" customHeight="1">
      <c r="A1115" s="5" t="s">
        <v>2991</v>
      </c>
      <c r="B1115" s="5" t="s">
        <v>2516</v>
      </c>
      <c r="C1115" s="5" t="s">
        <v>771</v>
      </c>
      <c r="D1115" s="5" t="s">
        <v>43</v>
      </c>
      <c r="E1115" s="6" t="str">
        <f t="array" ref="E1115">IFERROR(INDEX(Airlines!$B:$B,MATCH(D1115,Airlines!$A:$A,0)),"")</f>
        <v>Indigo</v>
      </c>
      <c r="F1115" s="6" t="str">
        <f>VLOOKUP(A1115,Bookings!$A:$F,6,FALSE())</f>
        <v>Economy</v>
      </c>
      <c r="G1115" s="6" t="str">
        <f t="array" ref="G1115">IFERROR(INDEX(Flights!$E:$E,MATCH(B1115,Flights!$A:$A,0)),"")</f>
        <v>Chennai</v>
      </c>
      <c r="H1115" s="6" t="str">
        <f>VLOOKUP(B1115,Flights!A:H,6,FALSE())</f>
        <v>Kolkata</v>
      </c>
      <c r="I1115" s="6" t="str">
        <f t="array" ref="I1115">IFERROR(INDEX(Bookings!$G:$G,MATCH(B1115,Bookings!$B:$B,0)),"")</f>
        <v>1</v>
      </c>
      <c r="J1115" s="5">
        <f>VLOOKUP(B1115,Bookings!B:H,7,FALSE())</f>
        <v>7.08</v>
      </c>
      <c r="K1115" s="5" t="str">
        <f t="shared" si="1"/>
        <v>Medium</v>
      </c>
      <c r="L1115" s="11">
        <f t="array" ref="L1115">IFERROR(INDEX(Bookings!$K:$K,MATCH(A1115,Bookings!$A:$A,0)),"")</f>
        <v>2359</v>
      </c>
      <c r="M1115" s="5" t="str">
        <f t="shared" si="2"/>
        <v>Low</v>
      </c>
      <c r="N1115" s="5">
        <f t="array" ref="N1115">IFERROR(INDEX(Bookings!$I:$I,MATCH(A1115,Bookings!$A:$A,0)),"")</f>
        <v>46</v>
      </c>
      <c r="O1115" s="5" t="str">
        <f t="shared" si="3"/>
        <v>Advance</v>
      </c>
      <c r="P1115" s="5" t="str">
        <f t="shared" si="4"/>
        <v>Chennai -&gt; Kolkata</v>
      </c>
    </row>
    <row r="1116" ht="15.75" customHeight="1">
      <c r="A1116" s="5" t="s">
        <v>2993</v>
      </c>
      <c r="B1116" s="5" t="s">
        <v>2560</v>
      </c>
      <c r="C1116" s="5" t="s">
        <v>771</v>
      </c>
      <c r="D1116" s="5" t="s">
        <v>45</v>
      </c>
      <c r="E1116" s="6" t="str">
        <f t="array" ref="E1116">IFERROR(INDEX(Airlines!$B:$B,MATCH(D1116,Airlines!$A:$A,0)),"")</f>
        <v>Air_India</v>
      </c>
      <c r="F1116" s="6" t="str">
        <f>VLOOKUP(A1116,Bookings!$A:$F,6,FALSE())</f>
        <v>Economy</v>
      </c>
      <c r="G1116" s="6" t="str">
        <f t="array" ref="G1116">IFERROR(INDEX(Flights!$E:$E,MATCH(B1116,Flights!$A:$A,0)),"")</f>
        <v>Chennai</v>
      </c>
      <c r="H1116" s="6" t="str">
        <f>VLOOKUP(B1116,Flights!A:H,6,FALSE())</f>
        <v>Kolkata</v>
      </c>
      <c r="I1116" s="6" t="str">
        <f t="array" ref="I1116">IFERROR(INDEX(Bookings!$G:$G,MATCH(B1116,Bookings!$B:$B,0)),"")</f>
        <v>1</v>
      </c>
      <c r="J1116" s="5">
        <f>VLOOKUP(B1116,Bookings!B:H,7,FALSE())</f>
        <v>16.92</v>
      </c>
      <c r="K1116" s="5" t="str">
        <f t="shared" si="1"/>
        <v>Long</v>
      </c>
      <c r="L1116" s="11">
        <f t="array" ref="L1116">IFERROR(INDEX(Bookings!$K:$K,MATCH(A1116,Bookings!$A:$A,0)),"")</f>
        <v>4287</v>
      </c>
      <c r="M1116" s="5" t="str">
        <f t="shared" si="2"/>
        <v>Low</v>
      </c>
      <c r="N1116" s="5">
        <f t="array" ref="N1116">IFERROR(INDEX(Bookings!$I:$I,MATCH(A1116,Bookings!$A:$A,0)),"")</f>
        <v>45</v>
      </c>
      <c r="O1116" s="5" t="str">
        <f t="shared" si="3"/>
        <v>Advance</v>
      </c>
      <c r="P1116" s="5" t="str">
        <f t="shared" si="4"/>
        <v>Chennai -&gt; Kolkata</v>
      </c>
    </row>
    <row r="1117" ht="15.75" customHeight="1">
      <c r="A1117" s="5" t="s">
        <v>2994</v>
      </c>
      <c r="B1117" s="5" t="s">
        <v>2573</v>
      </c>
      <c r="C1117" s="5" t="s">
        <v>771</v>
      </c>
      <c r="D1117" s="5" t="s">
        <v>45</v>
      </c>
      <c r="E1117" s="6" t="str">
        <f t="array" ref="E1117">IFERROR(INDEX(Airlines!$B:$B,MATCH(D1117,Airlines!$A:$A,0)),"")</f>
        <v>Air_India</v>
      </c>
      <c r="F1117" s="6" t="str">
        <f>VLOOKUP(A1117,Bookings!$A:$F,6,FALSE())</f>
        <v>Economy</v>
      </c>
      <c r="G1117" s="6" t="str">
        <f t="array" ref="G1117">IFERROR(INDEX(Flights!$E:$E,MATCH(B1117,Flights!$A:$A,0)),"")</f>
        <v>Chennai</v>
      </c>
      <c r="H1117" s="6" t="str">
        <f>VLOOKUP(B1117,Flights!A:H,6,FALSE())</f>
        <v>Kolkata</v>
      </c>
      <c r="I1117" s="6" t="str">
        <f t="array" ref="I1117">IFERROR(INDEX(Bookings!$G:$G,MATCH(B1117,Bookings!$B:$B,0)),"")</f>
        <v>1</v>
      </c>
      <c r="J1117" s="5">
        <f>VLOOKUP(B1117,Bookings!B:H,7,FALSE())</f>
        <v>25.17</v>
      </c>
      <c r="K1117" s="5" t="str">
        <f t="shared" si="1"/>
        <v>Long</v>
      </c>
      <c r="L1117" s="11">
        <f t="array" ref="L1117">IFERROR(INDEX(Bookings!$K:$K,MATCH(A1117,Bookings!$A:$A,0)),"")</f>
        <v>4363</v>
      </c>
      <c r="M1117" s="5" t="str">
        <f t="shared" si="2"/>
        <v>Low</v>
      </c>
      <c r="N1117" s="5">
        <f t="array" ref="N1117">IFERROR(INDEX(Bookings!$I:$I,MATCH(A1117,Bookings!$A:$A,0)),"")</f>
        <v>47</v>
      </c>
      <c r="O1117" s="5" t="str">
        <f t="shared" si="3"/>
        <v>Advance</v>
      </c>
      <c r="P1117" s="5" t="str">
        <f t="shared" si="4"/>
        <v>Chennai -&gt; Kolkata</v>
      </c>
    </row>
    <row r="1118" ht="15.75" customHeight="1">
      <c r="A1118" s="5" t="s">
        <v>2995</v>
      </c>
      <c r="B1118" s="5" t="s">
        <v>2544</v>
      </c>
      <c r="C1118" s="5" t="s">
        <v>771</v>
      </c>
      <c r="D1118" s="5" t="s">
        <v>43</v>
      </c>
      <c r="E1118" s="6" t="str">
        <f t="array" ref="E1118">IFERROR(INDEX(Airlines!$B:$B,MATCH(D1118,Airlines!$A:$A,0)),"")</f>
        <v>Indigo</v>
      </c>
      <c r="F1118" s="6" t="str">
        <f>VLOOKUP(A1118,Bookings!$A:$F,6,FALSE())</f>
        <v>Economy</v>
      </c>
      <c r="G1118" s="6" t="str">
        <f t="array" ref="G1118">IFERROR(INDEX(Flights!$E:$E,MATCH(B1118,Flights!$A:$A,0)),"")</f>
        <v>Chennai</v>
      </c>
      <c r="H1118" s="6" t="str">
        <f>VLOOKUP(B1118,Flights!A:H,6,FALSE())</f>
        <v>Kolkata</v>
      </c>
      <c r="I1118" s="6" t="str">
        <f t="array" ref="I1118">IFERROR(INDEX(Bookings!$G:$G,MATCH(B1118,Bookings!$B:$B,0)),"")</f>
        <v>1</v>
      </c>
      <c r="J1118" s="5">
        <f>VLOOKUP(B1118,Bookings!B:H,7,FALSE())</f>
        <v>7.92</v>
      </c>
      <c r="K1118" s="5" t="str">
        <f t="shared" si="1"/>
        <v>Medium</v>
      </c>
      <c r="L1118" s="11">
        <f t="array" ref="L1118">IFERROR(INDEX(Bookings!$K:$K,MATCH(A1118,Bookings!$A:$A,0)),"")</f>
        <v>5924</v>
      </c>
      <c r="M1118" s="5" t="str">
        <f t="shared" si="2"/>
        <v>Medium</v>
      </c>
      <c r="N1118" s="5">
        <f t="array" ref="N1118">IFERROR(INDEX(Bookings!$I:$I,MATCH(A1118,Bookings!$A:$A,0)),"")</f>
        <v>46</v>
      </c>
      <c r="O1118" s="5" t="str">
        <f t="shared" si="3"/>
        <v>Advance</v>
      </c>
      <c r="P1118" s="5" t="str">
        <f t="shared" si="4"/>
        <v>Chennai -&gt; Kolkata</v>
      </c>
    </row>
    <row r="1119" ht="15.75" customHeight="1">
      <c r="A1119" s="5" t="s">
        <v>2996</v>
      </c>
      <c r="B1119" s="5" t="s">
        <v>2586</v>
      </c>
      <c r="C1119" s="5" t="s">
        <v>771</v>
      </c>
      <c r="D1119" s="5" t="s">
        <v>45</v>
      </c>
      <c r="E1119" s="6" t="str">
        <f t="array" ref="E1119">IFERROR(INDEX(Airlines!$B:$B,MATCH(D1119,Airlines!$A:$A,0)),"")</f>
        <v>Air_India</v>
      </c>
      <c r="F1119" s="6" t="str">
        <f>VLOOKUP(A1119,Bookings!$A:$F,6,FALSE())</f>
        <v>Economy</v>
      </c>
      <c r="G1119" s="6" t="str">
        <f t="array" ref="G1119">IFERROR(INDEX(Flights!$E:$E,MATCH(B1119,Flights!$A:$A,0)),"")</f>
        <v>Chennai</v>
      </c>
      <c r="H1119" s="6" t="str">
        <f>VLOOKUP(B1119,Flights!A:H,6,FALSE())</f>
        <v>Kolkata</v>
      </c>
      <c r="I1119" s="6" t="str">
        <f t="array" ref="I1119">IFERROR(INDEX(Bookings!$G:$G,MATCH(B1119,Bookings!$B:$B,0)),"")</f>
        <v>1</v>
      </c>
      <c r="J1119" s="5">
        <f>VLOOKUP(B1119,Bookings!B:H,7,FALSE())</f>
        <v>25.08</v>
      </c>
      <c r="K1119" s="5" t="str">
        <f t="shared" si="1"/>
        <v>Long</v>
      </c>
      <c r="L1119" s="11">
        <f t="array" ref="L1119">IFERROR(INDEX(Bookings!$K:$K,MATCH(A1119,Bookings!$A:$A,0)),"")</f>
        <v>9680</v>
      </c>
      <c r="M1119" s="5" t="str">
        <f t="shared" si="2"/>
        <v>Medium</v>
      </c>
      <c r="N1119" s="5">
        <f t="array" ref="N1119">IFERROR(INDEX(Bookings!$I:$I,MATCH(A1119,Bookings!$A:$A,0)),"")</f>
        <v>45</v>
      </c>
      <c r="O1119" s="5" t="str">
        <f t="shared" si="3"/>
        <v>Advance</v>
      </c>
      <c r="P1119" s="5" t="str">
        <f t="shared" si="4"/>
        <v>Chennai -&gt; Kolkata</v>
      </c>
    </row>
    <row r="1120" ht="15.75" customHeight="1">
      <c r="A1120" s="5" t="s">
        <v>2998</v>
      </c>
      <c r="B1120" s="5" t="s">
        <v>2596</v>
      </c>
      <c r="C1120" s="5" t="s">
        <v>771</v>
      </c>
      <c r="D1120" s="5" t="s">
        <v>45</v>
      </c>
      <c r="E1120" s="6" t="str">
        <f t="array" ref="E1120">IFERROR(INDEX(Airlines!$B:$B,MATCH(D1120,Airlines!$A:$A,0)),"")</f>
        <v>Air_India</v>
      </c>
      <c r="F1120" s="6" t="str">
        <f>VLOOKUP(A1120,Bookings!$A:$F,6,FALSE())</f>
        <v>Business</v>
      </c>
      <c r="G1120" s="6" t="str">
        <f t="array" ref="G1120">IFERROR(INDEX(Flights!$E:$E,MATCH(B1120,Flights!$A:$A,0)),"")</f>
        <v>Chennai</v>
      </c>
      <c r="H1120" s="6" t="str">
        <f>VLOOKUP(B1120,Flights!A:H,6,FALSE())</f>
        <v>Kolkata</v>
      </c>
      <c r="I1120" s="6" t="str">
        <f t="array" ref="I1120">IFERROR(INDEX(Bookings!$G:$G,MATCH(B1120,Bookings!$B:$B,0)),"")</f>
        <v>1</v>
      </c>
      <c r="J1120" s="5">
        <f>VLOOKUP(B1120,Bookings!B:H,7,FALSE())</f>
        <v>20.83</v>
      </c>
      <c r="K1120" s="5" t="str">
        <f t="shared" si="1"/>
        <v>Long</v>
      </c>
      <c r="L1120" s="11">
        <f t="array" ref="L1120">IFERROR(INDEX(Bookings!$K:$K,MATCH(A1120,Bookings!$A:$A,0)),"")</f>
        <v>34432</v>
      </c>
      <c r="M1120" s="5" t="str">
        <f t="shared" si="2"/>
        <v>High</v>
      </c>
      <c r="N1120" s="5">
        <f t="array" ref="N1120">IFERROR(INDEX(Bookings!$I:$I,MATCH(A1120,Bookings!$A:$A,0)),"")</f>
        <v>46</v>
      </c>
      <c r="O1120" s="5" t="str">
        <f t="shared" si="3"/>
        <v>Advance</v>
      </c>
      <c r="P1120" s="5" t="str">
        <f t="shared" si="4"/>
        <v>Chennai -&gt; Kolkata</v>
      </c>
    </row>
    <row r="1121" ht="15.75" customHeight="1">
      <c r="A1121" s="5" t="s">
        <v>2999</v>
      </c>
      <c r="B1121" s="5" t="s">
        <v>2542</v>
      </c>
      <c r="C1121" s="5" t="s">
        <v>771</v>
      </c>
      <c r="D1121" s="5" t="s">
        <v>45</v>
      </c>
      <c r="E1121" s="6" t="str">
        <f t="array" ref="E1121">IFERROR(INDEX(Airlines!$B:$B,MATCH(D1121,Airlines!$A:$A,0)),"")</f>
        <v>Air_India</v>
      </c>
      <c r="F1121" s="6" t="str">
        <f>VLOOKUP(A1121,Bookings!$A:$F,6,FALSE())</f>
        <v>Economy</v>
      </c>
      <c r="G1121" s="6" t="str">
        <f t="array" ref="G1121">IFERROR(INDEX(Flights!$E:$E,MATCH(B1121,Flights!$A:$A,0)),"")</f>
        <v>Chennai</v>
      </c>
      <c r="H1121" s="6" t="str">
        <f>VLOOKUP(B1121,Flights!A:H,6,FALSE())</f>
        <v>Kolkata</v>
      </c>
      <c r="I1121" s="6" t="str">
        <f t="array" ref="I1121">IFERROR(INDEX(Bookings!$G:$G,MATCH(B1121,Bookings!$B:$B,0)),"")</f>
        <v>2+</v>
      </c>
      <c r="J1121" s="5">
        <f>VLOOKUP(B1121,Bookings!B:H,7,FALSE())</f>
        <v>18.5</v>
      </c>
      <c r="K1121" s="5" t="str">
        <f t="shared" si="1"/>
        <v>Long</v>
      </c>
      <c r="L1121" s="11">
        <f t="array" ref="L1121">IFERROR(INDEX(Bookings!$K:$K,MATCH(A1121,Bookings!$A:$A,0)),"")</f>
        <v>6041</v>
      </c>
      <c r="M1121" s="5" t="str">
        <f t="shared" si="2"/>
        <v>Medium</v>
      </c>
      <c r="N1121" s="5">
        <f t="array" ref="N1121">IFERROR(INDEX(Bookings!$I:$I,MATCH(A1121,Bookings!$A:$A,0)),"")</f>
        <v>47</v>
      </c>
      <c r="O1121" s="5" t="str">
        <f t="shared" si="3"/>
        <v>Advance</v>
      </c>
      <c r="P1121" s="5" t="str">
        <f t="shared" si="4"/>
        <v>Chennai -&gt; Kolkata</v>
      </c>
    </row>
    <row r="1122" ht="15.75" customHeight="1">
      <c r="A1122" s="5" t="s">
        <v>3000</v>
      </c>
      <c r="B1122" s="5" t="s">
        <v>2703</v>
      </c>
      <c r="C1122" s="5" t="s">
        <v>797</v>
      </c>
      <c r="D1122" s="5" t="s">
        <v>72</v>
      </c>
      <c r="E1122" s="6" t="str">
        <f t="array" ref="E1122">IFERROR(INDEX(Airlines!$B:$B,MATCH(D1122,Airlines!$A:$A,0)),"")</f>
        <v>Spicejet</v>
      </c>
      <c r="F1122" s="6" t="str">
        <f>VLOOKUP(A1122,Bookings!$A:$F,6,FALSE())</f>
        <v>Economy</v>
      </c>
      <c r="G1122" s="6" t="str">
        <f t="array" ref="G1122">IFERROR(INDEX(Flights!$E:$E,MATCH(B1122,Flights!$A:$A,0)),"")</f>
        <v>Chennai</v>
      </c>
      <c r="H1122" s="6" t="str">
        <f>VLOOKUP(B1122,Flights!A:H,6,FALSE())</f>
        <v>Hyderabad</v>
      </c>
      <c r="I1122" s="6" t="str">
        <f t="array" ref="I1122">IFERROR(INDEX(Bookings!$G:$G,MATCH(B1122,Bookings!$B:$B,0)),"")</f>
        <v>0</v>
      </c>
      <c r="J1122" s="5">
        <f>VLOOKUP(B1122,Bookings!B:H,7,FALSE())</f>
        <v>1.25</v>
      </c>
      <c r="K1122" s="5" t="str">
        <f t="shared" si="1"/>
        <v>Short</v>
      </c>
      <c r="L1122" s="11">
        <f t="array" ref="L1122">IFERROR(INDEX(Bookings!$K:$K,MATCH(A1122,Bookings!$A:$A,0)),"")</f>
        <v>1996</v>
      </c>
      <c r="M1122" s="5" t="str">
        <f t="shared" si="2"/>
        <v>Low</v>
      </c>
      <c r="N1122" s="5">
        <f t="array" ref="N1122">IFERROR(INDEX(Bookings!$I:$I,MATCH(A1122,Bookings!$A:$A,0)),"")</f>
        <v>16</v>
      </c>
      <c r="O1122" s="5" t="str">
        <f t="shared" si="3"/>
        <v>Moderate</v>
      </c>
      <c r="P1122" s="5" t="str">
        <f t="shared" si="4"/>
        <v>Chennai -&gt; Hyderabad</v>
      </c>
    </row>
    <row r="1123" ht="15.75" customHeight="1">
      <c r="A1123" s="5" t="s">
        <v>3002</v>
      </c>
      <c r="B1123" s="5" t="s">
        <v>2721</v>
      </c>
      <c r="C1123" s="5" t="s">
        <v>797</v>
      </c>
      <c r="D1123" s="5" t="s">
        <v>43</v>
      </c>
      <c r="E1123" s="6" t="str">
        <f t="array" ref="E1123">IFERROR(INDEX(Airlines!$B:$B,MATCH(D1123,Airlines!$A:$A,0)),"")</f>
        <v>Indigo</v>
      </c>
      <c r="F1123" s="6" t="str">
        <f>VLOOKUP(A1123,Bookings!$A:$F,6,FALSE())</f>
        <v>Economy</v>
      </c>
      <c r="G1123" s="6" t="str">
        <f t="array" ref="G1123">IFERROR(INDEX(Flights!$E:$E,MATCH(B1123,Flights!$A:$A,0)),"")</f>
        <v>Chennai</v>
      </c>
      <c r="H1123" s="6" t="str">
        <f>VLOOKUP(B1123,Flights!A:H,6,FALSE())</f>
        <v>Hyderabad</v>
      </c>
      <c r="I1123" s="6" t="str">
        <f t="array" ref="I1123">IFERROR(INDEX(Bookings!$G:$G,MATCH(B1123,Bookings!$B:$B,0)),"")</f>
        <v>0</v>
      </c>
      <c r="J1123" s="5">
        <f>VLOOKUP(B1123,Bookings!B:H,7,FALSE())</f>
        <v>1.17</v>
      </c>
      <c r="K1123" s="5" t="str">
        <f t="shared" si="1"/>
        <v>Short</v>
      </c>
      <c r="L1123" s="11">
        <f t="array" ref="L1123">IFERROR(INDEX(Bookings!$K:$K,MATCH(A1123,Bookings!$A:$A,0)),"")</f>
        <v>3344</v>
      </c>
      <c r="M1123" s="5" t="str">
        <f t="shared" si="2"/>
        <v>Low</v>
      </c>
      <c r="N1123" s="5">
        <f t="array" ref="N1123">IFERROR(INDEX(Bookings!$I:$I,MATCH(A1123,Bookings!$A:$A,0)),"")</f>
        <v>28</v>
      </c>
      <c r="O1123" s="5" t="str">
        <f t="shared" si="3"/>
        <v>Moderate</v>
      </c>
      <c r="P1123" s="5" t="str">
        <f t="shared" si="4"/>
        <v>Chennai -&gt; Hyderabad</v>
      </c>
    </row>
    <row r="1124" ht="15.75" customHeight="1">
      <c r="A1124" s="5" t="s">
        <v>3004</v>
      </c>
      <c r="B1124" s="5" t="s">
        <v>2764</v>
      </c>
      <c r="C1124" s="5" t="s">
        <v>797</v>
      </c>
      <c r="D1124" s="5" t="s">
        <v>45</v>
      </c>
      <c r="E1124" s="6" t="str">
        <f t="array" ref="E1124">IFERROR(INDEX(Airlines!$B:$B,MATCH(D1124,Airlines!$A:$A,0)),"")</f>
        <v>Air_India</v>
      </c>
      <c r="F1124" s="6" t="str">
        <f>VLOOKUP(A1124,Bookings!$A:$F,6,FALSE())</f>
        <v>Economy</v>
      </c>
      <c r="G1124" s="6" t="str">
        <f t="array" ref="G1124">IFERROR(INDEX(Flights!$E:$E,MATCH(B1124,Flights!$A:$A,0)),"")</f>
        <v>Chennai</v>
      </c>
      <c r="H1124" s="6" t="str">
        <f>VLOOKUP(B1124,Flights!A:H,6,FALSE())</f>
        <v>Hyderabad</v>
      </c>
      <c r="I1124" s="6" t="str">
        <f t="array" ref="I1124">IFERROR(INDEX(Bookings!$G:$G,MATCH(B1124,Bookings!$B:$B,0)),"")</f>
        <v>0</v>
      </c>
      <c r="J1124" s="5">
        <f>VLOOKUP(B1124,Bookings!B:H,7,FALSE())</f>
        <v>1.42</v>
      </c>
      <c r="K1124" s="5" t="str">
        <f t="shared" si="1"/>
        <v>Short</v>
      </c>
      <c r="L1124" s="11">
        <f t="array" ref="L1124">IFERROR(INDEX(Bookings!$K:$K,MATCH(A1124,Bookings!$A:$A,0)),"")</f>
        <v>1526</v>
      </c>
      <c r="M1124" s="5" t="str">
        <f t="shared" si="2"/>
        <v>Low</v>
      </c>
      <c r="N1124" s="5">
        <f t="array" ref="N1124">IFERROR(INDEX(Bookings!$I:$I,MATCH(A1124,Bookings!$A:$A,0)),"")</f>
        <v>44</v>
      </c>
      <c r="O1124" s="5" t="str">
        <f t="shared" si="3"/>
        <v>Advance</v>
      </c>
      <c r="P1124" s="5" t="str">
        <f t="shared" si="4"/>
        <v>Chennai -&gt; Hyderabad</v>
      </c>
    </row>
    <row r="1125" ht="15.75" customHeight="1">
      <c r="A1125" s="5" t="s">
        <v>3007</v>
      </c>
      <c r="B1125" s="5" t="s">
        <v>2741</v>
      </c>
      <c r="C1125" s="5" t="s">
        <v>797</v>
      </c>
      <c r="D1125" s="5" t="s">
        <v>43</v>
      </c>
      <c r="E1125" s="6" t="str">
        <f t="array" ref="E1125">IFERROR(INDEX(Airlines!$B:$B,MATCH(D1125,Airlines!$A:$A,0)),"")</f>
        <v>Indigo</v>
      </c>
      <c r="F1125" s="6" t="str">
        <f>VLOOKUP(A1125,Bookings!$A:$F,6,FALSE())</f>
        <v>Economy</v>
      </c>
      <c r="G1125" s="6" t="str">
        <f t="array" ref="G1125">IFERROR(INDEX(Flights!$E:$E,MATCH(B1125,Flights!$A:$A,0)),"")</f>
        <v>Chennai</v>
      </c>
      <c r="H1125" s="6" t="str">
        <f>VLOOKUP(B1125,Flights!A:H,6,FALSE())</f>
        <v>Hyderabad</v>
      </c>
      <c r="I1125" s="6" t="str">
        <f t="array" ref="I1125">IFERROR(INDEX(Bookings!$G:$G,MATCH(B1125,Bookings!$B:$B,0)),"")</f>
        <v>0</v>
      </c>
      <c r="J1125" s="5">
        <f>VLOOKUP(B1125,Bookings!B:H,7,FALSE())</f>
        <v>1.17</v>
      </c>
      <c r="K1125" s="5" t="str">
        <f t="shared" si="1"/>
        <v>Short</v>
      </c>
      <c r="L1125" s="11">
        <f t="array" ref="L1125">IFERROR(INDEX(Bookings!$K:$K,MATCH(A1125,Bookings!$A:$A,0)),"")</f>
        <v>1800</v>
      </c>
      <c r="M1125" s="5" t="str">
        <f t="shared" si="2"/>
        <v>Low</v>
      </c>
      <c r="N1125" s="5">
        <f t="array" ref="N1125">IFERROR(INDEX(Bookings!$I:$I,MATCH(A1125,Bookings!$A:$A,0)),"")</f>
        <v>43</v>
      </c>
      <c r="O1125" s="5" t="str">
        <f t="shared" si="3"/>
        <v>Advance</v>
      </c>
      <c r="P1125" s="5" t="str">
        <f t="shared" si="4"/>
        <v>Chennai -&gt; Hyderabad</v>
      </c>
    </row>
    <row r="1126" ht="15.75" customHeight="1">
      <c r="A1126" s="5" t="s">
        <v>3008</v>
      </c>
      <c r="B1126" s="5" t="s">
        <v>2778</v>
      </c>
      <c r="C1126" s="5" t="s">
        <v>797</v>
      </c>
      <c r="D1126" s="5" t="s">
        <v>43</v>
      </c>
      <c r="E1126" s="6" t="str">
        <f t="array" ref="E1126">IFERROR(INDEX(Airlines!$B:$B,MATCH(D1126,Airlines!$A:$A,0)),"")</f>
        <v>Indigo</v>
      </c>
      <c r="F1126" s="6" t="str">
        <f>VLOOKUP(A1126,Bookings!$A:$F,6,FALSE())</f>
        <v>Economy</v>
      </c>
      <c r="G1126" s="6" t="str">
        <f t="array" ref="G1126">IFERROR(INDEX(Flights!$E:$E,MATCH(B1126,Flights!$A:$A,0)),"")</f>
        <v>Chennai</v>
      </c>
      <c r="H1126" s="6" t="str">
        <f>VLOOKUP(B1126,Flights!A:H,6,FALSE())</f>
        <v>Hyderabad</v>
      </c>
      <c r="I1126" s="6" t="str">
        <f t="array" ref="I1126">IFERROR(INDEX(Bookings!$G:$G,MATCH(B1126,Bookings!$B:$B,0)),"")</f>
        <v>1</v>
      </c>
      <c r="J1126" s="5">
        <f>VLOOKUP(B1126,Bookings!B:H,7,FALSE())</f>
        <v>7.92</v>
      </c>
      <c r="K1126" s="5" t="str">
        <f t="shared" si="1"/>
        <v>Medium</v>
      </c>
      <c r="L1126" s="11">
        <f t="array" ref="L1126">IFERROR(INDEX(Bookings!$K:$K,MATCH(A1126,Bookings!$A:$A,0)),"")</f>
        <v>2827</v>
      </c>
      <c r="M1126" s="5" t="str">
        <f t="shared" si="2"/>
        <v>Low</v>
      </c>
      <c r="N1126" s="5">
        <f t="array" ref="N1126">IFERROR(INDEX(Bookings!$I:$I,MATCH(A1126,Bookings!$A:$A,0)),"")</f>
        <v>43</v>
      </c>
      <c r="O1126" s="5" t="str">
        <f t="shared" si="3"/>
        <v>Advance</v>
      </c>
      <c r="P1126" s="5" t="str">
        <f t="shared" si="4"/>
        <v>Chennai -&gt; Hyderabad</v>
      </c>
    </row>
    <row r="1127" ht="15.75" customHeight="1">
      <c r="A1127" s="5" t="s">
        <v>3010</v>
      </c>
      <c r="B1127" s="5" t="s">
        <v>2750</v>
      </c>
      <c r="C1127" s="5" t="s">
        <v>797</v>
      </c>
      <c r="D1127" s="5" t="s">
        <v>43</v>
      </c>
      <c r="E1127" s="6" t="str">
        <f t="array" ref="E1127">IFERROR(INDEX(Airlines!$B:$B,MATCH(D1127,Airlines!$A:$A,0)),"")</f>
        <v>Indigo</v>
      </c>
      <c r="F1127" s="6" t="str">
        <f>VLOOKUP(A1127,Bookings!$A:$F,6,FALSE())</f>
        <v>Economy</v>
      </c>
      <c r="G1127" s="6" t="str">
        <f t="array" ref="G1127">IFERROR(INDEX(Flights!$E:$E,MATCH(B1127,Flights!$A:$A,0)),"")</f>
        <v>Chennai</v>
      </c>
      <c r="H1127" s="6" t="str">
        <f>VLOOKUP(B1127,Flights!A:H,6,FALSE())</f>
        <v>Hyderabad</v>
      </c>
      <c r="I1127" s="6" t="str">
        <f t="array" ref="I1127">IFERROR(INDEX(Bookings!$G:$G,MATCH(B1127,Bookings!$B:$B,0)),"")</f>
        <v>2+</v>
      </c>
      <c r="J1127" s="5">
        <f>VLOOKUP(B1127,Bookings!B:H,7,FALSE())</f>
        <v>10.67</v>
      </c>
      <c r="K1127" s="5" t="str">
        <f t="shared" si="1"/>
        <v>Long</v>
      </c>
      <c r="L1127" s="11">
        <f t="array" ref="L1127">IFERROR(INDEX(Bookings!$K:$K,MATCH(A1127,Bookings!$A:$A,0)),"")</f>
        <v>10056</v>
      </c>
      <c r="M1127" s="5" t="str">
        <f t="shared" si="2"/>
        <v>Medium</v>
      </c>
      <c r="N1127" s="5">
        <f t="array" ref="N1127">IFERROR(INDEX(Bookings!$I:$I,MATCH(A1127,Bookings!$A:$A,0)),"")</f>
        <v>19</v>
      </c>
      <c r="O1127" s="5" t="str">
        <f t="shared" si="3"/>
        <v>Moderate</v>
      </c>
      <c r="P1127" s="5" t="str">
        <f t="shared" si="4"/>
        <v>Chennai -&gt; Hyderabad</v>
      </c>
    </row>
    <row r="1128" ht="15.75" customHeight="1">
      <c r="A1128" s="5" t="s">
        <v>3011</v>
      </c>
      <c r="B1128" s="5" t="s">
        <v>2701</v>
      </c>
      <c r="C1128" s="5" t="s">
        <v>797</v>
      </c>
      <c r="D1128" s="5" t="s">
        <v>45</v>
      </c>
      <c r="E1128" s="6" t="str">
        <f t="array" ref="E1128">IFERROR(INDEX(Airlines!$B:$B,MATCH(D1128,Airlines!$A:$A,0)),"")</f>
        <v>Air_India</v>
      </c>
      <c r="F1128" s="6" t="str">
        <f>VLOOKUP(A1128,Bookings!$A:$F,6,FALSE())</f>
        <v>Economy</v>
      </c>
      <c r="G1128" s="6" t="str">
        <f t="array" ref="G1128">IFERROR(INDEX(Flights!$E:$E,MATCH(B1128,Flights!$A:$A,0)),"")</f>
        <v>Chennai</v>
      </c>
      <c r="H1128" s="6" t="str">
        <f>VLOOKUP(B1128,Flights!A:H,6,FALSE())</f>
        <v>Hyderabad</v>
      </c>
      <c r="I1128" s="6" t="str">
        <f t="array" ref="I1128">IFERROR(INDEX(Bookings!$G:$G,MATCH(B1128,Bookings!$B:$B,0)),"")</f>
        <v>2+</v>
      </c>
      <c r="J1128" s="5">
        <f>VLOOKUP(B1128,Bookings!B:H,7,FALSE())</f>
        <v>25.25</v>
      </c>
      <c r="K1128" s="5" t="str">
        <f t="shared" si="1"/>
        <v>Long</v>
      </c>
      <c r="L1128" s="11">
        <f t="array" ref="L1128">IFERROR(INDEX(Bookings!$K:$K,MATCH(A1128,Bookings!$A:$A,0)),"")</f>
        <v>16607</v>
      </c>
      <c r="M1128" s="5" t="str">
        <f t="shared" si="2"/>
        <v>High</v>
      </c>
      <c r="N1128" s="5">
        <f t="array" ref="N1128">IFERROR(INDEX(Bookings!$I:$I,MATCH(A1128,Bookings!$A:$A,0)),"")</f>
        <v>2</v>
      </c>
      <c r="O1128" s="5" t="str">
        <f t="shared" si="3"/>
        <v>Last Minute</v>
      </c>
      <c r="P1128" s="5" t="str">
        <f t="shared" si="4"/>
        <v>Chennai -&gt; Hyderabad</v>
      </c>
    </row>
    <row r="1129" ht="15.75" customHeight="1">
      <c r="A1129" s="5" t="s">
        <v>3012</v>
      </c>
      <c r="B1129" s="5" t="s">
        <v>2775</v>
      </c>
      <c r="C1129" s="5" t="s">
        <v>797</v>
      </c>
      <c r="D1129" s="5" t="s">
        <v>20</v>
      </c>
      <c r="E1129" s="6" t="str">
        <f t="array" ref="E1129">IFERROR(INDEX(Airlines!$B:$B,MATCH(D1129,Airlines!$A:$A,0)),"")</f>
        <v>Vistara</v>
      </c>
      <c r="F1129" s="6" t="str">
        <f>VLOOKUP(A1129,Bookings!$A:$F,6,FALSE())</f>
        <v>Economy</v>
      </c>
      <c r="G1129" s="6" t="str">
        <f t="array" ref="G1129">IFERROR(INDEX(Flights!$E:$E,MATCH(B1129,Flights!$A:$A,0)),"")</f>
        <v>Chennai</v>
      </c>
      <c r="H1129" s="6" t="str">
        <f>VLOOKUP(B1129,Flights!A:H,6,FALSE())</f>
        <v>Hyderabad</v>
      </c>
      <c r="I1129" s="6" t="str">
        <f t="array" ref="I1129">IFERROR(INDEX(Bookings!$G:$G,MATCH(B1129,Bookings!$B:$B,0)),"")</f>
        <v>1</v>
      </c>
      <c r="J1129" s="5">
        <f>VLOOKUP(B1129,Bookings!B:H,7,FALSE())</f>
        <v>22.83</v>
      </c>
      <c r="K1129" s="5" t="str">
        <f t="shared" si="1"/>
        <v>Long</v>
      </c>
      <c r="L1129" s="11">
        <f t="array" ref="L1129">IFERROR(INDEX(Bookings!$K:$K,MATCH(A1129,Bookings!$A:$A,0)),"")</f>
        <v>11783</v>
      </c>
      <c r="M1129" s="5" t="str">
        <f t="shared" si="2"/>
        <v>Medium</v>
      </c>
      <c r="N1129" s="5">
        <f t="array" ref="N1129">IFERROR(INDEX(Bookings!$I:$I,MATCH(A1129,Bookings!$A:$A,0)),"")</f>
        <v>6</v>
      </c>
      <c r="O1129" s="5" t="str">
        <f t="shared" si="3"/>
        <v>Last Minute</v>
      </c>
      <c r="P1129" s="5" t="str">
        <f t="shared" si="4"/>
        <v>Chennai -&gt; Hyderabad</v>
      </c>
    </row>
    <row r="1130" ht="15.75" customHeight="1">
      <c r="A1130" s="5" t="s">
        <v>3014</v>
      </c>
      <c r="B1130" s="5" t="s">
        <v>2756</v>
      </c>
      <c r="C1130" s="5" t="s">
        <v>797</v>
      </c>
      <c r="D1130" s="5" t="s">
        <v>45</v>
      </c>
      <c r="E1130" s="6" t="str">
        <f t="array" ref="E1130">IFERROR(INDEX(Airlines!$B:$B,MATCH(D1130,Airlines!$A:$A,0)),"")</f>
        <v>Air_India</v>
      </c>
      <c r="F1130" s="6" t="str">
        <f>VLOOKUP(A1130,Bookings!$A:$F,6,FALSE())</f>
        <v>Economy</v>
      </c>
      <c r="G1130" s="6" t="str">
        <f t="array" ref="G1130">IFERROR(INDEX(Flights!$E:$E,MATCH(B1130,Flights!$A:$A,0)),"")</f>
        <v>Chennai</v>
      </c>
      <c r="H1130" s="6" t="str">
        <f>VLOOKUP(B1130,Flights!A:H,6,FALSE())</f>
        <v>Hyderabad</v>
      </c>
      <c r="I1130" s="6" t="str">
        <f t="array" ref="I1130">IFERROR(INDEX(Bookings!$G:$G,MATCH(B1130,Bookings!$B:$B,0)),"")</f>
        <v>2+</v>
      </c>
      <c r="J1130" s="5">
        <f>VLOOKUP(B1130,Bookings!B:H,7,FALSE())</f>
        <v>27.25</v>
      </c>
      <c r="K1130" s="5" t="str">
        <f t="shared" si="1"/>
        <v>Long</v>
      </c>
      <c r="L1130" s="11">
        <f t="array" ref="L1130">IFERROR(INDEX(Bookings!$K:$K,MATCH(A1130,Bookings!$A:$A,0)),"")</f>
        <v>17013</v>
      </c>
      <c r="M1130" s="5" t="str">
        <f t="shared" si="2"/>
        <v>High</v>
      </c>
      <c r="N1130" s="5">
        <f t="array" ref="N1130">IFERROR(INDEX(Bookings!$I:$I,MATCH(A1130,Bookings!$A:$A,0)),"")</f>
        <v>2</v>
      </c>
      <c r="O1130" s="5" t="str">
        <f t="shared" si="3"/>
        <v>Last Minute</v>
      </c>
      <c r="P1130" s="5" t="str">
        <f t="shared" si="4"/>
        <v>Chennai -&gt; Hyderabad</v>
      </c>
    </row>
    <row r="1131" ht="15.75" customHeight="1">
      <c r="A1131" s="5" t="s">
        <v>3015</v>
      </c>
      <c r="B1131" s="5" t="s">
        <v>2724</v>
      </c>
      <c r="C1131" s="5" t="s">
        <v>797</v>
      </c>
      <c r="D1131" s="5" t="s">
        <v>20</v>
      </c>
      <c r="E1131" s="6" t="str">
        <f t="array" ref="E1131">IFERROR(INDEX(Airlines!$B:$B,MATCH(D1131,Airlines!$A:$A,0)),"")</f>
        <v>Vistara</v>
      </c>
      <c r="F1131" s="6" t="str">
        <f>VLOOKUP(A1131,Bookings!$A:$F,6,FALSE())</f>
        <v>Business</v>
      </c>
      <c r="G1131" s="6" t="str">
        <f t="array" ref="G1131">IFERROR(INDEX(Flights!$E:$E,MATCH(B1131,Flights!$A:$A,0)),"")</f>
        <v>Chennai</v>
      </c>
      <c r="H1131" s="6" t="str">
        <f>VLOOKUP(B1131,Flights!A:H,6,FALSE())</f>
        <v>Hyderabad</v>
      </c>
      <c r="I1131" s="6" t="str">
        <f t="array" ref="I1131">IFERROR(INDEX(Bookings!$G:$G,MATCH(B1131,Bookings!$B:$B,0)),"")</f>
        <v>1</v>
      </c>
      <c r="J1131" s="5">
        <f>VLOOKUP(B1131,Bookings!B:H,7,FALSE())</f>
        <v>10.08</v>
      </c>
      <c r="K1131" s="5" t="str">
        <f t="shared" si="1"/>
        <v>Long</v>
      </c>
      <c r="L1131" s="11">
        <f t="array" ref="L1131">IFERROR(INDEX(Bookings!$K:$K,MATCH(A1131,Bookings!$A:$A,0)),"")</f>
        <v>51457</v>
      </c>
      <c r="M1131" s="5" t="str">
        <f t="shared" si="2"/>
        <v>High</v>
      </c>
      <c r="N1131" s="5">
        <f t="array" ref="N1131">IFERROR(INDEX(Bookings!$I:$I,MATCH(A1131,Bookings!$A:$A,0)),"")</f>
        <v>34</v>
      </c>
      <c r="O1131" s="5" t="str">
        <f t="shared" si="3"/>
        <v>Advance</v>
      </c>
      <c r="P1131" s="5" t="str">
        <f t="shared" si="4"/>
        <v>Chennai -&gt; Hyderabad</v>
      </c>
    </row>
    <row r="1132" ht="15.75" customHeight="1">
      <c r="A1132" s="5" t="s">
        <v>3016</v>
      </c>
      <c r="B1132" s="5" t="s">
        <v>2784</v>
      </c>
      <c r="C1132" s="5" t="s">
        <v>797</v>
      </c>
      <c r="D1132" s="5" t="s">
        <v>43</v>
      </c>
      <c r="E1132" s="6" t="str">
        <f t="array" ref="E1132">IFERROR(INDEX(Airlines!$B:$B,MATCH(D1132,Airlines!$A:$A,0)),"")</f>
        <v>Indigo</v>
      </c>
      <c r="F1132" s="6" t="str">
        <f>VLOOKUP(A1132,Bookings!$A:$F,6,FALSE())</f>
        <v>Economy</v>
      </c>
      <c r="G1132" s="6" t="str">
        <f t="array" ref="G1132">IFERROR(INDEX(Flights!$E:$E,MATCH(B1132,Flights!$A:$A,0)),"")</f>
        <v>Chennai</v>
      </c>
      <c r="H1132" s="6" t="str">
        <f>VLOOKUP(B1132,Flights!A:H,6,FALSE())</f>
        <v>Hyderabad</v>
      </c>
      <c r="I1132" s="6" t="str">
        <f t="array" ref="I1132">IFERROR(INDEX(Bookings!$G:$G,MATCH(B1132,Bookings!$B:$B,0)),"")</f>
        <v>1</v>
      </c>
      <c r="J1132" s="5">
        <f>VLOOKUP(B1132,Bookings!B:H,7,FALSE())</f>
        <v>4.75</v>
      </c>
      <c r="K1132" s="5" t="str">
        <f t="shared" si="1"/>
        <v>Medium</v>
      </c>
      <c r="L1132" s="11">
        <f t="array" ref="L1132">IFERROR(INDEX(Bookings!$K:$K,MATCH(A1132,Bookings!$A:$A,0)),"")</f>
        <v>2862</v>
      </c>
      <c r="M1132" s="5" t="str">
        <f t="shared" si="2"/>
        <v>Low</v>
      </c>
      <c r="N1132" s="5">
        <f t="array" ref="N1132">IFERROR(INDEX(Bookings!$I:$I,MATCH(A1132,Bookings!$A:$A,0)),"")</f>
        <v>22</v>
      </c>
      <c r="O1132" s="5" t="str">
        <f t="shared" si="3"/>
        <v>Moderate</v>
      </c>
      <c r="P1132" s="5" t="str">
        <f t="shared" si="4"/>
        <v>Chennai -&gt; Hyderabad</v>
      </c>
    </row>
    <row r="1133" ht="15.75" customHeight="1">
      <c r="A1133" s="5" t="s">
        <v>3018</v>
      </c>
      <c r="B1133" s="5" t="s">
        <v>2780</v>
      </c>
      <c r="C1133" s="5" t="s">
        <v>797</v>
      </c>
      <c r="D1133" s="5" t="s">
        <v>45</v>
      </c>
      <c r="E1133" s="6" t="str">
        <f t="array" ref="E1133">IFERROR(INDEX(Airlines!$B:$B,MATCH(D1133,Airlines!$A:$A,0)),"")</f>
        <v>Air_India</v>
      </c>
      <c r="F1133" s="6" t="str">
        <f>VLOOKUP(A1133,Bookings!$A:$F,6,FALSE())</f>
        <v>Economy</v>
      </c>
      <c r="G1133" s="6" t="str">
        <f t="array" ref="G1133">IFERROR(INDEX(Flights!$E:$E,MATCH(B1133,Flights!$A:$A,0)),"")</f>
        <v>Chennai</v>
      </c>
      <c r="H1133" s="6" t="str">
        <f>VLOOKUP(B1133,Flights!A:H,6,FALSE())</f>
        <v>Hyderabad</v>
      </c>
      <c r="I1133" s="6" t="str">
        <f t="array" ref="I1133">IFERROR(INDEX(Bookings!$G:$G,MATCH(B1133,Bookings!$B:$B,0)),"")</f>
        <v>1</v>
      </c>
      <c r="J1133" s="5">
        <f>VLOOKUP(B1133,Bookings!B:H,7,FALSE())</f>
        <v>23</v>
      </c>
      <c r="K1133" s="5" t="str">
        <f t="shared" si="1"/>
        <v>Long</v>
      </c>
      <c r="L1133" s="11">
        <f t="array" ref="L1133">IFERROR(INDEX(Bookings!$K:$K,MATCH(A1133,Bookings!$A:$A,0)),"")</f>
        <v>21948</v>
      </c>
      <c r="M1133" s="5" t="str">
        <f t="shared" si="2"/>
        <v>High</v>
      </c>
      <c r="N1133" s="5">
        <f t="array" ref="N1133">IFERROR(INDEX(Bookings!$I:$I,MATCH(A1133,Bookings!$A:$A,0)),"")</f>
        <v>10</v>
      </c>
      <c r="O1133" s="5" t="str">
        <f t="shared" si="3"/>
        <v>Short Notice</v>
      </c>
      <c r="P1133" s="5" t="str">
        <f t="shared" si="4"/>
        <v>Chennai -&gt; Hyderabad</v>
      </c>
    </row>
    <row r="1134" ht="15.75" customHeight="1">
      <c r="A1134" s="5" t="s">
        <v>3020</v>
      </c>
      <c r="B1134" s="5" t="s">
        <v>2785</v>
      </c>
      <c r="C1134" s="5" t="s">
        <v>797</v>
      </c>
      <c r="D1134" s="5" t="s">
        <v>20</v>
      </c>
      <c r="E1134" s="6" t="str">
        <f t="array" ref="E1134">IFERROR(INDEX(Airlines!$B:$B,MATCH(D1134,Airlines!$A:$A,0)),"")</f>
        <v>Vistara</v>
      </c>
      <c r="F1134" s="6" t="str">
        <f>VLOOKUP(A1134,Bookings!$A:$F,6,FALSE())</f>
        <v>Economy</v>
      </c>
      <c r="G1134" s="6" t="str">
        <f t="array" ref="G1134">IFERROR(INDEX(Flights!$E:$E,MATCH(B1134,Flights!$A:$A,0)),"")</f>
        <v>Chennai</v>
      </c>
      <c r="H1134" s="6" t="str">
        <f>VLOOKUP(B1134,Flights!A:H,6,FALSE())</f>
        <v>Hyderabad</v>
      </c>
      <c r="I1134" s="6" t="str">
        <f t="array" ref="I1134">IFERROR(INDEX(Bookings!$G:$G,MATCH(B1134,Bookings!$B:$B,0)),"")</f>
        <v>1</v>
      </c>
      <c r="J1134" s="5">
        <f>VLOOKUP(B1134,Bookings!B:H,7,FALSE())</f>
        <v>15.75</v>
      </c>
      <c r="K1134" s="5" t="str">
        <f t="shared" si="1"/>
        <v>Long</v>
      </c>
      <c r="L1134" s="11">
        <f t="array" ref="L1134">IFERROR(INDEX(Bookings!$K:$K,MATCH(A1134,Bookings!$A:$A,0)),"")</f>
        <v>10757</v>
      </c>
      <c r="M1134" s="5" t="str">
        <f t="shared" si="2"/>
        <v>Medium</v>
      </c>
      <c r="N1134" s="5" t="str">
        <f t="array" ref="N1134">IFERROR(INDEX(Bookings!$I:$I,MATCH(A1134,Bookings!$A:$A,0)),"")</f>
        <v/>
      </c>
      <c r="O1134" s="5" t="str">
        <f t="shared" si="3"/>
        <v>Last Minute</v>
      </c>
      <c r="P1134" s="5" t="str">
        <f t="shared" si="4"/>
        <v>Chennai -&gt; Hyderabad</v>
      </c>
    </row>
    <row r="1135" ht="15.75" customHeight="1">
      <c r="A1135" s="5" t="s">
        <v>3022</v>
      </c>
      <c r="B1135" s="5" t="s">
        <v>2719</v>
      </c>
      <c r="C1135" s="5" t="s">
        <v>797</v>
      </c>
      <c r="D1135" s="5" t="s">
        <v>20</v>
      </c>
      <c r="E1135" s="6" t="str">
        <f t="array" ref="E1135">IFERROR(INDEX(Airlines!$B:$B,MATCH(D1135,Airlines!$A:$A,0)),"")</f>
        <v>Vistara</v>
      </c>
      <c r="F1135" s="6" t="str">
        <f>VLOOKUP(A1135,Bookings!$A:$F,6,FALSE())</f>
        <v>Economy</v>
      </c>
      <c r="G1135" s="6" t="str">
        <f t="array" ref="G1135">IFERROR(INDEX(Flights!$E:$E,MATCH(B1135,Flights!$A:$A,0)),"")</f>
        <v>Chennai</v>
      </c>
      <c r="H1135" s="6" t="str">
        <f>VLOOKUP(B1135,Flights!A:H,6,FALSE())</f>
        <v>Hyderabad</v>
      </c>
      <c r="I1135" s="6" t="str">
        <f t="array" ref="I1135">IFERROR(INDEX(Bookings!$G:$G,MATCH(B1135,Bookings!$B:$B,0)),"")</f>
        <v>1</v>
      </c>
      <c r="J1135" s="5">
        <f>VLOOKUP(B1135,Bookings!B:H,7,FALSE())</f>
        <v>10.17</v>
      </c>
      <c r="K1135" s="5" t="str">
        <f t="shared" si="1"/>
        <v>Long</v>
      </c>
      <c r="L1135" s="11">
        <f t="array" ref="L1135">IFERROR(INDEX(Bookings!$K:$K,MATCH(A1135,Bookings!$A:$A,0)),"")</f>
        <v>14954</v>
      </c>
      <c r="M1135" s="5" t="str">
        <f t="shared" si="2"/>
        <v>Medium</v>
      </c>
      <c r="N1135" s="5">
        <f t="array" ref="N1135">IFERROR(INDEX(Bookings!$I:$I,MATCH(A1135,Bookings!$A:$A,0)),"")</f>
        <v>13</v>
      </c>
      <c r="O1135" s="5" t="str">
        <f t="shared" si="3"/>
        <v>Short Notice</v>
      </c>
      <c r="P1135" s="5" t="str">
        <f t="shared" si="4"/>
        <v>Chennai -&gt; Hyderabad</v>
      </c>
    </row>
    <row r="1136" ht="15.75" customHeight="1">
      <c r="A1136" s="5" t="s">
        <v>3023</v>
      </c>
      <c r="B1136" s="5" t="s">
        <v>2707</v>
      </c>
      <c r="C1136" s="5" t="s">
        <v>797</v>
      </c>
      <c r="D1136" s="5" t="s">
        <v>20</v>
      </c>
      <c r="E1136" s="6" t="str">
        <f t="array" ref="E1136">IFERROR(INDEX(Airlines!$B:$B,MATCH(D1136,Airlines!$A:$A,0)),"")</f>
        <v>Vistara</v>
      </c>
      <c r="F1136" s="6" t="str">
        <f>VLOOKUP(A1136,Bookings!$A:$F,6,FALSE())</f>
        <v>Business</v>
      </c>
      <c r="G1136" s="6" t="str">
        <f t="array" ref="G1136">IFERROR(INDEX(Flights!$E:$E,MATCH(B1136,Flights!$A:$A,0)),"")</f>
        <v>Chennai</v>
      </c>
      <c r="H1136" s="6" t="str">
        <f>VLOOKUP(B1136,Flights!A:H,6,FALSE())</f>
        <v>Hyderabad</v>
      </c>
      <c r="I1136" s="6" t="str">
        <f t="array" ref="I1136">IFERROR(INDEX(Bookings!$G:$G,MATCH(B1136,Bookings!$B:$B,0)),"")</f>
        <v>1</v>
      </c>
      <c r="J1136" s="5">
        <f>VLOOKUP(B1136,Bookings!B:H,7,FALSE())</f>
        <v>5.25</v>
      </c>
      <c r="K1136" s="5" t="str">
        <f t="shared" si="1"/>
        <v>Medium</v>
      </c>
      <c r="L1136" s="11">
        <f t="array" ref="L1136">IFERROR(INDEX(Bookings!$K:$K,MATCH(A1136,Bookings!$A:$A,0)),"")</f>
        <v>41064</v>
      </c>
      <c r="M1136" s="5" t="str">
        <f t="shared" si="2"/>
        <v>High</v>
      </c>
      <c r="N1136" s="5">
        <f t="array" ref="N1136">IFERROR(INDEX(Bookings!$I:$I,MATCH(A1136,Bookings!$A:$A,0)),"")</f>
        <v>28</v>
      </c>
      <c r="O1136" s="5" t="str">
        <f t="shared" si="3"/>
        <v>Moderate</v>
      </c>
      <c r="P1136" s="5" t="str">
        <f t="shared" si="4"/>
        <v>Chennai -&gt; Hyderabad</v>
      </c>
    </row>
    <row r="1137" ht="15.75" customHeight="1">
      <c r="A1137" s="5" t="s">
        <v>3025</v>
      </c>
      <c r="B1137" s="5" t="s">
        <v>2771</v>
      </c>
      <c r="C1137" s="5" t="s">
        <v>797</v>
      </c>
      <c r="D1137" s="5" t="s">
        <v>20</v>
      </c>
      <c r="E1137" s="6" t="str">
        <f t="array" ref="E1137">IFERROR(INDEX(Airlines!$B:$B,MATCH(D1137,Airlines!$A:$A,0)),"")</f>
        <v>Vistara</v>
      </c>
      <c r="F1137" s="6" t="str">
        <f>VLOOKUP(A1137,Bookings!$A:$F,6,FALSE())</f>
        <v>Economy</v>
      </c>
      <c r="G1137" s="6" t="str">
        <f t="array" ref="G1137">IFERROR(INDEX(Flights!$E:$E,MATCH(B1137,Flights!$A:$A,0)),"")</f>
        <v>Chennai</v>
      </c>
      <c r="H1137" s="6" t="str">
        <f>VLOOKUP(B1137,Flights!A:H,6,FALSE())</f>
        <v>Hyderabad</v>
      </c>
      <c r="I1137" s="6" t="str">
        <f t="array" ref="I1137">IFERROR(INDEX(Bookings!$G:$G,MATCH(B1137,Bookings!$B:$B,0)),"")</f>
        <v>1</v>
      </c>
      <c r="J1137" s="5">
        <f>VLOOKUP(B1137,Bookings!B:H,7,FALSE())</f>
        <v>20.58</v>
      </c>
      <c r="K1137" s="5" t="str">
        <f t="shared" si="1"/>
        <v>Long</v>
      </c>
      <c r="L1137" s="11">
        <f t="array" ref="L1137">IFERROR(INDEX(Bookings!$K:$K,MATCH(A1137,Bookings!$A:$A,0)),"")</f>
        <v>10365</v>
      </c>
      <c r="M1137" s="5" t="str">
        <f t="shared" si="2"/>
        <v>Medium</v>
      </c>
      <c r="N1137" s="5">
        <f t="array" ref="N1137">IFERROR(INDEX(Bookings!$I:$I,MATCH(A1137,Bookings!$A:$A,0)),"")</f>
        <v>15</v>
      </c>
      <c r="O1137" s="5" t="str">
        <f t="shared" si="3"/>
        <v>Short Notice</v>
      </c>
      <c r="P1137" s="5" t="str">
        <f t="shared" si="4"/>
        <v>Chennai -&gt; Hyderabad</v>
      </c>
    </row>
    <row r="1138" ht="15.75" customHeight="1">
      <c r="A1138" s="5" t="s">
        <v>3026</v>
      </c>
      <c r="B1138" s="5" t="s">
        <v>2712</v>
      </c>
      <c r="C1138" s="5" t="s">
        <v>797</v>
      </c>
      <c r="D1138" s="5" t="s">
        <v>43</v>
      </c>
      <c r="E1138" s="6" t="str">
        <f t="array" ref="E1138">IFERROR(INDEX(Airlines!$B:$B,MATCH(D1138,Airlines!$A:$A,0)),"")</f>
        <v>Indigo</v>
      </c>
      <c r="F1138" s="6" t="str">
        <f>VLOOKUP(A1138,Bookings!$A:$F,6,FALSE())</f>
        <v>Economy</v>
      </c>
      <c r="G1138" s="6" t="str">
        <f t="array" ref="G1138">IFERROR(INDEX(Flights!$E:$E,MATCH(B1138,Flights!$A:$A,0)),"")</f>
        <v>Chennai</v>
      </c>
      <c r="H1138" s="6" t="str">
        <f>VLOOKUP(B1138,Flights!A:H,6,FALSE())</f>
        <v>Hyderabad</v>
      </c>
      <c r="I1138" s="6" t="str">
        <f t="array" ref="I1138">IFERROR(INDEX(Bookings!$G:$G,MATCH(B1138,Bookings!$B:$B,0)),"")</f>
        <v>1</v>
      </c>
      <c r="J1138" s="5">
        <f>VLOOKUP(B1138,Bookings!B:H,7,FALSE())</f>
        <v>4.17</v>
      </c>
      <c r="K1138" s="5" t="str">
        <f t="shared" si="1"/>
        <v>Medium</v>
      </c>
      <c r="L1138" s="11">
        <f t="array" ref="L1138">IFERROR(INDEX(Bookings!$K:$K,MATCH(A1138,Bookings!$A:$A,0)),"")</f>
        <v>4202</v>
      </c>
      <c r="M1138" s="5" t="str">
        <f t="shared" si="2"/>
        <v>Low</v>
      </c>
      <c r="N1138" s="5">
        <f t="array" ref="N1138">IFERROR(INDEX(Bookings!$I:$I,MATCH(A1138,Bookings!$A:$A,0)),"")</f>
        <v>24</v>
      </c>
      <c r="O1138" s="5" t="str">
        <f t="shared" si="3"/>
        <v>Moderate</v>
      </c>
      <c r="P1138" s="5" t="str">
        <f t="shared" si="4"/>
        <v>Chennai -&gt; Hyderabad</v>
      </c>
    </row>
    <row r="1139" ht="15.75" customHeight="1">
      <c r="A1139" s="5" t="s">
        <v>3027</v>
      </c>
      <c r="B1139" s="5" t="s">
        <v>2709</v>
      </c>
      <c r="C1139" s="5" t="s">
        <v>797</v>
      </c>
      <c r="D1139" s="5" t="s">
        <v>43</v>
      </c>
      <c r="E1139" s="6" t="str">
        <f t="array" ref="E1139">IFERROR(INDEX(Airlines!$B:$B,MATCH(D1139,Airlines!$A:$A,0)),"")</f>
        <v>Indigo</v>
      </c>
      <c r="F1139" s="6" t="str">
        <f>VLOOKUP(A1139,Bookings!$A:$F,6,FALSE())</f>
        <v>Economy</v>
      </c>
      <c r="G1139" s="6" t="str">
        <f t="array" ref="G1139">IFERROR(INDEX(Flights!$E:$E,MATCH(B1139,Flights!$A:$A,0)),"")</f>
        <v>Chennai</v>
      </c>
      <c r="H1139" s="6" t="str">
        <f>VLOOKUP(B1139,Flights!A:H,6,FALSE())</f>
        <v>Hyderabad</v>
      </c>
      <c r="I1139" s="6" t="str">
        <f t="array" ref="I1139">IFERROR(INDEX(Bookings!$G:$G,MATCH(B1139,Bookings!$B:$B,0)),"")</f>
        <v>2+</v>
      </c>
      <c r="J1139" s="5">
        <f>VLOOKUP(B1139,Bookings!B:H,7,FALSE())</f>
        <v>6.33</v>
      </c>
      <c r="K1139" s="5" t="str">
        <f t="shared" si="1"/>
        <v>Medium</v>
      </c>
      <c r="L1139" s="11">
        <f t="array" ref="L1139">IFERROR(INDEX(Bookings!$K:$K,MATCH(A1139,Bookings!$A:$A,0)),"")</f>
        <v>11920</v>
      </c>
      <c r="M1139" s="5" t="str">
        <f t="shared" si="2"/>
        <v>Medium</v>
      </c>
      <c r="N1139" s="5" t="str">
        <f t="array" ref="N1139">IFERROR(INDEX(Bookings!$I:$I,MATCH(A1139,Bookings!$A:$A,0)),"")</f>
        <v/>
      </c>
      <c r="O1139" s="5" t="str">
        <f t="shared" si="3"/>
        <v>Last Minute</v>
      </c>
      <c r="P1139" s="5" t="str">
        <f t="shared" si="4"/>
        <v>Chennai -&gt; Hyderabad</v>
      </c>
    </row>
    <row r="1140" ht="15.75" customHeight="1">
      <c r="A1140" s="5" t="s">
        <v>3028</v>
      </c>
      <c r="B1140" s="5" t="s">
        <v>2734</v>
      </c>
      <c r="C1140" s="5" t="s">
        <v>797</v>
      </c>
      <c r="D1140" s="5" t="s">
        <v>45</v>
      </c>
      <c r="E1140" s="6" t="str">
        <f t="array" ref="E1140">IFERROR(INDEX(Airlines!$B:$B,MATCH(D1140,Airlines!$A:$A,0)),"")</f>
        <v>Air_India</v>
      </c>
      <c r="F1140" s="6" t="str">
        <f>VLOOKUP(A1140,Bookings!$A:$F,6,FALSE())</f>
        <v>Economy</v>
      </c>
      <c r="G1140" s="6" t="str">
        <f t="array" ref="G1140">IFERROR(INDEX(Flights!$E:$E,MATCH(B1140,Flights!$A:$A,0)),"")</f>
        <v>Chennai</v>
      </c>
      <c r="H1140" s="6" t="str">
        <f>VLOOKUP(B1140,Flights!A:H,6,FALSE())</f>
        <v>Hyderabad</v>
      </c>
      <c r="I1140" s="6" t="str">
        <f t="array" ref="I1140">IFERROR(INDEX(Bookings!$G:$G,MATCH(B1140,Bookings!$B:$B,0)),"")</f>
        <v>2+</v>
      </c>
      <c r="J1140" s="5">
        <f>VLOOKUP(B1140,Bookings!B:H,7,FALSE())</f>
        <v>21.25</v>
      </c>
      <c r="K1140" s="5" t="str">
        <f t="shared" si="1"/>
        <v>Long</v>
      </c>
      <c r="L1140" s="11">
        <f t="array" ref="L1140">IFERROR(INDEX(Bookings!$K:$K,MATCH(A1140,Bookings!$A:$A,0)),"")</f>
        <v>13774</v>
      </c>
      <c r="M1140" s="5" t="str">
        <f t="shared" si="2"/>
        <v>Medium</v>
      </c>
      <c r="N1140" s="5">
        <f t="array" ref="N1140">IFERROR(INDEX(Bookings!$I:$I,MATCH(A1140,Bookings!$A:$A,0)),"")</f>
        <v>6</v>
      </c>
      <c r="O1140" s="5" t="str">
        <f t="shared" si="3"/>
        <v>Last Minute</v>
      </c>
      <c r="P1140" s="5" t="str">
        <f t="shared" si="4"/>
        <v>Chennai -&gt; Hyderabad</v>
      </c>
    </row>
    <row r="1141" ht="15.75" customHeight="1">
      <c r="A1141" s="5" t="s">
        <v>3029</v>
      </c>
      <c r="B1141" s="5" t="s">
        <v>2729</v>
      </c>
      <c r="C1141" s="5" t="s">
        <v>797</v>
      </c>
      <c r="D1141" s="5" t="s">
        <v>45</v>
      </c>
      <c r="E1141" s="6" t="str">
        <f t="array" ref="E1141">IFERROR(INDEX(Airlines!$B:$B,MATCH(D1141,Airlines!$A:$A,0)),"")</f>
        <v>Air_India</v>
      </c>
      <c r="F1141" s="6" t="str">
        <f>VLOOKUP(A1141,Bookings!$A:$F,6,FALSE())</f>
        <v>Economy</v>
      </c>
      <c r="G1141" s="6" t="str">
        <f t="array" ref="G1141">IFERROR(INDEX(Flights!$E:$E,MATCH(B1141,Flights!$A:$A,0)),"")</f>
        <v>Chennai</v>
      </c>
      <c r="H1141" s="6" t="str">
        <f>VLOOKUP(B1141,Flights!A:H,6,FALSE())</f>
        <v>Hyderabad</v>
      </c>
      <c r="I1141" s="6" t="str">
        <f t="array" ref="I1141">IFERROR(INDEX(Bookings!$G:$G,MATCH(B1141,Bookings!$B:$B,0)),"")</f>
        <v>2+</v>
      </c>
      <c r="J1141" s="5">
        <f>VLOOKUP(B1141,Bookings!B:H,7,FALSE())</f>
        <v>11.67</v>
      </c>
      <c r="K1141" s="5" t="str">
        <f t="shared" si="1"/>
        <v>Long</v>
      </c>
      <c r="L1141" s="11">
        <f t="array" ref="L1141">IFERROR(INDEX(Bookings!$K:$K,MATCH(A1141,Bookings!$A:$A,0)),"")</f>
        <v>15158</v>
      </c>
      <c r="M1141" s="5" t="str">
        <f t="shared" si="2"/>
        <v>Medium</v>
      </c>
      <c r="N1141" s="5">
        <f t="array" ref="N1141">IFERROR(INDEX(Bookings!$I:$I,MATCH(A1141,Bookings!$A:$A,0)),"")</f>
        <v>15</v>
      </c>
      <c r="O1141" s="5" t="str">
        <f t="shared" si="3"/>
        <v>Short Notice</v>
      </c>
      <c r="P1141" s="5" t="str">
        <f t="shared" si="4"/>
        <v>Chennai -&gt; Hyderabad</v>
      </c>
    </row>
    <row r="1142" ht="15.75" customHeight="1">
      <c r="A1142" s="5" t="s">
        <v>3030</v>
      </c>
      <c r="B1142" s="5" t="s">
        <v>2746</v>
      </c>
      <c r="C1142" s="5" t="s">
        <v>797</v>
      </c>
      <c r="D1142" s="5" t="s">
        <v>45</v>
      </c>
      <c r="E1142" s="6" t="str">
        <f t="array" ref="E1142">IFERROR(INDEX(Airlines!$B:$B,MATCH(D1142,Airlines!$A:$A,0)),"")</f>
        <v>Air_India</v>
      </c>
      <c r="F1142" s="6" t="str">
        <f>VLOOKUP(A1142,Bookings!$A:$F,6,FALSE())</f>
        <v>Economy</v>
      </c>
      <c r="G1142" s="6" t="str">
        <f t="array" ref="G1142">IFERROR(INDEX(Flights!$E:$E,MATCH(B1142,Flights!$A:$A,0)),"")</f>
        <v>Chennai</v>
      </c>
      <c r="H1142" s="6" t="str">
        <f>VLOOKUP(B1142,Flights!A:H,6,FALSE())</f>
        <v>Hyderabad</v>
      </c>
      <c r="I1142" s="6" t="str">
        <f t="array" ref="I1142">IFERROR(INDEX(Bookings!$G:$G,MATCH(B1142,Bookings!$B:$B,0)),"")</f>
        <v>1</v>
      </c>
      <c r="J1142" s="5">
        <f>VLOOKUP(B1142,Bookings!B:H,7,FALSE())</f>
        <v>24.58</v>
      </c>
      <c r="K1142" s="5" t="str">
        <f t="shared" si="1"/>
        <v>Long</v>
      </c>
      <c r="L1142" s="11">
        <f t="array" ref="L1142">IFERROR(INDEX(Bookings!$K:$K,MATCH(A1142,Bookings!$A:$A,0)),"")</f>
        <v>13805</v>
      </c>
      <c r="M1142" s="5" t="str">
        <f t="shared" si="2"/>
        <v>Medium</v>
      </c>
      <c r="N1142" s="5">
        <f t="array" ref="N1142">IFERROR(INDEX(Bookings!$I:$I,MATCH(A1142,Bookings!$A:$A,0)),"")</f>
        <v>15</v>
      </c>
      <c r="O1142" s="5" t="str">
        <f t="shared" si="3"/>
        <v>Short Notice</v>
      </c>
      <c r="P1142" s="5" t="str">
        <f t="shared" si="4"/>
        <v>Chennai -&gt; Hyderabad</v>
      </c>
    </row>
    <row r="1143" ht="15.75" customHeight="1">
      <c r="A1143" s="5" t="s">
        <v>3031</v>
      </c>
      <c r="B1143" s="5" t="s">
        <v>2748</v>
      </c>
      <c r="C1143" s="5" t="s">
        <v>797</v>
      </c>
      <c r="D1143" s="5" t="s">
        <v>29</v>
      </c>
      <c r="E1143" s="6" t="str">
        <f t="array" ref="E1143">IFERROR(INDEX(Airlines!$B:$B,MATCH(D1143,Airlines!$A:$A,0)),"")</f>
        <v>AirAsia</v>
      </c>
      <c r="F1143" s="6" t="str">
        <f>VLOOKUP(A1143,Bookings!$A:$F,6,FALSE())</f>
        <v>Economy</v>
      </c>
      <c r="G1143" s="6" t="str">
        <f t="array" ref="G1143">IFERROR(INDEX(Flights!$E:$E,MATCH(B1143,Flights!$A:$A,0)),"")</f>
        <v>Chennai</v>
      </c>
      <c r="H1143" s="6" t="str">
        <f>VLOOKUP(B1143,Flights!A:H,6,FALSE())</f>
        <v>Hyderabad</v>
      </c>
      <c r="I1143" s="6" t="str">
        <f t="array" ref="I1143">IFERROR(INDEX(Bookings!$G:$G,MATCH(B1143,Bookings!$B:$B,0)),"")</f>
        <v>1</v>
      </c>
      <c r="J1143" s="5">
        <f>VLOOKUP(B1143,Bookings!B:H,7,FALSE())</f>
        <v>10.17</v>
      </c>
      <c r="K1143" s="5" t="str">
        <f t="shared" si="1"/>
        <v>Long</v>
      </c>
      <c r="L1143" s="11">
        <f t="array" ref="L1143">IFERROR(INDEX(Bookings!$K:$K,MATCH(A1143,Bookings!$A:$A,0)),"")</f>
        <v>1550</v>
      </c>
      <c r="M1143" s="5" t="str">
        <f t="shared" si="2"/>
        <v>Low</v>
      </c>
      <c r="N1143" s="5">
        <f t="array" ref="N1143">IFERROR(INDEX(Bookings!$I:$I,MATCH(A1143,Bookings!$A:$A,0)),"")</f>
        <v>25</v>
      </c>
      <c r="O1143" s="5" t="str">
        <f t="shared" si="3"/>
        <v>Moderate</v>
      </c>
      <c r="P1143" s="5" t="str">
        <f t="shared" si="4"/>
        <v>Chennai -&gt; Hyderabad</v>
      </c>
    </row>
    <row r="1144" ht="15.75" customHeight="1">
      <c r="A1144" s="5" t="s">
        <v>3032</v>
      </c>
      <c r="B1144" s="5" t="s">
        <v>2722</v>
      </c>
      <c r="C1144" s="5" t="s">
        <v>797</v>
      </c>
      <c r="D1144" s="5" t="s">
        <v>45</v>
      </c>
      <c r="E1144" s="6" t="str">
        <f t="array" ref="E1144">IFERROR(INDEX(Airlines!$B:$B,MATCH(D1144,Airlines!$A:$A,0)),"")</f>
        <v>Air_India</v>
      </c>
      <c r="F1144" s="6" t="str">
        <f>VLOOKUP(A1144,Bookings!$A:$F,6,FALSE())</f>
        <v>Economy</v>
      </c>
      <c r="G1144" s="6" t="str">
        <f t="array" ref="G1144">IFERROR(INDEX(Flights!$E:$E,MATCH(B1144,Flights!$A:$A,0)),"")</f>
        <v>Chennai</v>
      </c>
      <c r="H1144" s="6" t="str">
        <f>VLOOKUP(B1144,Flights!A:H,6,FALSE())</f>
        <v>Hyderabad</v>
      </c>
      <c r="I1144" s="6" t="str">
        <f t="array" ref="I1144">IFERROR(INDEX(Bookings!$G:$G,MATCH(B1144,Bookings!$B:$B,0)),"")</f>
        <v>1</v>
      </c>
      <c r="J1144" s="5">
        <f>VLOOKUP(B1144,Bookings!B:H,7,FALSE())</f>
        <v>21</v>
      </c>
      <c r="K1144" s="5" t="str">
        <f t="shared" si="1"/>
        <v>Long</v>
      </c>
      <c r="L1144" s="11">
        <f t="array" ref="L1144">IFERROR(INDEX(Bookings!$K:$K,MATCH(A1144,Bookings!$A:$A,0)),"")</f>
        <v>6622</v>
      </c>
      <c r="M1144" s="5" t="str">
        <f t="shared" si="2"/>
        <v>Medium</v>
      </c>
      <c r="N1144" s="5">
        <f t="array" ref="N1144">IFERROR(INDEX(Bookings!$I:$I,MATCH(A1144,Bookings!$A:$A,0)),"")</f>
        <v>18</v>
      </c>
      <c r="O1144" s="5" t="str">
        <f t="shared" si="3"/>
        <v>Moderate</v>
      </c>
      <c r="P1144" s="5" t="str">
        <f t="shared" si="4"/>
        <v>Chennai -&gt; Hyderabad</v>
      </c>
    </row>
    <row r="1145" ht="15.75" customHeight="1">
      <c r="A1145" s="5" t="s">
        <v>3034</v>
      </c>
      <c r="B1145" s="5" t="s">
        <v>2760</v>
      </c>
      <c r="C1145" s="5" t="s">
        <v>797</v>
      </c>
      <c r="D1145" s="5" t="s">
        <v>45</v>
      </c>
      <c r="E1145" s="6" t="str">
        <f t="array" ref="E1145">IFERROR(INDEX(Airlines!$B:$B,MATCH(D1145,Airlines!$A:$A,0)),"")</f>
        <v>Air_India</v>
      </c>
      <c r="F1145" s="6" t="str">
        <f>VLOOKUP(A1145,Bookings!$A:$F,6,FALSE())</f>
        <v>Economy</v>
      </c>
      <c r="G1145" s="6" t="str">
        <f t="array" ref="G1145">IFERROR(INDEX(Flights!$E:$E,MATCH(B1145,Flights!$A:$A,0)),"")</f>
        <v>Chennai</v>
      </c>
      <c r="H1145" s="6" t="str">
        <f>VLOOKUP(B1145,Flights!A:H,6,FALSE())</f>
        <v>Hyderabad</v>
      </c>
      <c r="I1145" s="6" t="str">
        <f t="array" ref="I1145">IFERROR(INDEX(Bookings!$G:$G,MATCH(B1145,Bookings!$B:$B,0)),"")</f>
        <v>2+</v>
      </c>
      <c r="J1145" s="5">
        <f>VLOOKUP(B1145,Bookings!B:H,7,FALSE())</f>
        <v>34.25</v>
      </c>
      <c r="K1145" s="5" t="str">
        <f t="shared" si="1"/>
        <v>Long</v>
      </c>
      <c r="L1145" s="11">
        <f t="array" ref="L1145">IFERROR(INDEX(Bookings!$K:$K,MATCH(A1145,Bookings!$A:$A,0)),"")</f>
        <v>11686</v>
      </c>
      <c r="M1145" s="5" t="str">
        <f t="shared" si="2"/>
        <v>Medium</v>
      </c>
      <c r="N1145" s="5">
        <f t="array" ref="N1145">IFERROR(INDEX(Bookings!$I:$I,MATCH(A1145,Bookings!$A:$A,0)),"")</f>
        <v>19</v>
      </c>
      <c r="O1145" s="5" t="str">
        <f t="shared" si="3"/>
        <v>Moderate</v>
      </c>
      <c r="P1145" s="5" t="str">
        <f t="shared" si="4"/>
        <v>Chennai -&gt; Hyderabad</v>
      </c>
    </row>
    <row r="1146" ht="15.75" customHeight="1">
      <c r="A1146" s="5" t="s">
        <v>3035</v>
      </c>
      <c r="B1146" s="5" t="s">
        <v>2744</v>
      </c>
      <c r="C1146" s="5" t="s">
        <v>797</v>
      </c>
      <c r="D1146" s="5" t="s">
        <v>20</v>
      </c>
      <c r="E1146" s="6" t="str">
        <f t="array" ref="E1146">IFERROR(INDEX(Airlines!$B:$B,MATCH(D1146,Airlines!$A:$A,0)),"")</f>
        <v>Vistara</v>
      </c>
      <c r="F1146" s="6" t="str">
        <f>VLOOKUP(A1146,Bookings!$A:$F,6,FALSE())</f>
        <v>Economy</v>
      </c>
      <c r="G1146" s="6" t="str">
        <f t="array" ref="G1146">IFERROR(INDEX(Flights!$E:$E,MATCH(B1146,Flights!$A:$A,0)),"")</f>
        <v>Chennai</v>
      </c>
      <c r="H1146" s="6" t="str">
        <f>VLOOKUP(B1146,Flights!A:H,6,FALSE())</f>
        <v>Hyderabad</v>
      </c>
      <c r="I1146" s="6" t="str">
        <f t="array" ref="I1146">IFERROR(INDEX(Bookings!$G:$G,MATCH(B1146,Bookings!$B:$B,0)),"")</f>
        <v>2+</v>
      </c>
      <c r="J1146" s="5">
        <f>VLOOKUP(B1146,Bookings!B:H,7,FALSE())</f>
        <v>8.42</v>
      </c>
      <c r="K1146" s="5" t="str">
        <f t="shared" si="1"/>
        <v>Medium</v>
      </c>
      <c r="L1146" s="11">
        <f t="array" ref="L1146">IFERROR(INDEX(Bookings!$K:$K,MATCH(A1146,Bookings!$A:$A,0)),"")</f>
        <v>6032</v>
      </c>
      <c r="M1146" s="5" t="str">
        <f t="shared" si="2"/>
        <v>Medium</v>
      </c>
      <c r="N1146" s="5">
        <f t="array" ref="N1146">IFERROR(INDEX(Bookings!$I:$I,MATCH(A1146,Bookings!$A:$A,0)),"")</f>
        <v>45</v>
      </c>
      <c r="O1146" s="5" t="str">
        <f t="shared" si="3"/>
        <v>Advance</v>
      </c>
      <c r="P1146" s="5" t="str">
        <f t="shared" si="4"/>
        <v>Chennai -&gt; Hyderabad</v>
      </c>
    </row>
    <row r="1147" ht="15.75" customHeight="1">
      <c r="A1147" s="5" t="s">
        <v>3037</v>
      </c>
      <c r="B1147" s="5" t="s">
        <v>2769</v>
      </c>
      <c r="C1147" s="5" t="s">
        <v>797</v>
      </c>
      <c r="D1147" s="5" t="s">
        <v>20</v>
      </c>
      <c r="E1147" s="6" t="str">
        <f t="array" ref="E1147">IFERROR(INDEX(Airlines!$B:$B,MATCH(D1147,Airlines!$A:$A,0)),"")</f>
        <v>Vistara</v>
      </c>
      <c r="F1147" s="6" t="str">
        <f>VLOOKUP(A1147,Bookings!$A:$F,6,FALSE())</f>
        <v>Economy</v>
      </c>
      <c r="G1147" s="6" t="str">
        <f t="array" ref="G1147">IFERROR(INDEX(Flights!$E:$E,MATCH(B1147,Flights!$A:$A,0)),"")</f>
        <v>Chennai</v>
      </c>
      <c r="H1147" s="6" t="str">
        <f>VLOOKUP(B1147,Flights!A:H,6,FALSE())</f>
        <v>Hyderabad</v>
      </c>
      <c r="I1147" s="6" t="str">
        <f t="array" ref="I1147">IFERROR(INDEX(Bookings!$G:$G,MATCH(B1147,Bookings!$B:$B,0)),"")</f>
        <v>2+</v>
      </c>
      <c r="J1147" s="5">
        <f>VLOOKUP(B1147,Bookings!B:H,7,FALSE())</f>
        <v>19.33</v>
      </c>
      <c r="K1147" s="5" t="str">
        <f t="shared" si="1"/>
        <v>Long</v>
      </c>
      <c r="L1147" s="11">
        <f t="array" ref="L1147">IFERROR(INDEX(Bookings!$K:$K,MATCH(A1147,Bookings!$A:$A,0)),"")</f>
        <v>7336</v>
      </c>
      <c r="M1147" s="5" t="str">
        <f t="shared" si="2"/>
        <v>Medium</v>
      </c>
      <c r="N1147" s="5" t="str">
        <f t="array" ref="N1147">IFERROR(INDEX(Bookings!$I:$I,MATCH(A1147,Bookings!$A:$A,0)),"")</f>
        <v/>
      </c>
      <c r="O1147" s="5" t="str">
        <f t="shared" si="3"/>
        <v>Last Minute</v>
      </c>
      <c r="P1147" s="5" t="str">
        <f t="shared" si="4"/>
        <v>Chennai -&gt; Hyderabad</v>
      </c>
    </row>
    <row r="1148" ht="15.75" customHeight="1">
      <c r="A1148" s="5" t="s">
        <v>3039</v>
      </c>
      <c r="B1148" s="5" t="s">
        <v>2731</v>
      </c>
      <c r="C1148" s="5" t="s">
        <v>797</v>
      </c>
      <c r="D1148" s="5" t="s">
        <v>20</v>
      </c>
      <c r="E1148" s="6" t="str">
        <f t="array" ref="E1148">IFERROR(INDEX(Airlines!$B:$B,MATCH(D1148,Airlines!$A:$A,0)),"")</f>
        <v>Vistara</v>
      </c>
      <c r="F1148" s="6" t="str">
        <f>VLOOKUP(A1148,Bookings!$A:$F,6,FALSE())</f>
        <v>Economy</v>
      </c>
      <c r="G1148" s="6" t="str">
        <f t="array" ref="G1148">IFERROR(INDEX(Flights!$E:$E,MATCH(B1148,Flights!$A:$A,0)),"")</f>
        <v>Chennai</v>
      </c>
      <c r="H1148" s="6" t="str">
        <f>VLOOKUP(B1148,Flights!A:H,6,FALSE())</f>
        <v>Hyderabad</v>
      </c>
      <c r="I1148" s="6" t="str">
        <f t="array" ref="I1148">IFERROR(INDEX(Bookings!$G:$G,MATCH(B1148,Bookings!$B:$B,0)),"")</f>
        <v>2+</v>
      </c>
      <c r="J1148" s="5">
        <f>VLOOKUP(B1148,Bookings!B:H,7,FALSE())</f>
        <v>13.92</v>
      </c>
      <c r="K1148" s="5" t="str">
        <f t="shared" si="1"/>
        <v>Long</v>
      </c>
      <c r="L1148" s="11">
        <f t="array" ref="L1148">IFERROR(INDEX(Bookings!$K:$K,MATCH(A1148,Bookings!$A:$A,0)),"")</f>
        <v>6032</v>
      </c>
      <c r="M1148" s="5" t="str">
        <f t="shared" si="2"/>
        <v>Medium</v>
      </c>
      <c r="N1148" s="5">
        <f t="array" ref="N1148">IFERROR(INDEX(Bookings!$I:$I,MATCH(A1148,Bookings!$A:$A,0)),"")</f>
        <v>37</v>
      </c>
      <c r="O1148" s="5" t="str">
        <f t="shared" si="3"/>
        <v>Advance</v>
      </c>
      <c r="P1148" s="5" t="str">
        <f t="shared" si="4"/>
        <v>Chennai -&gt; Hyderabad</v>
      </c>
    </row>
    <row r="1149" ht="15.75" customHeight="1">
      <c r="A1149" s="5" t="s">
        <v>3041</v>
      </c>
      <c r="B1149" s="5" t="s">
        <v>2715</v>
      </c>
      <c r="C1149" s="5" t="s">
        <v>797</v>
      </c>
      <c r="D1149" s="5" t="s">
        <v>20</v>
      </c>
      <c r="E1149" s="6" t="str">
        <f t="array" ref="E1149">IFERROR(INDEX(Airlines!$B:$B,MATCH(D1149,Airlines!$A:$A,0)),"")</f>
        <v>Vistara</v>
      </c>
      <c r="F1149" s="6" t="str">
        <f>VLOOKUP(A1149,Bookings!$A:$F,6,FALSE())</f>
        <v>Economy</v>
      </c>
      <c r="G1149" s="6" t="str">
        <f t="array" ref="G1149">IFERROR(INDEX(Flights!$E:$E,MATCH(B1149,Flights!$A:$A,0)),"")</f>
        <v>Chennai</v>
      </c>
      <c r="H1149" s="6" t="str">
        <f>VLOOKUP(B1149,Flights!A:H,6,FALSE())</f>
        <v>Hyderabad</v>
      </c>
      <c r="I1149" s="6" t="str">
        <f t="array" ref="I1149">IFERROR(INDEX(Bookings!$G:$G,MATCH(B1149,Bookings!$B:$B,0)),"")</f>
        <v>2+</v>
      </c>
      <c r="J1149" s="5">
        <f>VLOOKUP(B1149,Bookings!B:H,7,FALSE())</f>
        <v>10</v>
      </c>
      <c r="K1149" s="5" t="str">
        <f t="shared" si="1"/>
        <v>Medium</v>
      </c>
      <c r="L1149" s="11">
        <f t="array" ref="L1149">IFERROR(INDEX(Bookings!$K:$K,MATCH(A1149,Bookings!$A:$A,0)),"")</f>
        <v>6966</v>
      </c>
      <c r="M1149" s="5" t="str">
        <f t="shared" si="2"/>
        <v>Medium</v>
      </c>
      <c r="N1149" s="5">
        <f t="array" ref="N1149">IFERROR(INDEX(Bookings!$I:$I,MATCH(A1149,Bookings!$A:$A,0)),"")</f>
        <v>26</v>
      </c>
      <c r="O1149" s="5" t="str">
        <f t="shared" si="3"/>
        <v>Moderate</v>
      </c>
      <c r="P1149" s="5" t="str">
        <f t="shared" si="4"/>
        <v>Chennai -&gt; Hyderabad</v>
      </c>
    </row>
    <row r="1150" ht="15.75" customHeight="1">
      <c r="A1150" s="5" t="s">
        <v>3043</v>
      </c>
      <c r="B1150" s="5" t="s">
        <v>2787</v>
      </c>
      <c r="C1150" s="5" t="s">
        <v>797</v>
      </c>
      <c r="D1150" s="5" t="s">
        <v>20</v>
      </c>
      <c r="E1150" s="6" t="str">
        <f t="array" ref="E1150">IFERROR(INDEX(Airlines!$B:$B,MATCH(D1150,Airlines!$A:$A,0)),"")</f>
        <v>Vistara</v>
      </c>
      <c r="F1150" s="6" t="str">
        <f>VLOOKUP(A1150,Bookings!$A:$F,6,FALSE())</f>
        <v>Economy</v>
      </c>
      <c r="G1150" s="6" t="str">
        <f t="array" ref="G1150">IFERROR(INDEX(Flights!$E:$E,MATCH(B1150,Flights!$A:$A,0)),"")</f>
        <v>Chennai</v>
      </c>
      <c r="H1150" s="6" t="str">
        <f>VLOOKUP(B1150,Flights!A:H,6,FALSE())</f>
        <v>Hyderabad</v>
      </c>
      <c r="I1150" s="6" t="str">
        <f t="array" ref="I1150">IFERROR(INDEX(Bookings!$G:$G,MATCH(B1150,Bookings!$B:$B,0)),"")</f>
        <v>2+</v>
      </c>
      <c r="J1150" s="5">
        <f>VLOOKUP(B1150,Bookings!B:H,7,FALSE())</f>
        <v>26.08</v>
      </c>
      <c r="K1150" s="5" t="str">
        <f t="shared" si="1"/>
        <v>Long</v>
      </c>
      <c r="L1150" s="11">
        <f t="array" ref="L1150">IFERROR(INDEX(Bookings!$K:$K,MATCH(A1150,Bookings!$A:$A,0)),"")</f>
        <v>6015</v>
      </c>
      <c r="M1150" s="5" t="str">
        <f t="shared" si="2"/>
        <v>Medium</v>
      </c>
      <c r="N1150" s="5">
        <f t="array" ref="N1150">IFERROR(INDEX(Bookings!$I:$I,MATCH(A1150,Bookings!$A:$A,0)),"")</f>
        <v>40</v>
      </c>
      <c r="O1150" s="5" t="str">
        <f t="shared" si="3"/>
        <v>Advance</v>
      </c>
      <c r="P1150" s="5" t="str">
        <f t="shared" si="4"/>
        <v>Chennai -&gt; Hyderabad</v>
      </c>
    </row>
    <row r="1151" ht="15.75" customHeight="1">
      <c r="A1151" s="5" t="s">
        <v>3044</v>
      </c>
      <c r="B1151" s="5" t="s">
        <v>2758</v>
      </c>
      <c r="C1151" s="5" t="s">
        <v>797</v>
      </c>
      <c r="D1151" s="5" t="s">
        <v>43</v>
      </c>
      <c r="E1151" s="6" t="str">
        <f t="array" ref="E1151">IFERROR(INDEX(Airlines!$B:$B,MATCH(D1151,Airlines!$A:$A,0)),"")</f>
        <v>Indigo</v>
      </c>
      <c r="F1151" s="6" t="str">
        <f>VLOOKUP(A1151,Bookings!$A:$F,6,FALSE())</f>
        <v>Economy</v>
      </c>
      <c r="G1151" s="6" t="str">
        <f t="array" ref="G1151">IFERROR(INDEX(Flights!$E:$E,MATCH(B1151,Flights!$A:$A,0)),"")</f>
        <v>Chennai</v>
      </c>
      <c r="H1151" s="6" t="str">
        <f>VLOOKUP(B1151,Flights!A:H,6,FALSE())</f>
        <v>Hyderabad</v>
      </c>
      <c r="I1151" s="6" t="str">
        <f t="array" ref="I1151">IFERROR(INDEX(Bookings!$G:$G,MATCH(B1151,Bookings!$B:$B,0)),"")</f>
        <v>1</v>
      </c>
      <c r="J1151" s="5">
        <f>VLOOKUP(B1151,Bookings!B:H,7,FALSE())</f>
        <v>4.92</v>
      </c>
      <c r="K1151" s="5" t="str">
        <f t="shared" si="1"/>
        <v>Medium</v>
      </c>
      <c r="L1151" s="11">
        <f t="array" ref="L1151">IFERROR(INDEX(Bookings!$K:$K,MATCH(A1151,Bookings!$A:$A,0)),"")</f>
        <v>7336</v>
      </c>
      <c r="M1151" s="5" t="str">
        <f t="shared" si="2"/>
        <v>Medium</v>
      </c>
      <c r="N1151" s="5">
        <f t="array" ref="N1151">IFERROR(INDEX(Bookings!$I:$I,MATCH(A1151,Bookings!$A:$A,0)),"")</f>
        <v>44</v>
      </c>
      <c r="O1151" s="5" t="str">
        <f t="shared" si="3"/>
        <v>Advance</v>
      </c>
      <c r="P1151" s="5" t="str">
        <f t="shared" si="4"/>
        <v>Chennai -&gt; Hyderabad</v>
      </c>
    </row>
    <row r="1152" ht="15.75" customHeight="1">
      <c r="A1152" s="5" t="s">
        <v>3045</v>
      </c>
      <c r="B1152" s="5" t="s">
        <v>2777</v>
      </c>
      <c r="C1152" s="5" t="s">
        <v>797</v>
      </c>
      <c r="D1152" s="5" t="s">
        <v>20</v>
      </c>
      <c r="E1152" s="6" t="str">
        <f t="array" ref="E1152">IFERROR(INDEX(Airlines!$B:$B,MATCH(D1152,Airlines!$A:$A,0)),"")</f>
        <v>Vistara</v>
      </c>
      <c r="F1152" s="6" t="str">
        <f>VLOOKUP(A1152,Bookings!$A:$F,6,FALSE())</f>
        <v>Business</v>
      </c>
      <c r="G1152" s="6" t="str">
        <f t="array" ref="G1152">IFERROR(INDEX(Flights!$E:$E,MATCH(B1152,Flights!$A:$A,0)),"")</f>
        <v>Chennai</v>
      </c>
      <c r="H1152" s="6" t="str">
        <f>VLOOKUP(B1152,Flights!A:H,6,FALSE())</f>
        <v>Hyderabad</v>
      </c>
      <c r="I1152" s="6" t="str">
        <f t="array" ref="I1152">IFERROR(INDEX(Bookings!$G:$G,MATCH(B1152,Bookings!$B:$B,0)),"")</f>
        <v>1</v>
      </c>
      <c r="J1152" s="5">
        <f>VLOOKUP(B1152,Bookings!B:H,7,FALSE())</f>
        <v>22.67</v>
      </c>
      <c r="K1152" s="5" t="str">
        <f t="shared" si="1"/>
        <v>Long</v>
      </c>
      <c r="L1152" s="11">
        <f t="array" ref="L1152">IFERROR(INDEX(Bookings!$K:$K,MATCH(A1152,Bookings!$A:$A,0)),"")</f>
        <v>51457</v>
      </c>
      <c r="M1152" s="5" t="str">
        <f t="shared" si="2"/>
        <v>High</v>
      </c>
      <c r="N1152" s="5" t="str">
        <f t="array" ref="N1152">IFERROR(INDEX(Bookings!$I:$I,MATCH(A1152,Bookings!$A:$A,0)),"")</f>
        <v/>
      </c>
      <c r="O1152" s="5" t="str">
        <f t="shared" si="3"/>
        <v>Last Minute</v>
      </c>
      <c r="P1152" s="5" t="str">
        <f t="shared" si="4"/>
        <v>Chennai -&gt; Hyderabad</v>
      </c>
    </row>
    <row r="1153" ht="15.75" customHeight="1">
      <c r="A1153" s="5" t="s">
        <v>3046</v>
      </c>
      <c r="B1153" s="5" t="s">
        <v>2739</v>
      </c>
      <c r="C1153" s="5" t="s">
        <v>797</v>
      </c>
      <c r="D1153" s="5" t="s">
        <v>45</v>
      </c>
      <c r="E1153" s="6" t="str">
        <f t="array" ref="E1153">IFERROR(INDEX(Airlines!$B:$B,MATCH(D1153,Airlines!$A:$A,0)),"")</f>
        <v>Air_India</v>
      </c>
      <c r="F1153" s="6" t="str">
        <f>VLOOKUP(A1153,Bookings!$A:$F,6,FALSE())</f>
        <v>Economy</v>
      </c>
      <c r="G1153" s="6" t="str">
        <f t="array" ref="G1153">IFERROR(INDEX(Flights!$E:$E,MATCH(B1153,Flights!$A:$A,0)),"")</f>
        <v>Chennai</v>
      </c>
      <c r="H1153" s="6" t="str">
        <f>VLOOKUP(B1153,Flights!A:H,6,FALSE())</f>
        <v>Hyderabad</v>
      </c>
      <c r="I1153" s="6" t="str">
        <f t="array" ref="I1153">IFERROR(INDEX(Bookings!$G:$G,MATCH(B1153,Bookings!$B:$B,0)),"")</f>
        <v>1</v>
      </c>
      <c r="J1153" s="5">
        <f>VLOOKUP(B1153,Bookings!B:H,7,FALSE())</f>
        <v>23.08</v>
      </c>
      <c r="K1153" s="5" t="str">
        <f t="shared" si="1"/>
        <v>Long</v>
      </c>
      <c r="L1153" s="11">
        <f t="array" ref="L1153">IFERROR(INDEX(Bookings!$K:$K,MATCH(A1153,Bookings!$A:$A,0)),"")</f>
        <v>3979</v>
      </c>
      <c r="M1153" s="5" t="str">
        <f t="shared" si="2"/>
        <v>Low</v>
      </c>
      <c r="N1153" s="5">
        <f t="array" ref="N1153">IFERROR(INDEX(Bookings!$I:$I,MATCH(A1153,Bookings!$A:$A,0)),"")</f>
        <v>49</v>
      </c>
      <c r="O1153" s="5" t="str">
        <f t="shared" si="3"/>
        <v>Advance</v>
      </c>
      <c r="P1153" s="5" t="str">
        <f t="shared" si="4"/>
        <v>Chennai -&gt; Hyderabad</v>
      </c>
    </row>
    <row r="1154" ht="15.75" customHeight="1">
      <c r="A1154" s="5" t="s">
        <v>3047</v>
      </c>
      <c r="B1154" s="5" t="s">
        <v>2782</v>
      </c>
      <c r="C1154" s="5" t="s">
        <v>797</v>
      </c>
      <c r="D1154" s="5" t="s">
        <v>43</v>
      </c>
      <c r="E1154" s="6" t="str">
        <f t="array" ref="E1154">IFERROR(INDEX(Airlines!$B:$B,MATCH(D1154,Airlines!$A:$A,0)),"")</f>
        <v>Indigo</v>
      </c>
      <c r="F1154" s="6" t="str">
        <f>VLOOKUP(A1154,Bookings!$A:$F,6,FALSE())</f>
        <v>Economy</v>
      </c>
      <c r="G1154" s="6" t="str">
        <f t="array" ref="G1154">IFERROR(INDEX(Flights!$E:$E,MATCH(B1154,Flights!$A:$A,0)),"")</f>
        <v>Chennai</v>
      </c>
      <c r="H1154" s="6" t="str">
        <f>VLOOKUP(B1154,Flights!A:H,6,FALSE())</f>
        <v>Hyderabad</v>
      </c>
      <c r="I1154" s="6" t="str">
        <f t="array" ref="I1154">IFERROR(INDEX(Bookings!$G:$G,MATCH(B1154,Bookings!$B:$B,0)),"")</f>
        <v>1</v>
      </c>
      <c r="J1154" s="5">
        <f>VLOOKUP(B1154,Bookings!B:H,7,FALSE())</f>
        <v>6.33</v>
      </c>
      <c r="K1154" s="5" t="str">
        <f t="shared" si="1"/>
        <v>Medium</v>
      </c>
      <c r="L1154" s="11">
        <f t="array" ref="L1154">IFERROR(INDEX(Bookings!$K:$K,MATCH(A1154,Bookings!$A:$A,0)),"")</f>
        <v>1105</v>
      </c>
      <c r="M1154" s="5" t="str">
        <f t="shared" si="2"/>
        <v>Low</v>
      </c>
      <c r="N1154" s="5">
        <f t="array" ref="N1154">IFERROR(INDEX(Bookings!$I:$I,MATCH(A1154,Bookings!$A:$A,0)),"")</f>
        <v>46</v>
      </c>
      <c r="O1154" s="5" t="str">
        <f t="shared" si="3"/>
        <v>Advance</v>
      </c>
      <c r="P1154" s="5" t="str">
        <f t="shared" si="4"/>
        <v>Chennai -&gt; Hyderabad</v>
      </c>
    </row>
    <row r="1155" ht="15.75" customHeight="1">
      <c r="A1155" s="5" t="s">
        <v>3049</v>
      </c>
      <c r="B1155" s="5" t="s">
        <v>2766</v>
      </c>
      <c r="C1155" s="5" t="s">
        <v>797</v>
      </c>
      <c r="D1155" s="5" t="s">
        <v>43</v>
      </c>
      <c r="E1155" s="6" t="str">
        <f t="array" ref="E1155">IFERROR(INDEX(Airlines!$B:$B,MATCH(D1155,Airlines!$A:$A,0)),"")</f>
        <v>Indigo</v>
      </c>
      <c r="F1155" s="6" t="str">
        <f>VLOOKUP(A1155,Bookings!$A:$F,6,FALSE())</f>
        <v>Economy</v>
      </c>
      <c r="G1155" s="6" t="str">
        <f t="array" ref="G1155">IFERROR(INDEX(Flights!$E:$E,MATCH(B1155,Flights!$A:$A,0)),"")</f>
        <v>Chennai</v>
      </c>
      <c r="H1155" s="6" t="str">
        <f>VLOOKUP(B1155,Flights!A:H,6,FALSE())</f>
        <v>Hyderabad</v>
      </c>
      <c r="I1155" s="6" t="str">
        <f t="array" ref="I1155">IFERROR(INDEX(Bookings!$G:$G,MATCH(B1155,Bookings!$B:$B,0)),"")</f>
        <v>0</v>
      </c>
      <c r="J1155" s="5">
        <f>VLOOKUP(B1155,Bookings!B:H,7,FALSE())</f>
        <v>1.17</v>
      </c>
      <c r="K1155" s="5" t="str">
        <f t="shared" si="1"/>
        <v>Short</v>
      </c>
      <c r="L1155" s="11">
        <f t="array" ref="L1155">IFERROR(INDEX(Bookings!$K:$K,MATCH(A1155,Bookings!$A:$A,0)),"")</f>
        <v>1551</v>
      </c>
      <c r="M1155" s="5" t="str">
        <f t="shared" si="2"/>
        <v>Low</v>
      </c>
      <c r="N1155" s="5">
        <f t="array" ref="N1155">IFERROR(INDEX(Bookings!$I:$I,MATCH(A1155,Bookings!$A:$A,0)),"")</f>
        <v>46</v>
      </c>
      <c r="O1155" s="5" t="str">
        <f t="shared" si="3"/>
        <v>Advance</v>
      </c>
      <c r="P1155" s="5" t="str">
        <f t="shared" si="4"/>
        <v>Chennai -&gt; Hyderabad</v>
      </c>
    </row>
    <row r="1156" ht="15.75" customHeight="1">
      <c r="A1156" s="5" t="s">
        <v>3050</v>
      </c>
      <c r="B1156" s="5" t="s">
        <v>2726</v>
      </c>
      <c r="C1156" s="5" t="s">
        <v>797</v>
      </c>
      <c r="D1156" s="5" t="s">
        <v>29</v>
      </c>
      <c r="E1156" s="6" t="str">
        <f t="array" ref="E1156">IFERROR(INDEX(Airlines!$B:$B,MATCH(D1156,Airlines!$A:$A,0)),"")</f>
        <v>AirAsia</v>
      </c>
      <c r="F1156" s="6" t="str">
        <f>VLOOKUP(A1156,Bookings!$A:$F,6,FALSE())</f>
        <v>Economy</v>
      </c>
      <c r="G1156" s="6" t="str">
        <f t="array" ref="G1156">IFERROR(INDEX(Flights!$E:$E,MATCH(B1156,Flights!$A:$A,0)),"")</f>
        <v>Chennai</v>
      </c>
      <c r="H1156" s="6" t="str">
        <f>VLOOKUP(B1156,Flights!A:H,6,FALSE())</f>
        <v>Hyderabad</v>
      </c>
      <c r="I1156" s="6" t="str">
        <f t="array" ref="I1156">IFERROR(INDEX(Bookings!$G:$G,MATCH(B1156,Bookings!$B:$B,0)),"")</f>
        <v>1</v>
      </c>
      <c r="J1156" s="5">
        <f>VLOOKUP(B1156,Bookings!B:H,7,FALSE())</f>
        <v>10.17</v>
      </c>
      <c r="K1156" s="5" t="str">
        <f t="shared" si="1"/>
        <v>Long</v>
      </c>
      <c r="L1156" s="11">
        <f t="array" ref="L1156">IFERROR(INDEX(Bookings!$K:$K,MATCH(A1156,Bookings!$A:$A,0)),"")</f>
        <v>1550</v>
      </c>
      <c r="M1156" s="5" t="str">
        <f t="shared" si="2"/>
        <v>Low</v>
      </c>
      <c r="N1156" s="5">
        <f t="array" ref="N1156">IFERROR(INDEX(Bookings!$I:$I,MATCH(A1156,Bookings!$A:$A,0)),"")</f>
        <v>46</v>
      </c>
      <c r="O1156" s="5" t="str">
        <f t="shared" si="3"/>
        <v>Advance</v>
      </c>
      <c r="P1156" s="5" t="str">
        <f t="shared" si="4"/>
        <v>Chennai -&gt; Hyderabad</v>
      </c>
    </row>
    <row r="1157" ht="15.75" customHeight="1">
      <c r="A1157" s="5" t="s">
        <v>3051</v>
      </c>
      <c r="B1157" s="5" t="s">
        <v>2773</v>
      </c>
      <c r="C1157" s="5" t="s">
        <v>797</v>
      </c>
      <c r="D1157" s="5" t="s">
        <v>20</v>
      </c>
      <c r="E1157" s="6" t="str">
        <f t="array" ref="E1157">IFERROR(INDEX(Airlines!$B:$B,MATCH(D1157,Airlines!$A:$A,0)),"")</f>
        <v>Vistara</v>
      </c>
      <c r="F1157" s="6" t="str">
        <f>VLOOKUP(A1157,Bookings!$A:$F,6,FALSE())</f>
        <v>Business</v>
      </c>
      <c r="G1157" s="6" t="str">
        <f t="array" ref="G1157">IFERROR(INDEX(Flights!$E:$E,MATCH(B1157,Flights!$A:$A,0)),"")</f>
        <v>Chennai</v>
      </c>
      <c r="H1157" s="6" t="str">
        <f>VLOOKUP(B1157,Flights!A:H,6,FALSE())</f>
        <v>Hyderabad</v>
      </c>
      <c r="I1157" s="6" t="str">
        <f t="array" ref="I1157">IFERROR(INDEX(Bookings!$G:$G,MATCH(B1157,Bookings!$B:$B,0)),"")</f>
        <v>1</v>
      </c>
      <c r="J1157" s="5">
        <f>VLOOKUP(B1157,Bookings!B:H,7,FALSE())</f>
        <v>16</v>
      </c>
      <c r="K1157" s="5" t="str">
        <f t="shared" si="1"/>
        <v>Long</v>
      </c>
      <c r="L1157" s="11">
        <f t="array" ref="L1157">IFERROR(INDEX(Bookings!$K:$K,MATCH(A1157,Bookings!$A:$A,0)),"")</f>
        <v>87118</v>
      </c>
      <c r="M1157" s="5" t="str">
        <f t="shared" si="2"/>
        <v>High</v>
      </c>
      <c r="N1157" s="5">
        <f t="array" ref="N1157">IFERROR(INDEX(Bookings!$I:$I,MATCH(A1157,Bookings!$A:$A,0)),"")</f>
        <v>48</v>
      </c>
      <c r="O1157" s="5" t="str">
        <f t="shared" si="3"/>
        <v>Advance</v>
      </c>
      <c r="P1157" s="5" t="str">
        <f t="shared" si="4"/>
        <v>Chennai -&gt; Hyderabad</v>
      </c>
    </row>
    <row r="1158" ht="15.75" customHeight="1">
      <c r="A1158" s="5" t="s">
        <v>3053</v>
      </c>
      <c r="B1158" s="5" t="s">
        <v>2736</v>
      </c>
      <c r="C1158" s="5" t="s">
        <v>797</v>
      </c>
      <c r="D1158" s="5" t="s">
        <v>43</v>
      </c>
      <c r="E1158" s="6" t="str">
        <f t="array" ref="E1158">IFERROR(INDEX(Airlines!$B:$B,MATCH(D1158,Airlines!$A:$A,0)),"")</f>
        <v>Indigo</v>
      </c>
      <c r="F1158" s="6" t="str">
        <f>VLOOKUP(A1158,Bookings!$A:$F,6,FALSE())</f>
        <v>Economy</v>
      </c>
      <c r="G1158" s="6" t="str">
        <f t="array" ref="G1158">IFERROR(INDEX(Flights!$E:$E,MATCH(B1158,Flights!$A:$A,0)),"")</f>
        <v>Chennai</v>
      </c>
      <c r="H1158" s="6" t="str">
        <f>VLOOKUP(B1158,Flights!A:H,6,FALSE())</f>
        <v>Hyderabad</v>
      </c>
      <c r="I1158" s="6" t="str">
        <f t="array" ref="I1158">IFERROR(INDEX(Bookings!$G:$G,MATCH(B1158,Bookings!$B:$B,0)),"")</f>
        <v>1</v>
      </c>
      <c r="J1158" s="5">
        <f>VLOOKUP(B1158,Bookings!B:H,7,FALSE())</f>
        <v>5.92</v>
      </c>
      <c r="K1158" s="5" t="str">
        <f t="shared" si="1"/>
        <v>Medium</v>
      </c>
      <c r="L1158" s="11">
        <f t="array" ref="L1158">IFERROR(INDEX(Bookings!$K:$K,MATCH(A1158,Bookings!$A:$A,0)),"")</f>
        <v>1105</v>
      </c>
      <c r="M1158" s="5" t="str">
        <f t="shared" si="2"/>
        <v>Low</v>
      </c>
      <c r="N1158" s="5" t="str">
        <f t="array" ref="N1158">IFERROR(INDEX(Bookings!$I:$I,MATCH(A1158,Bookings!$A:$A,0)),"")</f>
        <v/>
      </c>
      <c r="O1158" s="5" t="str">
        <f t="shared" si="3"/>
        <v>Last Minute</v>
      </c>
      <c r="P1158" s="5" t="str">
        <f t="shared" si="4"/>
        <v>Chennai -&gt; Hyderabad</v>
      </c>
    </row>
    <row r="1159" ht="15.75" customHeight="1">
      <c r="A1159" s="5" t="s">
        <v>3054</v>
      </c>
      <c r="B1159" s="5" t="s">
        <v>2717</v>
      </c>
      <c r="C1159" s="5" t="s">
        <v>797</v>
      </c>
      <c r="D1159" s="5" t="s">
        <v>45</v>
      </c>
      <c r="E1159" s="6" t="str">
        <f t="array" ref="E1159">IFERROR(INDEX(Airlines!$B:$B,MATCH(D1159,Airlines!$A:$A,0)),"")</f>
        <v>Air_India</v>
      </c>
      <c r="F1159" s="6" t="str">
        <f>VLOOKUP(A1159,Bookings!$A:$F,6,FALSE())</f>
        <v>Economy</v>
      </c>
      <c r="G1159" s="6" t="str">
        <f t="array" ref="G1159">IFERROR(INDEX(Flights!$E:$E,MATCH(B1159,Flights!$A:$A,0)),"")</f>
        <v>Chennai</v>
      </c>
      <c r="H1159" s="6" t="str">
        <f>VLOOKUP(B1159,Flights!A:H,6,FALSE())</f>
        <v>Hyderabad</v>
      </c>
      <c r="I1159" s="6" t="str">
        <f t="array" ref="I1159">IFERROR(INDEX(Bookings!$G:$G,MATCH(B1159,Bookings!$B:$B,0)),"")</f>
        <v>1</v>
      </c>
      <c r="J1159" s="5">
        <f>VLOOKUP(B1159,Bookings!B:H,7,FALSE())</f>
        <v>5.92</v>
      </c>
      <c r="K1159" s="5" t="str">
        <f t="shared" si="1"/>
        <v>Medium</v>
      </c>
      <c r="L1159" s="11">
        <f t="array" ref="L1159">IFERROR(INDEX(Bookings!$K:$K,MATCH(A1159,Bookings!$A:$A,0)),"")</f>
        <v>3353</v>
      </c>
      <c r="M1159" s="5" t="str">
        <f t="shared" si="2"/>
        <v>Low</v>
      </c>
      <c r="N1159" s="5" t="str">
        <f t="array" ref="N1159">IFERROR(INDEX(Bookings!$I:$I,MATCH(A1159,Bookings!$A:$A,0)),"")</f>
        <v/>
      </c>
      <c r="O1159" s="5" t="str">
        <f t="shared" si="3"/>
        <v>Last Minute</v>
      </c>
      <c r="P1159" s="5" t="str">
        <f t="shared" si="4"/>
        <v>Chennai -&gt; Hyderabad</v>
      </c>
    </row>
    <row r="1160" ht="15.75" customHeight="1">
      <c r="A1160" s="5" t="s">
        <v>3056</v>
      </c>
      <c r="B1160" s="5" t="s">
        <v>2753</v>
      </c>
      <c r="C1160" s="5" t="s">
        <v>797</v>
      </c>
      <c r="D1160" s="5" t="s">
        <v>45</v>
      </c>
      <c r="E1160" s="6" t="str">
        <f t="array" ref="E1160">IFERROR(INDEX(Airlines!$B:$B,MATCH(D1160,Airlines!$A:$A,0)),"")</f>
        <v>Air_India</v>
      </c>
      <c r="F1160" s="6" t="str">
        <f>VLOOKUP(A1160,Bookings!$A:$F,6,FALSE())</f>
        <v>Business</v>
      </c>
      <c r="G1160" s="6" t="str">
        <f t="array" ref="G1160">IFERROR(INDEX(Flights!$E:$E,MATCH(B1160,Flights!$A:$A,0)),"")</f>
        <v>Chennai</v>
      </c>
      <c r="H1160" s="6" t="str">
        <f>VLOOKUP(B1160,Flights!A:H,6,FALSE())</f>
        <v>Hyderabad</v>
      </c>
      <c r="I1160" s="6" t="str">
        <f t="array" ref="I1160">IFERROR(INDEX(Bookings!$G:$G,MATCH(B1160,Bookings!$B:$B,0)),"")</f>
        <v>0</v>
      </c>
      <c r="J1160" s="5">
        <f>VLOOKUP(B1160,Bookings!B:H,7,FALSE())</f>
        <v>1.33</v>
      </c>
      <c r="K1160" s="5" t="str">
        <f t="shared" si="1"/>
        <v>Short</v>
      </c>
      <c r="L1160" s="11">
        <f t="array" ref="L1160">IFERROR(INDEX(Bookings!$K:$K,MATCH(A1160,Bookings!$A:$A,0)),"")</f>
        <v>15000</v>
      </c>
      <c r="M1160" s="5" t="str">
        <f t="shared" si="2"/>
        <v>Medium</v>
      </c>
      <c r="N1160" s="5">
        <f t="array" ref="N1160">IFERROR(INDEX(Bookings!$I:$I,MATCH(A1160,Bookings!$A:$A,0)),"")</f>
        <v>48</v>
      </c>
      <c r="O1160" s="5" t="str">
        <f t="shared" si="3"/>
        <v>Advance</v>
      </c>
      <c r="P1160" s="5" t="str">
        <f t="shared" si="4"/>
        <v>Chennai -&gt; Hyderabad</v>
      </c>
    </row>
    <row r="1161" ht="15.75" customHeight="1">
      <c r="A1161" s="5" t="s">
        <v>3057</v>
      </c>
      <c r="B1161" s="5" t="s">
        <v>17</v>
      </c>
      <c r="C1161" s="5" t="s">
        <v>26</v>
      </c>
      <c r="D1161" s="5" t="s">
        <v>20</v>
      </c>
      <c r="E1161" s="6" t="str">
        <f t="array" ref="E1161">IFERROR(INDEX(Airlines!$B:$B,MATCH(D1161,Airlines!$A:$A,0)),"")</f>
        <v>Vistara</v>
      </c>
      <c r="F1161" s="6" t="str">
        <f>VLOOKUP(A1161,Bookings!$A:$F,6,FALSE())</f>
        <v>Business</v>
      </c>
      <c r="G1161" s="6" t="str">
        <f t="array" ref="G1161">IFERROR(INDEX(Flights!$E:$E,MATCH(B1161,Flights!$A:$A,0)),"")</f>
        <v>Delhi</v>
      </c>
      <c r="H1161" s="6" t="str">
        <f>VLOOKUP(B1161,Flights!A:H,6,FALSE())</f>
        <v>Mumbai</v>
      </c>
      <c r="I1161" s="6" t="str">
        <f t="array" ref="I1161">IFERROR(INDEX(Bookings!$G:$G,MATCH(B1161,Bookings!$B:$B,0)),"")</f>
        <v>1</v>
      </c>
      <c r="J1161" s="5">
        <f>VLOOKUP(B1161,Bookings!B:H,7,FALSE())</f>
        <v>14.33</v>
      </c>
      <c r="K1161" s="5" t="str">
        <f t="shared" si="1"/>
        <v>Long</v>
      </c>
      <c r="L1161" s="11">
        <f t="array" ref="L1161">IFERROR(INDEX(Bookings!$K:$K,MATCH(A1161,Bookings!$A:$A,0)),"")</f>
        <v>71056</v>
      </c>
      <c r="M1161" s="5" t="str">
        <f t="shared" si="2"/>
        <v>High</v>
      </c>
      <c r="N1161" s="5">
        <f t="array" ref="N1161">IFERROR(INDEX(Bookings!$I:$I,MATCH(A1161,Bookings!$A:$A,0)),"")</f>
        <v>8</v>
      </c>
      <c r="O1161" s="5" t="str">
        <f t="shared" si="3"/>
        <v>Short Notice</v>
      </c>
      <c r="P1161" s="5" t="str">
        <f t="shared" si="4"/>
        <v>Delhi -&gt; Mumbai</v>
      </c>
    </row>
    <row r="1162" ht="15.75" customHeight="1">
      <c r="A1162" s="5" t="s">
        <v>3059</v>
      </c>
      <c r="B1162" s="5" t="s">
        <v>1549</v>
      </c>
      <c r="C1162" s="5" t="s">
        <v>108</v>
      </c>
      <c r="D1162" s="5" t="s">
        <v>20</v>
      </c>
      <c r="E1162" s="6" t="str">
        <f t="array" ref="E1162">IFERROR(INDEX(Airlines!$B:$B,MATCH(D1162,Airlines!$A:$A,0)),"")</f>
        <v>Vistara</v>
      </c>
      <c r="F1162" s="6" t="str">
        <f>VLOOKUP(A1162,Bookings!$A:$F,6,FALSE())</f>
        <v>Business</v>
      </c>
      <c r="G1162" s="6" t="str">
        <f t="array" ref="G1162">IFERROR(INDEX(Flights!$E:$E,MATCH(B1162,Flights!$A:$A,0)),"")</f>
        <v>Delhi</v>
      </c>
      <c r="H1162" s="6" t="str">
        <f>VLOOKUP(B1162,Flights!A:H,6,FALSE())</f>
        <v>Bengaluru</v>
      </c>
      <c r="I1162" s="6" t="str">
        <f t="array" ref="I1162">IFERROR(INDEX(Bookings!$G:$G,MATCH(B1162,Bookings!$B:$B,0)),"")</f>
        <v>1</v>
      </c>
      <c r="J1162" s="5">
        <f>VLOOKUP(B1162,Bookings!B:H,7,FALSE())</f>
        <v>18</v>
      </c>
      <c r="K1162" s="5" t="str">
        <f t="shared" si="1"/>
        <v>Long</v>
      </c>
      <c r="L1162" s="11">
        <f t="array" ref="L1162">IFERROR(INDEX(Bookings!$K:$K,MATCH(A1162,Bookings!$A:$A,0)),"")</f>
        <v>50297</v>
      </c>
      <c r="M1162" s="5" t="str">
        <f t="shared" si="2"/>
        <v>High</v>
      </c>
      <c r="N1162" s="5">
        <f t="array" ref="N1162">IFERROR(INDEX(Bookings!$I:$I,MATCH(A1162,Bookings!$A:$A,0)),"")</f>
        <v>16</v>
      </c>
      <c r="O1162" s="5" t="str">
        <f t="shared" si="3"/>
        <v>Moderate</v>
      </c>
      <c r="P1162" s="5" t="str">
        <f t="shared" si="4"/>
        <v>Delhi -&gt; Bengaluru</v>
      </c>
    </row>
    <row r="1163" ht="15.75" customHeight="1">
      <c r="A1163" s="5" t="s">
        <v>3060</v>
      </c>
      <c r="B1163" s="5" t="s">
        <v>2620</v>
      </c>
      <c r="C1163" s="5" t="s">
        <v>131</v>
      </c>
      <c r="D1163" s="5" t="s">
        <v>20</v>
      </c>
      <c r="E1163" s="6" t="str">
        <f t="array" ref="E1163">IFERROR(INDEX(Airlines!$B:$B,MATCH(D1163,Airlines!$A:$A,0)),"")</f>
        <v>Vistara</v>
      </c>
      <c r="F1163" s="6" t="str">
        <f>VLOOKUP(A1163,Bookings!$A:$F,6,FALSE())</f>
        <v>Business</v>
      </c>
      <c r="G1163" s="6" t="str">
        <f t="array" ref="G1163">IFERROR(INDEX(Flights!$E:$E,MATCH(B1163,Flights!$A:$A,0)),"")</f>
        <v>Delhi</v>
      </c>
      <c r="H1163" s="6" t="str">
        <f>VLOOKUP(B1163,Flights!A:H,6,FALSE())</f>
        <v>Kolkata</v>
      </c>
      <c r="I1163" s="6" t="str">
        <f t="array" ref="I1163">IFERROR(INDEX(Bookings!$G:$G,MATCH(B1163,Bookings!$B:$B,0)),"")</f>
        <v>1</v>
      </c>
      <c r="J1163" s="5">
        <f>VLOOKUP(B1163,Bookings!B:H,7,FALSE())</f>
        <v>16.08</v>
      </c>
      <c r="K1163" s="5" t="str">
        <f t="shared" si="1"/>
        <v>Long</v>
      </c>
      <c r="L1163" s="11">
        <f t="array" ref="L1163">IFERROR(INDEX(Bookings!$K:$K,MATCH(A1163,Bookings!$A:$A,0)),"")</f>
        <v>41897</v>
      </c>
      <c r="M1163" s="5" t="str">
        <f t="shared" si="2"/>
        <v>High</v>
      </c>
      <c r="N1163" s="5">
        <f t="array" ref="N1163">IFERROR(INDEX(Bookings!$I:$I,MATCH(A1163,Bookings!$A:$A,0)),"")</f>
        <v>2</v>
      </c>
      <c r="O1163" s="5" t="str">
        <f t="shared" si="3"/>
        <v>Last Minute</v>
      </c>
      <c r="P1163" s="5" t="str">
        <f t="shared" si="4"/>
        <v>Delhi -&gt; Kolkata</v>
      </c>
    </row>
    <row r="1164" ht="15.75" customHeight="1">
      <c r="A1164" s="5" t="s">
        <v>3061</v>
      </c>
      <c r="B1164" s="5" t="s">
        <v>2625</v>
      </c>
      <c r="C1164" s="5" t="s">
        <v>131</v>
      </c>
      <c r="D1164" s="5" t="s">
        <v>45</v>
      </c>
      <c r="E1164" s="6" t="str">
        <f t="array" ref="E1164">IFERROR(INDEX(Airlines!$B:$B,MATCH(D1164,Airlines!$A:$A,0)),"")</f>
        <v>Air_India</v>
      </c>
      <c r="F1164" s="6" t="str">
        <f>VLOOKUP(A1164,Bookings!$A:$F,6,FALSE())</f>
        <v>Business</v>
      </c>
      <c r="G1164" s="6" t="str">
        <f t="array" ref="G1164">IFERROR(INDEX(Flights!$E:$E,MATCH(B1164,Flights!$A:$A,0)),"")</f>
        <v>Delhi</v>
      </c>
      <c r="H1164" s="6" t="str">
        <f>VLOOKUP(B1164,Flights!A:H,6,FALSE())</f>
        <v>Kolkata</v>
      </c>
      <c r="I1164" s="6" t="str">
        <f t="array" ref="I1164">IFERROR(INDEX(Bookings!$G:$G,MATCH(B1164,Bookings!$B:$B,0)),"")</f>
        <v>1</v>
      </c>
      <c r="J1164" s="5">
        <f>VLOOKUP(B1164,Bookings!B:H,7,FALSE())</f>
        <v>27.33</v>
      </c>
      <c r="K1164" s="5" t="str">
        <f t="shared" si="1"/>
        <v>Long</v>
      </c>
      <c r="L1164" s="11">
        <f t="array" ref="L1164">IFERROR(INDEX(Bookings!$K:$K,MATCH(A1164,Bookings!$A:$A,0)),"")</f>
        <v>41118</v>
      </c>
      <c r="M1164" s="5" t="str">
        <f t="shared" si="2"/>
        <v>High</v>
      </c>
      <c r="N1164" s="5">
        <f t="array" ref="N1164">IFERROR(INDEX(Bookings!$I:$I,MATCH(A1164,Bookings!$A:$A,0)),"")</f>
        <v>18</v>
      </c>
      <c r="O1164" s="5" t="str">
        <f t="shared" si="3"/>
        <v>Moderate</v>
      </c>
      <c r="P1164" s="5" t="str">
        <f t="shared" si="4"/>
        <v>Delhi -&gt; Kolkata</v>
      </c>
    </row>
    <row r="1165" ht="15.75" customHeight="1">
      <c r="A1165" s="5" t="s">
        <v>3062</v>
      </c>
      <c r="B1165" s="5" t="s">
        <v>2819</v>
      </c>
      <c r="C1165" s="5" t="s">
        <v>152</v>
      </c>
      <c r="D1165" s="5" t="s">
        <v>20</v>
      </c>
      <c r="E1165" s="6" t="str">
        <f t="array" ref="E1165">IFERROR(INDEX(Airlines!$B:$B,MATCH(D1165,Airlines!$A:$A,0)),"")</f>
        <v>Vistara</v>
      </c>
      <c r="F1165" s="6" t="str">
        <f>VLOOKUP(A1165,Bookings!$A:$F,6,FALSE())</f>
        <v>Business</v>
      </c>
      <c r="G1165" s="6" t="str">
        <f t="array" ref="G1165">IFERROR(INDEX(Flights!$E:$E,MATCH(B1165,Flights!$A:$A,0)),"")</f>
        <v>Delhi</v>
      </c>
      <c r="H1165" s="6" t="str">
        <f>VLOOKUP(B1165,Flights!A:H,6,FALSE())</f>
        <v>Hyderabad</v>
      </c>
      <c r="I1165" s="6" t="str">
        <f t="array" ref="I1165">IFERROR(INDEX(Bookings!$G:$G,MATCH(B1165,Bookings!$B:$B,0)),"")</f>
        <v>1</v>
      </c>
      <c r="J1165" s="5">
        <f>VLOOKUP(B1165,Bookings!B:H,7,FALSE())</f>
        <v>24.33</v>
      </c>
      <c r="K1165" s="5" t="str">
        <f t="shared" si="1"/>
        <v>Long</v>
      </c>
      <c r="L1165" s="11">
        <f t="array" ref="L1165">IFERROR(INDEX(Bookings!$K:$K,MATCH(A1165,Bookings!$A:$A,0)),"")</f>
        <v>53937</v>
      </c>
      <c r="M1165" s="5" t="str">
        <f t="shared" si="2"/>
        <v>High</v>
      </c>
      <c r="N1165" s="5">
        <f t="array" ref="N1165">IFERROR(INDEX(Bookings!$I:$I,MATCH(A1165,Bookings!$A:$A,0)),"")</f>
        <v>5</v>
      </c>
      <c r="O1165" s="5" t="str">
        <f t="shared" si="3"/>
        <v>Last Minute</v>
      </c>
      <c r="P1165" s="5" t="str">
        <f t="shared" si="4"/>
        <v>Delhi -&gt; Hyderabad</v>
      </c>
    </row>
    <row r="1166" ht="15.75" customHeight="1">
      <c r="A1166" s="5" t="s">
        <v>3063</v>
      </c>
      <c r="B1166" s="5" t="s">
        <v>2883</v>
      </c>
      <c r="C1166" s="5" t="s">
        <v>174</v>
      </c>
      <c r="D1166" s="5" t="s">
        <v>20</v>
      </c>
      <c r="E1166" s="6" t="str">
        <f t="array" ref="E1166">IFERROR(INDEX(Airlines!$B:$B,MATCH(D1166,Airlines!$A:$A,0)),"")</f>
        <v>Vistara</v>
      </c>
      <c r="F1166" s="6" t="str">
        <f>VLOOKUP(A1166,Bookings!$A:$F,6,FALSE())</f>
        <v>Business</v>
      </c>
      <c r="G1166" s="6" t="str">
        <f t="array" ref="G1166">IFERROR(INDEX(Flights!$E:$E,MATCH(B1166,Flights!$A:$A,0)),"")</f>
        <v>Delhi</v>
      </c>
      <c r="H1166" s="6" t="str">
        <f>VLOOKUP(B1166,Flights!A:H,6,FALSE())</f>
        <v>Chennai</v>
      </c>
      <c r="I1166" s="6" t="str">
        <f t="array" ref="I1166">IFERROR(INDEX(Bookings!$G:$G,MATCH(B1166,Bookings!$B:$B,0)),"")</f>
        <v>1</v>
      </c>
      <c r="J1166" s="5">
        <f>VLOOKUP(B1166,Bookings!B:H,7,FALSE())</f>
        <v>24</v>
      </c>
      <c r="K1166" s="5" t="str">
        <f t="shared" si="1"/>
        <v>Long</v>
      </c>
      <c r="L1166" s="11">
        <f t="array" ref="L1166">IFERROR(INDEX(Bookings!$K:$K,MATCH(A1166,Bookings!$A:$A,0)),"")</f>
        <v>60232</v>
      </c>
      <c r="M1166" s="5" t="str">
        <f t="shared" si="2"/>
        <v>High</v>
      </c>
      <c r="N1166" s="5">
        <f t="array" ref="N1166">IFERROR(INDEX(Bookings!$I:$I,MATCH(A1166,Bookings!$A:$A,0)),"")</f>
        <v>4</v>
      </c>
      <c r="O1166" s="5" t="str">
        <f t="shared" si="3"/>
        <v>Last Minute</v>
      </c>
      <c r="P1166" s="5" t="str">
        <f t="shared" si="4"/>
        <v>Delhi -&gt; Chennai</v>
      </c>
    </row>
    <row r="1167" ht="15.75" customHeight="1">
      <c r="A1167" s="5" t="s">
        <v>3065</v>
      </c>
      <c r="B1167" s="5" t="s">
        <v>2891</v>
      </c>
      <c r="C1167" s="5" t="s">
        <v>174</v>
      </c>
      <c r="D1167" s="5" t="s">
        <v>20</v>
      </c>
      <c r="E1167" s="6" t="str">
        <f t="array" ref="E1167">IFERROR(INDEX(Airlines!$B:$B,MATCH(D1167,Airlines!$A:$A,0)),"")</f>
        <v>Vistara</v>
      </c>
      <c r="F1167" s="6" t="str">
        <f>VLOOKUP(A1167,Bookings!$A:$F,6,FALSE())</f>
        <v>Business</v>
      </c>
      <c r="G1167" s="6" t="str">
        <f t="array" ref="G1167">IFERROR(INDEX(Flights!$E:$E,MATCH(B1167,Flights!$A:$A,0)),"")</f>
        <v>Delhi</v>
      </c>
      <c r="H1167" s="6" t="str">
        <f>VLOOKUP(B1167,Flights!A:H,6,FALSE())</f>
        <v>Chennai</v>
      </c>
      <c r="I1167" s="6" t="str">
        <f t="array" ref="I1167">IFERROR(INDEX(Bookings!$G:$G,MATCH(B1167,Bookings!$B:$B,0)),"")</f>
        <v>2+</v>
      </c>
      <c r="J1167" s="5">
        <f>VLOOKUP(B1167,Bookings!B:H,7,FALSE())</f>
        <v>15.17</v>
      </c>
      <c r="K1167" s="5" t="str">
        <f t="shared" si="1"/>
        <v>Long</v>
      </c>
      <c r="L1167" s="11">
        <f t="array" ref="L1167">IFERROR(INDEX(Bookings!$K:$K,MATCH(A1167,Bookings!$A:$A,0)),"")</f>
        <v>64801</v>
      </c>
      <c r="M1167" s="5" t="str">
        <f t="shared" si="2"/>
        <v>High</v>
      </c>
      <c r="N1167" s="5">
        <f t="array" ref="N1167">IFERROR(INDEX(Bookings!$I:$I,MATCH(A1167,Bookings!$A:$A,0)),"")</f>
        <v>4</v>
      </c>
      <c r="O1167" s="5" t="str">
        <f t="shared" si="3"/>
        <v>Last Minute</v>
      </c>
      <c r="P1167" s="5" t="str">
        <f t="shared" si="4"/>
        <v>Delhi -&gt; Chennai</v>
      </c>
    </row>
    <row r="1168" ht="15.75" customHeight="1">
      <c r="A1168" s="5" t="s">
        <v>3066</v>
      </c>
      <c r="B1168" s="5" t="s">
        <v>2939</v>
      </c>
      <c r="C1168" s="5" t="s">
        <v>195</v>
      </c>
      <c r="D1168" s="5" t="s">
        <v>45</v>
      </c>
      <c r="E1168" s="6" t="str">
        <f t="array" ref="E1168">IFERROR(INDEX(Airlines!$B:$B,MATCH(D1168,Airlines!$A:$A,0)),"")</f>
        <v>Air_India</v>
      </c>
      <c r="F1168" s="6" t="str">
        <f>VLOOKUP(A1168,Bookings!$A:$F,6,FALSE())</f>
        <v>Business</v>
      </c>
      <c r="G1168" s="6" t="str">
        <f t="array" ref="G1168">IFERROR(INDEX(Flights!$E:$E,MATCH(B1168,Flights!$A:$A,0)),"")</f>
        <v>Mumbai</v>
      </c>
      <c r="H1168" s="6" t="str">
        <f>VLOOKUP(B1168,Flights!A:H,6,FALSE())</f>
        <v>Delhi</v>
      </c>
      <c r="I1168" s="6" t="str">
        <f t="array" ref="I1168">IFERROR(INDEX(Bookings!$G:$G,MATCH(B1168,Bookings!$B:$B,0)),"")</f>
        <v>1</v>
      </c>
      <c r="J1168" s="5">
        <f>VLOOKUP(B1168,Bookings!B:H,7,FALSE())</f>
        <v>27.5</v>
      </c>
      <c r="K1168" s="5" t="str">
        <f t="shared" si="1"/>
        <v>Long</v>
      </c>
      <c r="L1168" s="11">
        <f t="array" ref="L1168">IFERROR(INDEX(Bookings!$K:$K,MATCH(A1168,Bookings!$A:$A,0)),"")</f>
        <v>56069</v>
      </c>
      <c r="M1168" s="5" t="str">
        <f t="shared" si="2"/>
        <v>High</v>
      </c>
      <c r="N1168" s="5">
        <f t="array" ref="N1168">IFERROR(INDEX(Bookings!$I:$I,MATCH(A1168,Bookings!$A:$A,0)),"")</f>
        <v>2</v>
      </c>
      <c r="O1168" s="5" t="str">
        <f t="shared" si="3"/>
        <v>Last Minute</v>
      </c>
      <c r="P1168" s="5" t="str">
        <f t="shared" si="4"/>
        <v>Mumbai -&gt; Delhi</v>
      </c>
    </row>
    <row r="1169" ht="15.75" customHeight="1">
      <c r="A1169" s="5" t="s">
        <v>3068</v>
      </c>
      <c r="B1169" s="5" t="s">
        <v>2953</v>
      </c>
      <c r="C1169" s="5" t="s">
        <v>220</v>
      </c>
      <c r="D1169" s="5" t="s">
        <v>20</v>
      </c>
      <c r="E1169" s="6" t="str">
        <f t="array" ref="E1169">IFERROR(INDEX(Airlines!$B:$B,MATCH(D1169,Airlines!$A:$A,0)),"")</f>
        <v>Vistara</v>
      </c>
      <c r="F1169" s="6" t="str">
        <f>VLOOKUP(A1169,Bookings!$A:$F,6,FALSE())</f>
        <v>Business</v>
      </c>
      <c r="G1169" s="6" t="str">
        <f t="array" ref="G1169">IFERROR(INDEX(Flights!$E:$E,MATCH(B1169,Flights!$A:$A,0)),"")</f>
        <v>Mumbai</v>
      </c>
      <c r="H1169" s="6" t="str">
        <f>VLOOKUP(B1169,Flights!A:H,6,FALSE())</f>
        <v>Bengaluru</v>
      </c>
      <c r="I1169" s="6" t="str">
        <f t="array" ref="I1169">IFERROR(INDEX(Bookings!$G:$G,MATCH(B1169,Bookings!$B:$B,0)),"")</f>
        <v>1</v>
      </c>
      <c r="J1169" s="5">
        <f>VLOOKUP(B1169,Bookings!B:H,7,FALSE())</f>
        <v>12.08</v>
      </c>
      <c r="K1169" s="5" t="str">
        <f t="shared" si="1"/>
        <v>Long</v>
      </c>
      <c r="L1169" s="11">
        <f t="array" ref="L1169">IFERROR(INDEX(Bookings!$K:$K,MATCH(A1169,Bookings!$A:$A,0)),"")</f>
        <v>74880</v>
      </c>
      <c r="M1169" s="5" t="str">
        <f t="shared" si="2"/>
        <v>High</v>
      </c>
      <c r="N1169" s="5">
        <f t="array" ref="N1169">IFERROR(INDEX(Bookings!$I:$I,MATCH(A1169,Bookings!$A:$A,0)),"")</f>
        <v>46</v>
      </c>
      <c r="O1169" s="5" t="str">
        <f t="shared" si="3"/>
        <v>Advance</v>
      </c>
      <c r="P1169" s="5" t="str">
        <f t="shared" si="4"/>
        <v>Mumbai -&gt; Bengaluru</v>
      </c>
    </row>
    <row r="1170" ht="15.75" customHeight="1">
      <c r="A1170" s="5" t="s">
        <v>3070</v>
      </c>
      <c r="B1170" s="5" t="s">
        <v>309</v>
      </c>
      <c r="C1170" s="5" t="s">
        <v>288</v>
      </c>
      <c r="D1170" s="5" t="s">
        <v>20</v>
      </c>
      <c r="E1170" s="6" t="str">
        <f t="array" ref="E1170">IFERROR(INDEX(Airlines!$B:$B,MATCH(D1170,Airlines!$A:$A,0)),"")</f>
        <v>Vistara</v>
      </c>
      <c r="F1170" s="6" t="str">
        <f>VLOOKUP(A1170,Bookings!$A:$F,6,FALSE())</f>
        <v>Business</v>
      </c>
      <c r="G1170" s="6" t="str">
        <f t="array" ref="G1170">IFERROR(INDEX(Flights!$E:$E,MATCH(B1170,Flights!$A:$A,0)),"")</f>
        <v>Bengaluru</v>
      </c>
      <c r="H1170" s="6" t="str">
        <f>VLOOKUP(B1170,Flights!A:H,6,FALSE())</f>
        <v>Delhi</v>
      </c>
      <c r="I1170" s="6" t="str">
        <f t="array" ref="I1170">IFERROR(INDEX(Bookings!$G:$G,MATCH(B1170,Bookings!$B:$B,0)),"")</f>
        <v>1</v>
      </c>
      <c r="J1170" s="5">
        <f>VLOOKUP(B1170,Bookings!B:H,7,FALSE())</f>
        <v>20.83</v>
      </c>
      <c r="K1170" s="5" t="str">
        <f t="shared" si="1"/>
        <v>Long</v>
      </c>
      <c r="L1170" s="11">
        <f t="array" ref="L1170">IFERROR(INDEX(Bookings!$K:$K,MATCH(A1170,Bookings!$A:$A,0)),"")</f>
        <v>66411</v>
      </c>
      <c r="M1170" s="5" t="str">
        <f t="shared" si="2"/>
        <v>High</v>
      </c>
      <c r="N1170" s="5">
        <f t="array" ref="N1170">IFERROR(INDEX(Bookings!$I:$I,MATCH(A1170,Bookings!$A:$A,0)),"")</f>
        <v>1</v>
      </c>
      <c r="O1170" s="5" t="str">
        <f t="shared" si="3"/>
        <v>Last Minute</v>
      </c>
      <c r="P1170" s="5" t="str">
        <f t="shared" si="4"/>
        <v>Bengaluru -&gt; Delhi</v>
      </c>
    </row>
    <row r="1171" ht="15.75" customHeight="1">
      <c r="A1171" s="5" t="s">
        <v>3071</v>
      </c>
      <c r="B1171" s="5" t="s">
        <v>501</v>
      </c>
      <c r="C1171" s="5" t="s">
        <v>361</v>
      </c>
      <c r="D1171" s="5" t="s">
        <v>20</v>
      </c>
      <c r="E1171" s="6" t="str">
        <f t="array" ref="E1171">IFERROR(INDEX(Airlines!$B:$B,MATCH(D1171,Airlines!$A:$A,0)),"")</f>
        <v>Vistara</v>
      </c>
      <c r="F1171" s="6" t="str">
        <f>VLOOKUP(A1171,Bookings!$A:$F,6,FALSE())</f>
        <v>Business</v>
      </c>
      <c r="G1171" s="6" t="str">
        <f t="array" ref="G1171">IFERROR(INDEX(Flights!$E:$E,MATCH(B1171,Flights!$A:$A,0)),"")</f>
        <v>Bengaluru</v>
      </c>
      <c r="H1171" s="6" t="str">
        <f>VLOOKUP(B1171,Flights!A:H,6,FALSE())</f>
        <v>Mumbai</v>
      </c>
      <c r="I1171" s="6" t="str">
        <f t="array" ref="I1171">IFERROR(INDEX(Bookings!$G:$G,MATCH(B1171,Bookings!$B:$B,0)),"")</f>
        <v>1</v>
      </c>
      <c r="J1171" s="5">
        <f>VLOOKUP(B1171,Bookings!B:H,7,FALSE())</f>
        <v>27.17</v>
      </c>
      <c r="K1171" s="5" t="str">
        <f t="shared" si="1"/>
        <v>Long</v>
      </c>
      <c r="L1171" s="11">
        <f t="array" ref="L1171">IFERROR(INDEX(Bookings!$K:$K,MATCH(A1171,Bookings!$A:$A,0)),"")</f>
        <v>83916</v>
      </c>
      <c r="M1171" s="5" t="str">
        <f t="shared" si="2"/>
        <v>High</v>
      </c>
      <c r="N1171" s="5">
        <f t="array" ref="N1171">IFERROR(INDEX(Bookings!$I:$I,MATCH(A1171,Bookings!$A:$A,0)),"")</f>
        <v>3</v>
      </c>
      <c r="O1171" s="5" t="str">
        <f t="shared" si="3"/>
        <v>Last Minute</v>
      </c>
      <c r="P1171" s="5" t="str">
        <f t="shared" si="4"/>
        <v>Bengaluru -&gt; Mumbai</v>
      </c>
    </row>
    <row r="1172" ht="15.75" customHeight="1">
      <c r="A1172" s="5" t="s">
        <v>3074</v>
      </c>
      <c r="B1172" s="5" t="s">
        <v>575</v>
      </c>
      <c r="C1172" s="5" t="s">
        <v>392</v>
      </c>
      <c r="D1172" s="5" t="s">
        <v>45</v>
      </c>
      <c r="E1172" s="6" t="str">
        <f t="array" ref="E1172">IFERROR(INDEX(Airlines!$B:$B,MATCH(D1172,Airlines!$A:$A,0)),"")</f>
        <v>Air_India</v>
      </c>
      <c r="F1172" s="6" t="str">
        <f>VLOOKUP(A1172,Bookings!$A:$F,6,FALSE())</f>
        <v>Business</v>
      </c>
      <c r="G1172" s="6" t="str">
        <f t="array" ref="G1172">IFERROR(INDEX(Flights!$E:$E,MATCH(B1172,Flights!$A:$A,0)),"")</f>
        <v>Bengaluru</v>
      </c>
      <c r="H1172" s="6" t="str">
        <f>VLOOKUP(B1172,Flights!A:H,6,FALSE())</f>
        <v>Kolkata</v>
      </c>
      <c r="I1172" s="6" t="str">
        <f t="array" ref="I1172">IFERROR(INDEX(Bookings!$G:$G,MATCH(B1172,Bookings!$B:$B,0)),"")</f>
        <v>1</v>
      </c>
      <c r="J1172" s="5">
        <f>VLOOKUP(B1172,Bookings!B:H,7,FALSE())</f>
        <v>28.08</v>
      </c>
      <c r="K1172" s="5" t="str">
        <f t="shared" si="1"/>
        <v>Long</v>
      </c>
      <c r="L1172" s="11">
        <f t="array" ref="L1172">IFERROR(INDEX(Bookings!$K:$K,MATCH(A1172,Bookings!$A:$A,0)),"")</f>
        <v>61628</v>
      </c>
      <c r="M1172" s="5" t="str">
        <f t="shared" si="2"/>
        <v>High</v>
      </c>
      <c r="N1172" s="5">
        <f t="array" ref="N1172">IFERROR(INDEX(Bookings!$I:$I,MATCH(A1172,Bookings!$A:$A,0)),"")</f>
        <v>3</v>
      </c>
      <c r="O1172" s="5" t="str">
        <f t="shared" si="3"/>
        <v>Last Minute</v>
      </c>
      <c r="P1172" s="5" t="str">
        <f t="shared" si="4"/>
        <v>Bengaluru -&gt; Kolkata</v>
      </c>
    </row>
    <row r="1173" ht="15.75" customHeight="1">
      <c r="A1173" s="5" t="s">
        <v>3075</v>
      </c>
      <c r="B1173" s="5" t="s">
        <v>571</v>
      </c>
      <c r="C1173" s="5" t="s">
        <v>392</v>
      </c>
      <c r="D1173" s="5" t="s">
        <v>20</v>
      </c>
      <c r="E1173" s="6" t="str">
        <f t="array" ref="E1173">IFERROR(INDEX(Airlines!$B:$B,MATCH(D1173,Airlines!$A:$A,0)),"")</f>
        <v>Vistara</v>
      </c>
      <c r="F1173" s="6" t="str">
        <f>VLOOKUP(A1173,Bookings!$A:$F,6,FALSE())</f>
        <v>Business</v>
      </c>
      <c r="G1173" s="6" t="str">
        <f t="array" ref="G1173">IFERROR(INDEX(Flights!$E:$E,MATCH(B1173,Flights!$A:$A,0)),"")</f>
        <v>Bengaluru</v>
      </c>
      <c r="H1173" s="6" t="str">
        <f>VLOOKUP(B1173,Flights!A:H,6,FALSE())</f>
        <v>Kolkata</v>
      </c>
      <c r="I1173" s="6" t="str">
        <f t="array" ref="I1173">IFERROR(INDEX(Bookings!$G:$G,MATCH(B1173,Bookings!$B:$B,0)),"")</f>
        <v>1</v>
      </c>
      <c r="J1173" s="5">
        <f>VLOOKUP(B1173,Bookings!B:H,7,FALSE())</f>
        <v>13.75</v>
      </c>
      <c r="K1173" s="5" t="str">
        <f t="shared" si="1"/>
        <v>Long</v>
      </c>
      <c r="L1173" s="11">
        <f t="array" ref="L1173">IFERROR(INDEX(Bookings!$K:$K,MATCH(A1173,Bookings!$A:$A,0)),"")</f>
        <v>73388</v>
      </c>
      <c r="M1173" s="5" t="str">
        <f t="shared" si="2"/>
        <v>High</v>
      </c>
      <c r="N1173" s="5">
        <f t="array" ref="N1173">IFERROR(INDEX(Bookings!$I:$I,MATCH(A1173,Bookings!$A:$A,0)),"")</f>
        <v>3</v>
      </c>
      <c r="O1173" s="5" t="str">
        <f t="shared" si="3"/>
        <v>Last Minute</v>
      </c>
      <c r="P1173" s="5" t="str">
        <f t="shared" si="4"/>
        <v>Bengaluru -&gt; Kolkata</v>
      </c>
    </row>
    <row r="1174" ht="15.75" customHeight="1">
      <c r="A1174" s="5" t="s">
        <v>3076</v>
      </c>
      <c r="B1174" s="5" t="s">
        <v>742</v>
      </c>
      <c r="C1174" s="5" t="s">
        <v>423</v>
      </c>
      <c r="D1174" s="5" t="s">
        <v>45</v>
      </c>
      <c r="E1174" s="6" t="str">
        <f t="array" ref="E1174">IFERROR(INDEX(Airlines!$B:$B,MATCH(D1174,Airlines!$A:$A,0)),"")</f>
        <v>Air_India</v>
      </c>
      <c r="F1174" s="6" t="str">
        <f>VLOOKUP(A1174,Bookings!$A:$F,6,FALSE())</f>
        <v>Business</v>
      </c>
      <c r="G1174" s="6" t="str">
        <f t="array" ref="G1174">IFERROR(INDEX(Flights!$E:$E,MATCH(B1174,Flights!$A:$A,0)),"")</f>
        <v>Bengaluru</v>
      </c>
      <c r="H1174" s="6" t="str">
        <f>VLOOKUP(B1174,Flights!A:H,6,FALSE())</f>
        <v>Hyderabad</v>
      </c>
      <c r="I1174" s="6" t="str">
        <f t="array" ref="I1174">IFERROR(INDEX(Bookings!$G:$G,MATCH(B1174,Bookings!$B:$B,0)),"")</f>
        <v>1</v>
      </c>
      <c r="J1174" s="5">
        <f>VLOOKUP(B1174,Bookings!B:H,7,FALSE())</f>
        <v>24.08</v>
      </c>
      <c r="K1174" s="5" t="str">
        <f t="shared" si="1"/>
        <v>Long</v>
      </c>
      <c r="L1174" s="11">
        <f t="array" ref="L1174">IFERROR(INDEX(Bookings!$K:$K,MATCH(A1174,Bookings!$A:$A,0)),"")</f>
        <v>57596</v>
      </c>
      <c r="M1174" s="5" t="str">
        <f t="shared" si="2"/>
        <v>High</v>
      </c>
      <c r="N1174" s="5">
        <f t="array" ref="N1174">IFERROR(INDEX(Bookings!$I:$I,MATCH(A1174,Bookings!$A:$A,0)),"")</f>
        <v>3</v>
      </c>
      <c r="O1174" s="5" t="str">
        <f t="shared" si="3"/>
        <v>Last Minute</v>
      </c>
      <c r="P1174" s="5" t="str">
        <f t="shared" si="4"/>
        <v>Bengaluru -&gt; Hyderabad</v>
      </c>
    </row>
    <row r="1175" ht="15.75" customHeight="1">
      <c r="A1175" s="5" t="s">
        <v>3077</v>
      </c>
      <c r="B1175" s="5" t="s">
        <v>1237</v>
      </c>
      <c r="C1175" s="5" t="s">
        <v>504</v>
      </c>
      <c r="D1175" s="5" t="s">
        <v>45</v>
      </c>
      <c r="E1175" s="6" t="str">
        <f t="array" ref="E1175">IFERROR(INDEX(Airlines!$B:$B,MATCH(D1175,Airlines!$A:$A,0)),"")</f>
        <v>Air_India</v>
      </c>
      <c r="F1175" s="6" t="str">
        <f>VLOOKUP(A1175,Bookings!$A:$F,6,FALSE())</f>
        <v>Business</v>
      </c>
      <c r="G1175" s="6" t="str">
        <f t="array" ref="G1175">IFERROR(INDEX(Flights!$E:$E,MATCH(B1175,Flights!$A:$A,0)),"")</f>
        <v>Kolkata</v>
      </c>
      <c r="H1175" s="6" t="str">
        <f>VLOOKUP(B1175,Flights!A:H,6,FALSE())</f>
        <v>Mumbai</v>
      </c>
      <c r="I1175" s="6" t="str">
        <f t="array" ref="I1175">IFERROR(INDEX(Bookings!$G:$G,MATCH(B1175,Bookings!$B:$B,0)),"")</f>
        <v>1</v>
      </c>
      <c r="J1175" s="5">
        <f>VLOOKUP(B1175,Bookings!B:H,7,FALSE())</f>
        <v>24.83</v>
      </c>
      <c r="K1175" s="5" t="str">
        <f t="shared" si="1"/>
        <v>Long</v>
      </c>
      <c r="L1175" s="11">
        <f t="array" ref="L1175">IFERROR(INDEX(Bookings!$K:$K,MATCH(A1175,Bookings!$A:$A,0)),"")</f>
        <v>7336</v>
      </c>
      <c r="M1175" s="5" t="str">
        <f t="shared" si="2"/>
        <v>Medium</v>
      </c>
      <c r="N1175" s="5">
        <f t="array" ref="N1175">IFERROR(INDEX(Bookings!$I:$I,MATCH(A1175,Bookings!$A:$A,0)),"")</f>
        <v>3</v>
      </c>
      <c r="O1175" s="5" t="str">
        <f t="shared" si="3"/>
        <v>Last Minute</v>
      </c>
      <c r="P1175" s="5" t="str">
        <f t="shared" si="4"/>
        <v>Kolkata -&gt; Mumbai</v>
      </c>
    </row>
    <row r="1176" ht="15.75" customHeight="1">
      <c r="A1176" s="5" t="s">
        <v>3079</v>
      </c>
      <c r="B1176" s="5" t="s">
        <v>1148</v>
      </c>
      <c r="C1176" s="5" t="s">
        <v>504</v>
      </c>
      <c r="D1176" s="5" t="s">
        <v>20</v>
      </c>
      <c r="E1176" s="6" t="str">
        <f t="array" ref="E1176">IFERROR(INDEX(Airlines!$B:$B,MATCH(D1176,Airlines!$A:$A,0)),"")</f>
        <v>Vistara</v>
      </c>
      <c r="F1176" s="6" t="str">
        <f>VLOOKUP(A1176,Bookings!$A:$F,6,FALSE())</f>
        <v>Business</v>
      </c>
      <c r="G1176" s="6" t="str">
        <f t="array" ref="G1176">IFERROR(INDEX(Flights!$E:$E,MATCH(B1176,Flights!$A:$A,0)),"")</f>
        <v>Kolkata</v>
      </c>
      <c r="H1176" s="6" t="str">
        <f>VLOOKUP(B1176,Flights!A:H,6,FALSE())</f>
        <v>Mumbai</v>
      </c>
      <c r="I1176" s="6" t="str">
        <f t="array" ref="I1176">IFERROR(INDEX(Bookings!$G:$G,MATCH(B1176,Bookings!$B:$B,0)),"")</f>
        <v>2+</v>
      </c>
      <c r="J1176" s="5">
        <f>VLOOKUP(B1176,Bookings!B:H,7,FALSE())</f>
        <v>9.33</v>
      </c>
      <c r="K1176" s="5" t="str">
        <f t="shared" si="1"/>
        <v>Medium</v>
      </c>
      <c r="L1176" s="11">
        <f t="array" ref="L1176">IFERROR(INDEX(Bookings!$K:$K,MATCH(A1176,Bookings!$A:$A,0)),"")</f>
        <v>65167</v>
      </c>
      <c r="M1176" s="5" t="str">
        <f t="shared" si="2"/>
        <v>High</v>
      </c>
      <c r="N1176" s="5">
        <f t="array" ref="N1176">IFERROR(INDEX(Bookings!$I:$I,MATCH(A1176,Bookings!$A:$A,0)),"")</f>
        <v>4</v>
      </c>
      <c r="O1176" s="5" t="str">
        <f t="shared" si="3"/>
        <v>Last Minute</v>
      </c>
      <c r="P1176" s="5" t="str">
        <f t="shared" si="4"/>
        <v>Kolkata -&gt; Mumbai</v>
      </c>
    </row>
    <row r="1177" ht="15.75" customHeight="1">
      <c r="A1177" s="5" t="s">
        <v>3081</v>
      </c>
      <c r="B1177" s="5" t="s">
        <v>1193</v>
      </c>
      <c r="C1177" s="5" t="s">
        <v>504</v>
      </c>
      <c r="D1177" s="5" t="s">
        <v>20</v>
      </c>
      <c r="E1177" s="6" t="str">
        <f t="array" ref="E1177">IFERROR(INDEX(Airlines!$B:$B,MATCH(D1177,Airlines!$A:$A,0)),"")</f>
        <v>Vistara</v>
      </c>
      <c r="F1177" s="6" t="str">
        <f>VLOOKUP(A1177,Bookings!$A:$F,6,FALSE())</f>
        <v>Business</v>
      </c>
      <c r="G1177" s="6" t="str">
        <f t="array" ref="G1177">IFERROR(INDEX(Flights!$E:$E,MATCH(B1177,Flights!$A:$A,0)),"")</f>
        <v>Kolkata</v>
      </c>
      <c r="H1177" s="6" t="str">
        <f>VLOOKUP(B1177,Flights!A:H,6,FALSE())</f>
        <v>Mumbai</v>
      </c>
      <c r="I1177" s="6" t="str">
        <f t="array" ref="I1177">IFERROR(INDEX(Bookings!$G:$G,MATCH(B1177,Bookings!$B:$B,0)),"")</f>
        <v>2+</v>
      </c>
      <c r="J1177" s="5">
        <f>VLOOKUP(B1177,Bookings!B:H,7,FALSE())</f>
        <v>11.33</v>
      </c>
      <c r="K1177" s="5" t="str">
        <f t="shared" si="1"/>
        <v>Long</v>
      </c>
      <c r="L1177" s="11">
        <f t="array" ref="L1177">IFERROR(INDEX(Bookings!$K:$K,MATCH(A1177,Bookings!$A:$A,0)),"")</f>
        <v>65632</v>
      </c>
      <c r="M1177" s="5" t="str">
        <f t="shared" si="2"/>
        <v>High</v>
      </c>
      <c r="N1177" s="5">
        <f t="array" ref="N1177">IFERROR(INDEX(Bookings!$I:$I,MATCH(A1177,Bookings!$A:$A,0)),"")</f>
        <v>4</v>
      </c>
      <c r="O1177" s="5" t="str">
        <f t="shared" si="3"/>
        <v>Last Minute</v>
      </c>
      <c r="P1177" s="5" t="str">
        <f t="shared" si="4"/>
        <v>Kolkata -&gt; Mumbai</v>
      </c>
    </row>
    <row r="1178" ht="15.75" customHeight="1">
      <c r="A1178" s="5" t="s">
        <v>3082</v>
      </c>
      <c r="B1178" s="5" t="s">
        <v>1200</v>
      </c>
      <c r="C1178" s="5" t="s">
        <v>504</v>
      </c>
      <c r="D1178" s="5" t="s">
        <v>20</v>
      </c>
      <c r="E1178" s="6" t="str">
        <f t="array" ref="E1178">IFERROR(INDEX(Airlines!$B:$B,MATCH(D1178,Airlines!$A:$A,0)),"")</f>
        <v>Vistara</v>
      </c>
      <c r="F1178" s="6" t="str">
        <f>VLOOKUP(A1178,Bookings!$A:$F,6,FALSE())</f>
        <v>Business</v>
      </c>
      <c r="G1178" s="6" t="str">
        <f t="array" ref="G1178">IFERROR(INDEX(Flights!$E:$E,MATCH(B1178,Flights!$A:$A,0)),"")</f>
        <v>Kolkata</v>
      </c>
      <c r="H1178" s="6" t="str">
        <f>VLOOKUP(B1178,Flights!A:H,6,FALSE())</f>
        <v>Mumbai</v>
      </c>
      <c r="I1178" s="6" t="str">
        <f t="array" ref="I1178">IFERROR(INDEX(Bookings!$G:$G,MATCH(B1178,Bookings!$B:$B,0)),"")</f>
        <v>2+</v>
      </c>
      <c r="J1178" s="5">
        <f>VLOOKUP(B1178,Bookings!B:H,7,FALSE())</f>
        <v>10</v>
      </c>
      <c r="K1178" s="5" t="str">
        <f t="shared" si="1"/>
        <v>Medium</v>
      </c>
      <c r="L1178" s="11">
        <f t="array" ref="L1178">IFERROR(INDEX(Bookings!$K:$K,MATCH(A1178,Bookings!$A:$A,0)),"")</f>
        <v>110936</v>
      </c>
      <c r="M1178" s="5" t="str">
        <f t="shared" si="2"/>
        <v>High</v>
      </c>
      <c r="N1178" s="5">
        <f t="array" ref="N1178">IFERROR(INDEX(Bookings!$I:$I,MATCH(A1178,Bookings!$A:$A,0)),"")</f>
        <v>4</v>
      </c>
      <c r="O1178" s="5" t="str">
        <f t="shared" si="3"/>
        <v>Last Minute</v>
      </c>
      <c r="P1178" s="5" t="str">
        <f t="shared" si="4"/>
        <v>Kolkata -&gt; Mumbai</v>
      </c>
    </row>
    <row r="1179" ht="15.75" customHeight="1">
      <c r="A1179" s="5" t="s">
        <v>3083</v>
      </c>
      <c r="B1179" s="5" t="s">
        <v>1213</v>
      </c>
      <c r="C1179" s="5" t="s">
        <v>504</v>
      </c>
      <c r="D1179" s="5" t="s">
        <v>20</v>
      </c>
      <c r="E1179" s="6" t="str">
        <f t="array" ref="E1179">IFERROR(INDEX(Airlines!$B:$B,MATCH(D1179,Airlines!$A:$A,0)),"")</f>
        <v>Vistara</v>
      </c>
      <c r="F1179" s="6" t="str">
        <f>VLOOKUP(A1179,Bookings!$A:$F,6,FALSE())</f>
        <v>Business</v>
      </c>
      <c r="G1179" s="6" t="str">
        <f t="array" ref="G1179">IFERROR(INDEX(Flights!$E:$E,MATCH(B1179,Flights!$A:$A,0)),"")</f>
        <v>Kolkata</v>
      </c>
      <c r="H1179" s="6" t="str">
        <f>VLOOKUP(B1179,Flights!A:H,6,FALSE())</f>
        <v>Mumbai</v>
      </c>
      <c r="I1179" s="6" t="str">
        <f t="array" ref="I1179">IFERROR(INDEX(Bookings!$G:$G,MATCH(B1179,Bookings!$B:$B,0)),"")</f>
        <v>1</v>
      </c>
      <c r="J1179" s="5">
        <f>VLOOKUP(B1179,Bookings!B:H,7,FALSE())</f>
        <v>25.17</v>
      </c>
      <c r="K1179" s="5" t="str">
        <f t="shared" si="1"/>
        <v>Long</v>
      </c>
      <c r="L1179" s="11">
        <f t="array" ref="L1179">IFERROR(INDEX(Bookings!$K:$K,MATCH(A1179,Bookings!$A:$A,0)),"")</f>
        <v>59254</v>
      </c>
      <c r="M1179" s="5" t="str">
        <f t="shared" si="2"/>
        <v>High</v>
      </c>
      <c r="N1179" s="5">
        <f t="array" ref="N1179">IFERROR(INDEX(Bookings!$I:$I,MATCH(A1179,Bookings!$A:$A,0)),"")</f>
        <v>35</v>
      </c>
      <c r="O1179" s="5" t="str">
        <f t="shared" si="3"/>
        <v>Advance</v>
      </c>
      <c r="P1179" s="5" t="str">
        <f t="shared" si="4"/>
        <v>Kolkata -&gt; Mumbai</v>
      </c>
    </row>
    <row r="1180" ht="15.75" customHeight="1">
      <c r="A1180" s="5" t="s">
        <v>3085</v>
      </c>
      <c r="B1180" s="5" t="s">
        <v>1229</v>
      </c>
      <c r="C1180" s="5" t="s">
        <v>504</v>
      </c>
      <c r="D1180" s="5" t="s">
        <v>20</v>
      </c>
      <c r="E1180" s="6" t="str">
        <f t="array" ref="E1180">IFERROR(INDEX(Airlines!$B:$B,MATCH(D1180,Airlines!$A:$A,0)),"")</f>
        <v>Vistara</v>
      </c>
      <c r="F1180" s="6" t="str">
        <f>VLOOKUP(A1180,Bookings!$A:$F,6,FALSE())</f>
        <v>Business</v>
      </c>
      <c r="G1180" s="6" t="str">
        <f t="array" ref="G1180">IFERROR(INDEX(Flights!$E:$E,MATCH(B1180,Flights!$A:$A,0)),"")</f>
        <v>Kolkata</v>
      </c>
      <c r="H1180" s="6" t="str">
        <f>VLOOKUP(B1180,Flights!A:H,6,FALSE())</f>
        <v>Mumbai</v>
      </c>
      <c r="I1180" s="6" t="str">
        <f t="array" ref="I1180">IFERROR(INDEX(Bookings!$G:$G,MATCH(B1180,Bookings!$B:$B,0)),"")</f>
        <v>1</v>
      </c>
      <c r="J1180" s="5">
        <f>VLOOKUP(B1180,Bookings!B:H,7,FALSE())</f>
        <v>28.33</v>
      </c>
      <c r="K1180" s="5" t="str">
        <f t="shared" si="1"/>
        <v>Long</v>
      </c>
      <c r="L1180" s="11">
        <f t="array" ref="L1180">IFERROR(INDEX(Bookings!$K:$K,MATCH(A1180,Bookings!$A:$A,0)),"")</f>
        <v>59254</v>
      </c>
      <c r="M1180" s="5" t="str">
        <f t="shared" si="2"/>
        <v>High</v>
      </c>
      <c r="N1180" s="5">
        <f t="array" ref="N1180">IFERROR(INDEX(Bookings!$I:$I,MATCH(A1180,Bookings!$A:$A,0)),"")</f>
        <v>28</v>
      </c>
      <c r="O1180" s="5" t="str">
        <f t="shared" si="3"/>
        <v>Moderate</v>
      </c>
      <c r="P1180" s="5" t="str">
        <f t="shared" si="4"/>
        <v>Kolkata -&gt; Mumbai</v>
      </c>
    </row>
    <row r="1181" ht="15.75" customHeight="1">
      <c r="A1181" s="5" t="s">
        <v>3086</v>
      </c>
      <c r="B1181" s="5" t="s">
        <v>1135</v>
      </c>
      <c r="C1181" s="5" t="s">
        <v>504</v>
      </c>
      <c r="D1181" s="5" t="s">
        <v>20</v>
      </c>
      <c r="E1181" s="6" t="str">
        <f t="array" ref="E1181">IFERROR(INDEX(Airlines!$B:$B,MATCH(D1181,Airlines!$A:$A,0)),"")</f>
        <v>Vistara</v>
      </c>
      <c r="F1181" s="6" t="str">
        <f>VLOOKUP(A1181,Bookings!$A:$F,6,FALSE())</f>
        <v>Business</v>
      </c>
      <c r="G1181" s="6" t="str">
        <f t="array" ref="G1181">IFERROR(INDEX(Flights!$E:$E,MATCH(B1181,Flights!$A:$A,0)),"")</f>
        <v>Kolkata</v>
      </c>
      <c r="H1181" s="6" t="str">
        <f>VLOOKUP(B1181,Flights!A:H,6,FALSE())</f>
        <v>Mumbai</v>
      </c>
      <c r="I1181" s="6" t="str">
        <f t="array" ref="I1181">IFERROR(INDEX(Bookings!$G:$G,MATCH(B1181,Bookings!$B:$B,0)),"")</f>
        <v>1</v>
      </c>
      <c r="J1181" s="5">
        <f>VLOOKUP(B1181,Bookings!B:H,7,FALSE())</f>
        <v>27.83</v>
      </c>
      <c r="K1181" s="5" t="str">
        <f t="shared" si="1"/>
        <v>Long</v>
      </c>
      <c r="L1181" s="11">
        <f t="array" ref="L1181">IFERROR(INDEX(Bookings!$K:$K,MATCH(A1181,Bookings!$A:$A,0)),"")</f>
        <v>59254</v>
      </c>
      <c r="M1181" s="5" t="str">
        <f t="shared" si="2"/>
        <v>High</v>
      </c>
      <c r="N1181" s="5">
        <f t="array" ref="N1181">IFERROR(INDEX(Bookings!$I:$I,MATCH(A1181,Bookings!$A:$A,0)),"")</f>
        <v>16</v>
      </c>
      <c r="O1181" s="5" t="str">
        <f t="shared" si="3"/>
        <v>Moderate</v>
      </c>
      <c r="P1181" s="5" t="str">
        <f t="shared" si="4"/>
        <v>Kolkata -&gt; Mumbai</v>
      </c>
    </row>
    <row r="1182" ht="15.75" customHeight="1">
      <c r="A1182" s="5" t="s">
        <v>3088</v>
      </c>
      <c r="B1182" s="5" t="s">
        <v>1581</v>
      </c>
      <c r="C1182" s="5" t="s">
        <v>549</v>
      </c>
      <c r="D1182" s="5" t="s">
        <v>45</v>
      </c>
      <c r="E1182" s="6" t="str">
        <f t="array" ref="E1182">IFERROR(INDEX(Airlines!$B:$B,MATCH(D1182,Airlines!$A:$A,0)),"")</f>
        <v>Air_India</v>
      </c>
      <c r="F1182" s="6" t="str">
        <f>VLOOKUP(A1182,Bookings!$A:$F,6,FALSE())</f>
        <v>Business</v>
      </c>
      <c r="G1182" s="6" t="str">
        <f t="array" ref="G1182">IFERROR(INDEX(Flights!$E:$E,MATCH(B1182,Flights!$A:$A,0)),"")</f>
        <v>Kolkata</v>
      </c>
      <c r="H1182" s="6" t="str">
        <f>VLOOKUP(B1182,Flights!A:H,6,FALSE())</f>
        <v>Chennai</v>
      </c>
      <c r="I1182" s="6" t="str">
        <f t="array" ref="I1182">IFERROR(INDEX(Bookings!$G:$G,MATCH(B1182,Bookings!$B:$B,0)),"")</f>
        <v>1</v>
      </c>
      <c r="J1182" s="5">
        <f>VLOOKUP(B1182,Bookings!B:H,7,FALSE())</f>
        <v>22.67</v>
      </c>
      <c r="K1182" s="5" t="str">
        <f t="shared" si="1"/>
        <v>Long</v>
      </c>
      <c r="L1182" s="11">
        <f t="array" ref="L1182">IFERROR(INDEX(Bookings!$K:$K,MATCH(A1182,Bookings!$A:$A,0)),"")</f>
        <v>37152</v>
      </c>
      <c r="M1182" s="5" t="str">
        <f t="shared" si="2"/>
        <v>High</v>
      </c>
      <c r="N1182" s="5">
        <f t="array" ref="N1182">IFERROR(INDEX(Bookings!$I:$I,MATCH(A1182,Bookings!$A:$A,0)),"")</f>
        <v>46</v>
      </c>
      <c r="O1182" s="5" t="str">
        <f t="shared" si="3"/>
        <v>Advance</v>
      </c>
      <c r="P1182" s="5" t="str">
        <f t="shared" si="4"/>
        <v>Kolkata -&gt; Chennai</v>
      </c>
    </row>
    <row r="1183" ht="15.75" customHeight="1">
      <c r="A1183" s="5" t="s">
        <v>3089</v>
      </c>
      <c r="B1183" s="5" t="s">
        <v>1696</v>
      </c>
      <c r="C1183" s="5" t="s">
        <v>564</v>
      </c>
      <c r="D1183" s="5" t="s">
        <v>20</v>
      </c>
      <c r="E1183" s="6" t="str">
        <f t="array" ref="E1183">IFERROR(INDEX(Airlines!$B:$B,MATCH(D1183,Airlines!$A:$A,0)),"")</f>
        <v>Vistara</v>
      </c>
      <c r="F1183" s="6" t="str">
        <f>VLOOKUP(A1183,Bookings!$A:$F,6,FALSE())</f>
        <v>Business</v>
      </c>
      <c r="G1183" s="6" t="str">
        <f t="array" ref="G1183">IFERROR(INDEX(Flights!$E:$E,MATCH(B1183,Flights!$A:$A,0)),"")</f>
        <v>Hyderabad</v>
      </c>
      <c r="H1183" s="6" t="str">
        <f>VLOOKUP(B1183,Flights!A:H,6,FALSE())</f>
        <v>Delhi</v>
      </c>
      <c r="I1183" s="6" t="str">
        <f t="array" ref="I1183">IFERROR(INDEX(Bookings!$G:$G,MATCH(B1183,Bookings!$B:$B,0)),"")</f>
        <v>1</v>
      </c>
      <c r="J1183" s="5">
        <f>VLOOKUP(B1183,Bookings!B:H,7,FALSE())</f>
        <v>25.58</v>
      </c>
      <c r="K1183" s="5" t="str">
        <f t="shared" si="1"/>
        <v>Long</v>
      </c>
      <c r="L1183" s="11">
        <f t="array" ref="L1183">IFERROR(INDEX(Bookings!$K:$K,MATCH(A1183,Bookings!$A:$A,0)),"")</f>
        <v>51382</v>
      </c>
      <c r="M1183" s="5" t="str">
        <f t="shared" si="2"/>
        <v>High</v>
      </c>
      <c r="N1183" s="5">
        <f t="array" ref="N1183">IFERROR(INDEX(Bookings!$I:$I,MATCH(A1183,Bookings!$A:$A,0)),"")</f>
        <v>3</v>
      </c>
      <c r="O1183" s="5" t="str">
        <f t="shared" si="3"/>
        <v>Last Minute</v>
      </c>
      <c r="P1183" s="5" t="str">
        <f t="shared" si="4"/>
        <v>Hyderabad -&gt; Delhi</v>
      </c>
    </row>
    <row r="1184" ht="15.75" customHeight="1">
      <c r="A1184" s="5" t="s">
        <v>3091</v>
      </c>
      <c r="B1184" s="5" t="s">
        <v>1650</v>
      </c>
      <c r="C1184" s="5" t="s">
        <v>564</v>
      </c>
      <c r="D1184" s="5" t="s">
        <v>20</v>
      </c>
      <c r="E1184" s="6" t="str">
        <f t="array" ref="E1184">IFERROR(INDEX(Airlines!$B:$B,MATCH(D1184,Airlines!$A:$A,0)),"")</f>
        <v>Vistara</v>
      </c>
      <c r="F1184" s="6" t="str">
        <f>VLOOKUP(A1184,Bookings!$A:$F,6,FALSE())</f>
        <v>Business</v>
      </c>
      <c r="G1184" s="6" t="str">
        <f t="array" ref="G1184">IFERROR(INDEX(Flights!$E:$E,MATCH(B1184,Flights!$A:$A,0)),"")</f>
        <v>Hyderabad</v>
      </c>
      <c r="H1184" s="6" t="str">
        <f>VLOOKUP(B1184,Flights!A:H,6,FALSE())</f>
        <v>Delhi</v>
      </c>
      <c r="I1184" s="6" t="str">
        <f t="array" ref="I1184">IFERROR(INDEX(Bookings!$G:$G,MATCH(B1184,Bookings!$B:$B,0)),"")</f>
        <v>1</v>
      </c>
      <c r="J1184" s="5">
        <f>VLOOKUP(B1184,Bookings!B:H,7,FALSE())</f>
        <v>23.58</v>
      </c>
      <c r="K1184" s="5" t="str">
        <f t="shared" si="1"/>
        <v>Long</v>
      </c>
      <c r="L1184" s="11">
        <f t="array" ref="L1184">IFERROR(INDEX(Bookings!$K:$K,MATCH(A1184,Bookings!$A:$A,0)),"")</f>
        <v>39555</v>
      </c>
      <c r="M1184" s="5" t="str">
        <f t="shared" si="2"/>
        <v>High</v>
      </c>
      <c r="N1184" s="5">
        <f t="array" ref="N1184">IFERROR(INDEX(Bookings!$I:$I,MATCH(A1184,Bookings!$A:$A,0)),"")</f>
        <v>11</v>
      </c>
      <c r="O1184" s="5" t="str">
        <f t="shared" si="3"/>
        <v>Short Notice</v>
      </c>
      <c r="P1184" s="5" t="str">
        <f t="shared" si="4"/>
        <v>Hyderabad -&gt; Delhi</v>
      </c>
    </row>
    <row r="1185" ht="15.75" customHeight="1">
      <c r="A1185" s="5" t="s">
        <v>3092</v>
      </c>
      <c r="B1185" s="5" t="s">
        <v>1799</v>
      </c>
      <c r="C1185" s="5" t="s">
        <v>590</v>
      </c>
      <c r="D1185" s="5" t="s">
        <v>20</v>
      </c>
      <c r="E1185" s="6" t="str">
        <f t="array" ref="E1185">IFERROR(INDEX(Airlines!$B:$B,MATCH(D1185,Airlines!$A:$A,0)),"")</f>
        <v>Vistara</v>
      </c>
      <c r="F1185" s="6" t="str">
        <f>VLOOKUP(A1185,Bookings!$A:$F,6,FALSE())</f>
        <v>Business</v>
      </c>
      <c r="G1185" s="6" t="str">
        <f t="array" ref="G1185">IFERROR(INDEX(Flights!$E:$E,MATCH(B1185,Flights!$A:$A,0)),"")</f>
        <v>Hyderabad</v>
      </c>
      <c r="H1185" s="6" t="str">
        <f>VLOOKUP(B1185,Flights!A:H,6,FALSE())</f>
        <v>Mumbai</v>
      </c>
      <c r="I1185" s="6" t="str">
        <f t="array" ref="I1185">IFERROR(INDEX(Bookings!$G:$G,MATCH(B1185,Bookings!$B:$B,0)),"")</f>
        <v>1</v>
      </c>
      <c r="J1185" s="5">
        <f>VLOOKUP(B1185,Bookings!B:H,7,FALSE())</f>
        <v>24.58</v>
      </c>
      <c r="K1185" s="5" t="str">
        <f t="shared" si="1"/>
        <v>Long</v>
      </c>
      <c r="L1185" s="11">
        <f t="array" ref="L1185">IFERROR(INDEX(Bookings!$K:$K,MATCH(A1185,Bookings!$A:$A,0)),"")</f>
        <v>62874</v>
      </c>
      <c r="M1185" s="5" t="str">
        <f t="shared" si="2"/>
        <v>High</v>
      </c>
      <c r="N1185" s="5">
        <f t="array" ref="N1185">IFERROR(INDEX(Bookings!$I:$I,MATCH(A1185,Bookings!$A:$A,0)),"")</f>
        <v>2</v>
      </c>
      <c r="O1185" s="5" t="str">
        <f t="shared" si="3"/>
        <v>Last Minute</v>
      </c>
      <c r="P1185" s="5" t="str">
        <f t="shared" si="4"/>
        <v>Hyderabad -&gt; Mumbai</v>
      </c>
    </row>
    <row r="1186" ht="15.75" customHeight="1">
      <c r="A1186" s="5" t="s">
        <v>3093</v>
      </c>
      <c r="B1186" s="5" t="s">
        <v>1764</v>
      </c>
      <c r="C1186" s="5" t="s">
        <v>590</v>
      </c>
      <c r="D1186" s="5" t="s">
        <v>20</v>
      </c>
      <c r="E1186" s="6" t="str">
        <f t="array" ref="E1186">IFERROR(INDEX(Airlines!$B:$B,MATCH(D1186,Airlines!$A:$A,0)),"")</f>
        <v>Vistara</v>
      </c>
      <c r="F1186" s="6" t="str">
        <f>VLOOKUP(A1186,Bookings!$A:$F,6,FALSE())</f>
        <v>Business</v>
      </c>
      <c r="G1186" s="6" t="str">
        <f t="array" ref="G1186">IFERROR(INDEX(Flights!$E:$E,MATCH(B1186,Flights!$A:$A,0)),"")</f>
        <v>Hyderabad</v>
      </c>
      <c r="H1186" s="6" t="str">
        <f>VLOOKUP(B1186,Flights!A:H,6,FALSE())</f>
        <v>Mumbai</v>
      </c>
      <c r="I1186" s="6" t="str">
        <f t="array" ref="I1186">IFERROR(INDEX(Bookings!$G:$G,MATCH(B1186,Bookings!$B:$B,0)),"")</f>
        <v>1</v>
      </c>
      <c r="J1186" s="5">
        <f>VLOOKUP(B1186,Bookings!B:H,7,FALSE())</f>
        <v>18.58</v>
      </c>
      <c r="K1186" s="5" t="str">
        <f t="shared" si="1"/>
        <v>Long</v>
      </c>
      <c r="L1186" s="11">
        <f t="array" ref="L1186">IFERROR(INDEX(Bookings!$K:$K,MATCH(A1186,Bookings!$A:$A,0)),"")</f>
        <v>66267</v>
      </c>
      <c r="M1186" s="5" t="str">
        <f t="shared" si="2"/>
        <v>High</v>
      </c>
      <c r="N1186" s="5">
        <f t="array" ref="N1186">IFERROR(INDEX(Bookings!$I:$I,MATCH(A1186,Bookings!$A:$A,0)),"")</f>
        <v>46</v>
      </c>
      <c r="O1186" s="5" t="str">
        <f t="shared" si="3"/>
        <v>Advance</v>
      </c>
      <c r="P1186" s="5" t="str">
        <f t="shared" si="4"/>
        <v>Hyderabad -&gt; Mumbai</v>
      </c>
    </row>
    <row r="1187" ht="15.75" customHeight="1">
      <c r="A1187" s="5" t="s">
        <v>3094</v>
      </c>
      <c r="B1187" s="5" t="s">
        <v>1895</v>
      </c>
      <c r="C1187" s="5" t="s">
        <v>616</v>
      </c>
      <c r="D1187" s="5" t="s">
        <v>45</v>
      </c>
      <c r="E1187" s="6" t="str">
        <f t="array" ref="E1187">IFERROR(INDEX(Airlines!$B:$B,MATCH(D1187,Airlines!$A:$A,0)),"")</f>
        <v>Air_India</v>
      </c>
      <c r="F1187" s="6" t="str">
        <f>VLOOKUP(A1187,Bookings!$A:$F,6,FALSE())</f>
        <v>Business</v>
      </c>
      <c r="G1187" s="6" t="str">
        <f t="array" ref="G1187">IFERROR(INDEX(Flights!$E:$E,MATCH(B1187,Flights!$A:$A,0)),"")</f>
        <v>Hyderabad</v>
      </c>
      <c r="H1187" s="6" t="str">
        <f>VLOOKUP(B1187,Flights!A:H,6,FALSE())</f>
        <v>Bengaluru</v>
      </c>
      <c r="I1187" s="6" t="str">
        <f t="array" ref="I1187">IFERROR(INDEX(Bookings!$G:$G,MATCH(B1187,Bookings!$B:$B,0)),"")</f>
        <v>1</v>
      </c>
      <c r="J1187" s="5">
        <f>VLOOKUP(B1187,Bookings!B:H,7,FALSE())</f>
        <v>18</v>
      </c>
      <c r="K1187" s="5" t="str">
        <f t="shared" si="1"/>
        <v>Long</v>
      </c>
      <c r="L1187" s="11">
        <f t="array" ref="L1187">IFERROR(INDEX(Bookings!$K:$K,MATCH(A1187,Bookings!$A:$A,0)),"")</f>
        <v>64407</v>
      </c>
      <c r="M1187" s="5" t="str">
        <f t="shared" si="2"/>
        <v>High</v>
      </c>
      <c r="N1187" s="5">
        <f t="array" ref="N1187">IFERROR(INDEX(Bookings!$I:$I,MATCH(A1187,Bookings!$A:$A,0)),"")</f>
        <v>2</v>
      </c>
      <c r="O1187" s="5" t="str">
        <f t="shared" si="3"/>
        <v>Last Minute</v>
      </c>
      <c r="P1187" s="5" t="str">
        <f t="shared" si="4"/>
        <v>Hyderabad -&gt; Bengaluru</v>
      </c>
    </row>
    <row r="1188" ht="15.75" customHeight="1">
      <c r="A1188" s="5" t="s">
        <v>3095</v>
      </c>
      <c r="B1188" s="5" t="s">
        <v>1952</v>
      </c>
      <c r="C1188" s="5" t="s">
        <v>616</v>
      </c>
      <c r="D1188" s="5" t="s">
        <v>45</v>
      </c>
      <c r="E1188" s="6" t="str">
        <f t="array" ref="E1188">IFERROR(INDEX(Airlines!$B:$B,MATCH(D1188,Airlines!$A:$A,0)),"")</f>
        <v>Air_India</v>
      </c>
      <c r="F1188" s="6" t="str">
        <f>VLOOKUP(A1188,Bookings!$A:$F,6,FALSE())</f>
        <v>Business</v>
      </c>
      <c r="G1188" s="6" t="str">
        <f t="array" ref="G1188">IFERROR(INDEX(Flights!$E:$E,MATCH(B1188,Flights!$A:$A,0)),"")</f>
        <v>Hyderabad</v>
      </c>
      <c r="H1188" s="6" t="str">
        <f>VLOOKUP(B1188,Flights!A:H,6,FALSE())</f>
        <v>Bengaluru</v>
      </c>
      <c r="I1188" s="6" t="str">
        <f t="array" ref="I1188">IFERROR(INDEX(Bookings!$G:$G,MATCH(B1188,Bookings!$B:$B,0)),"")</f>
        <v>1</v>
      </c>
      <c r="J1188" s="5">
        <f>VLOOKUP(B1188,Bookings!B:H,7,FALSE())</f>
        <v>23.25</v>
      </c>
      <c r="K1188" s="5" t="str">
        <f t="shared" si="1"/>
        <v>Long</v>
      </c>
      <c r="L1188" s="11">
        <f t="array" ref="L1188">IFERROR(INDEX(Bookings!$K:$K,MATCH(A1188,Bookings!$A:$A,0)),"")</f>
        <v>7336</v>
      </c>
      <c r="M1188" s="5" t="str">
        <f t="shared" si="2"/>
        <v>Medium</v>
      </c>
      <c r="N1188" s="5">
        <f t="array" ref="N1188">IFERROR(INDEX(Bookings!$I:$I,MATCH(A1188,Bookings!$A:$A,0)),"")</f>
        <v>4</v>
      </c>
      <c r="O1188" s="5" t="str">
        <f t="shared" si="3"/>
        <v>Last Minute</v>
      </c>
      <c r="P1188" s="5" t="str">
        <f t="shared" si="4"/>
        <v>Hyderabad -&gt; Bengaluru</v>
      </c>
    </row>
    <row r="1189" ht="15.75" customHeight="1">
      <c r="A1189" s="5" t="s">
        <v>3096</v>
      </c>
      <c r="B1189" s="5" t="s">
        <v>1869</v>
      </c>
      <c r="C1189" s="5" t="s">
        <v>616</v>
      </c>
      <c r="D1189" s="5" t="s">
        <v>20</v>
      </c>
      <c r="E1189" s="6" t="str">
        <f t="array" ref="E1189">IFERROR(INDEX(Airlines!$B:$B,MATCH(D1189,Airlines!$A:$A,0)),"")</f>
        <v>Vistara</v>
      </c>
      <c r="F1189" s="6" t="str">
        <f>VLOOKUP(A1189,Bookings!$A:$F,6,FALSE())</f>
        <v>Business</v>
      </c>
      <c r="G1189" s="6" t="str">
        <f t="array" ref="G1189">IFERROR(INDEX(Flights!$E:$E,MATCH(B1189,Flights!$A:$A,0)),"")</f>
        <v>Hyderabad</v>
      </c>
      <c r="H1189" s="6" t="str">
        <f>VLOOKUP(B1189,Flights!A:H,6,FALSE())</f>
        <v>Bengaluru</v>
      </c>
      <c r="I1189" s="6" t="str">
        <f t="array" ref="I1189">IFERROR(INDEX(Bookings!$G:$G,MATCH(B1189,Bookings!$B:$B,0)),"")</f>
        <v>1</v>
      </c>
      <c r="J1189" s="5">
        <f>VLOOKUP(B1189,Bookings!B:H,7,FALSE())</f>
        <v>13.25</v>
      </c>
      <c r="K1189" s="5" t="str">
        <f t="shared" si="1"/>
        <v>Long</v>
      </c>
      <c r="L1189" s="11">
        <f t="array" ref="L1189">IFERROR(INDEX(Bookings!$K:$K,MATCH(A1189,Bookings!$A:$A,0)),"")</f>
        <v>56702</v>
      </c>
      <c r="M1189" s="5" t="str">
        <f t="shared" si="2"/>
        <v>High</v>
      </c>
      <c r="N1189" s="5">
        <f t="array" ref="N1189">IFERROR(INDEX(Bookings!$I:$I,MATCH(A1189,Bookings!$A:$A,0)),"")</f>
        <v>46</v>
      </c>
      <c r="O1189" s="5" t="str">
        <f t="shared" si="3"/>
        <v>Advance</v>
      </c>
      <c r="P1189" s="5" t="str">
        <f t="shared" si="4"/>
        <v>Hyderabad -&gt; Bengaluru</v>
      </c>
    </row>
    <row r="1190" ht="15.75" customHeight="1">
      <c r="A1190" s="5" t="s">
        <v>3097</v>
      </c>
      <c r="B1190" s="5" t="s">
        <v>2042</v>
      </c>
      <c r="C1190" s="5" t="s">
        <v>640</v>
      </c>
      <c r="D1190" s="5" t="s">
        <v>20</v>
      </c>
      <c r="E1190" s="6" t="str">
        <f t="array" ref="E1190">IFERROR(INDEX(Airlines!$B:$B,MATCH(D1190,Airlines!$A:$A,0)),"")</f>
        <v>Vistara</v>
      </c>
      <c r="F1190" s="6" t="str">
        <f>VLOOKUP(A1190,Bookings!$A:$F,6,FALSE())</f>
        <v>Business</v>
      </c>
      <c r="G1190" s="6" t="str">
        <f t="array" ref="G1190">IFERROR(INDEX(Flights!$E:$E,MATCH(B1190,Flights!$A:$A,0)),"")</f>
        <v>Hyderabad</v>
      </c>
      <c r="H1190" s="6" t="str">
        <f>VLOOKUP(B1190,Flights!A:H,6,FALSE())</f>
        <v>Kolkata</v>
      </c>
      <c r="I1190" s="6" t="str">
        <f t="array" ref="I1190">IFERROR(INDEX(Bookings!$G:$G,MATCH(B1190,Bookings!$B:$B,0)),"")</f>
        <v>1</v>
      </c>
      <c r="J1190" s="5">
        <f>VLOOKUP(B1190,Bookings!B:H,7,FALSE())</f>
        <v>37.92</v>
      </c>
      <c r="K1190" s="5" t="str">
        <f t="shared" si="1"/>
        <v>Long</v>
      </c>
      <c r="L1190" s="11">
        <f t="array" ref="L1190">IFERROR(INDEX(Bookings!$K:$K,MATCH(A1190,Bookings!$A:$A,0)),"")</f>
        <v>64733</v>
      </c>
      <c r="M1190" s="5" t="str">
        <f t="shared" si="2"/>
        <v>High</v>
      </c>
      <c r="N1190" s="5">
        <f t="array" ref="N1190">IFERROR(INDEX(Bookings!$I:$I,MATCH(A1190,Bookings!$A:$A,0)),"")</f>
        <v>2</v>
      </c>
      <c r="O1190" s="5" t="str">
        <f t="shared" si="3"/>
        <v>Last Minute</v>
      </c>
      <c r="P1190" s="5" t="str">
        <f t="shared" si="4"/>
        <v>Hyderabad -&gt; Kolkata</v>
      </c>
    </row>
    <row r="1191" ht="15.75" customHeight="1">
      <c r="A1191" s="5" t="s">
        <v>3098</v>
      </c>
      <c r="B1191" s="5" t="s">
        <v>2030</v>
      </c>
      <c r="C1191" s="5" t="s">
        <v>640</v>
      </c>
      <c r="D1191" s="5" t="s">
        <v>20</v>
      </c>
      <c r="E1191" s="6" t="str">
        <f t="array" ref="E1191">IFERROR(INDEX(Airlines!$B:$B,MATCH(D1191,Airlines!$A:$A,0)),"")</f>
        <v>Vistara</v>
      </c>
      <c r="F1191" s="6" t="str">
        <f>VLOOKUP(A1191,Bookings!$A:$F,6,FALSE())</f>
        <v>Business</v>
      </c>
      <c r="G1191" s="6" t="str">
        <f t="array" ref="G1191">IFERROR(INDEX(Flights!$E:$E,MATCH(B1191,Flights!$A:$A,0)),"")</f>
        <v>Hyderabad</v>
      </c>
      <c r="H1191" s="6" t="str">
        <f>VLOOKUP(B1191,Flights!A:H,6,FALSE())</f>
        <v>Kolkata</v>
      </c>
      <c r="I1191" s="6" t="str">
        <f t="array" ref="I1191">IFERROR(INDEX(Bookings!$G:$G,MATCH(B1191,Bookings!$B:$B,0)),"")</f>
        <v>2+</v>
      </c>
      <c r="J1191" s="5">
        <f>VLOOKUP(B1191,Bookings!B:H,7,FALSE())</f>
        <v>27.08</v>
      </c>
      <c r="K1191" s="5" t="str">
        <f t="shared" si="1"/>
        <v>Long</v>
      </c>
      <c r="L1191" s="11">
        <f t="array" ref="L1191">IFERROR(INDEX(Bookings!$K:$K,MATCH(A1191,Bookings!$A:$A,0)),"")</f>
        <v>75787</v>
      </c>
      <c r="M1191" s="5" t="str">
        <f t="shared" si="2"/>
        <v>High</v>
      </c>
      <c r="N1191" s="5">
        <f t="array" ref="N1191">IFERROR(INDEX(Bookings!$I:$I,MATCH(A1191,Bookings!$A:$A,0)),"")</f>
        <v>2</v>
      </c>
      <c r="O1191" s="5" t="str">
        <f t="shared" si="3"/>
        <v>Last Minute</v>
      </c>
      <c r="P1191" s="5" t="str">
        <f t="shared" si="4"/>
        <v>Hyderabad -&gt; Kolkata</v>
      </c>
    </row>
    <row r="1192" ht="15.75" customHeight="1">
      <c r="A1192" s="5" t="s">
        <v>3099</v>
      </c>
      <c r="B1192" s="5" t="s">
        <v>1962</v>
      </c>
      <c r="C1192" s="5" t="s">
        <v>640</v>
      </c>
      <c r="D1192" s="5" t="s">
        <v>20</v>
      </c>
      <c r="E1192" s="6" t="str">
        <f t="array" ref="E1192">IFERROR(INDEX(Airlines!$B:$B,MATCH(D1192,Airlines!$A:$A,0)),"")</f>
        <v>Vistara</v>
      </c>
      <c r="F1192" s="6" t="str">
        <f>VLOOKUP(A1192,Bookings!$A:$F,6,FALSE())</f>
        <v>Business</v>
      </c>
      <c r="G1192" s="6" t="str">
        <f t="array" ref="G1192">IFERROR(INDEX(Flights!$E:$E,MATCH(B1192,Flights!$A:$A,0)),"")</f>
        <v>Hyderabad</v>
      </c>
      <c r="H1192" s="6" t="str">
        <f>VLOOKUP(B1192,Flights!A:H,6,FALSE())</f>
        <v>Kolkata</v>
      </c>
      <c r="I1192" s="6" t="str">
        <f t="array" ref="I1192">IFERROR(INDEX(Bookings!$G:$G,MATCH(B1192,Bookings!$B:$B,0)),"")</f>
        <v>1</v>
      </c>
      <c r="J1192" s="5">
        <f>VLOOKUP(B1192,Bookings!B:H,7,FALSE())</f>
        <v>10.42</v>
      </c>
      <c r="K1192" s="5" t="str">
        <f t="shared" si="1"/>
        <v>Long</v>
      </c>
      <c r="L1192" s="11">
        <f t="array" ref="L1192">IFERROR(INDEX(Bookings!$K:$K,MATCH(A1192,Bookings!$A:$A,0)),"")</f>
        <v>7336</v>
      </c>
      <c r="M1192" s="5" t="str">
        <f t="shared" si="2"/>
        <v>Medium</v>
      </c>
      <c r="N1192" s="5">
        <f t="array" ref="N1192">IFERROR(INDEX(Bookings!$I:$I,MATCH(A1192,Bookings!$A:$A,0)),"")</f>
        <v>2</v>
      </c>
      <c r="O1192" s="5" t="str">
        <f t="shared" si="3"/>
        <v>Last Minute</v>
      </c>
      <c r="P1192" s="5" t="str">
        <f t="shared" si="4"/>
        <v>Hyderabad -&gt; Kolkata</v>
      </c>
    </row>
    <row r="1193" ht="15.75" customHeight="1">
      <c r="A1193" s="5" t="s">
        <v>3100</v>
      </c>
      <c r="B1193" s="5" t="s">
        <v>2269</v>
      </c>
      <c r="C1193" s="5" t="s">
        <v>699</v>
      </c>
      <c r="D1193" s="5" t="s">
        <v>20</v>
      </c>
      <c r="E1193" s="6" t="str">
        <f t="array" ref="E1193">IFERROR(INDEX(Airlines!$B:$B,MATCH(D1193,Airlines!$A:$A,0)),"")</f>
        <v>Vistara</v>
      </c>
      <c r="F1193" s="6" t="str">
        <f>VLOOKUP(A1193,Bookings!$A:$F,6,FALSE())</f>
        <v>Business</v>
      </c>
      <c r="G1193" s="6" t="str">
        <f t="array" ref="G1193">IFERROR(INDEX(Flights!$E:$E,MATCH(B1193,Flights!$A:$A,0)),"")</f>
        <v>Chennai</v>
      </c>
      <c r="H1193" s="6" t="str">
        <f>VLOOKUP(B1193,Flights!A:H,6,FALSE())</f>
        <v>Delhi</v>
      </c>
      <c r="I1193" s="6" t="str">
        <f t="array" ref="I1193">IFERROR(INDEX(Bookings!$G:$G,MATCH(B1193,Bookings!$B:$B,0)),"")</f>
        <v>1</v>
      </c>
      <c r="J1193" s="5">
        <f>VLOOKUP(B1193,Bookings!B:H,7,FALSE())</f>
        <v>27.67</v>
      </c>
      <c r="K1193" s="5" t="str">
        <f t="shared" si="1"/>
        <v>Long</v>
      </c>
      <c r="L1193" s="11">
        <f t="array" ref="L1193">IFERROR(INDEX(Bookings!$K:$K,MATCH(A1193,Bookings!$A:$A,0)),"")</f>
        <v>57920</v>
      </c>
      <c r="M1193" s="5" t="str">
        <f t="shared" si="2"/>
        <v>High</v>
      </c>
      <c r="N1193" s="5">
        <f t="array" ref="N1193">IFERROR(INDEX(Bookings!$I:$I,MATCH(A1193,Bookings!$A:$A,0)),"")</f>
        <v>4</v>
      </c>
      <c r="O1193" s="5" t="str">
        <f t="shared" si="3"/>
        <v>Last Minute</v>
      </c>
      <c r="P1193" s="5" t="str">
        <f t="shared" si="4"/>
        <v>Chennai -&gt; Delhi</v>
      </c>
    </row>
    <row r="1194" ht="15.75" customHeight="1">
      <c r="A1194" s="5" t="s">
        <v>3102</v>
      </c>
      <c r="B1194" s="5" t="s">
        <v>2274</v>
      </c>
      <c r="C1194" s="5" t="s">
        <v>699</v>
      </c>
      <c r="D1194" s="5" t="s">
        <v>20</v>
      </c>
      <c r="E1194" s="6" t="str">
        <f t="array" ref="E1194">IFERROR(INDEX(Airlines!$B:$B,MATCH(D1194,Airlines!$A:$A,0)),"")</f>
        <v>Vistara</v>
      </c>
      <c r="F1194" s="6" t="str">
        <f>VLOOKUP(A1194,Bookings!$A:$F,6,FALSE())</f>
        <v>Business</v>
      </c>
      <c r="G1194" s="6" t="str">
        <f t="array" ref="G1194">IFERROR(INDEX(Flights!$E:$E,MATCH(B1194,Flights!$A:$A,0)),"")</f>
        <v>Chennai</v>
      </c>
      <c r="H1194" s="6" t="str">
        <f>VLOOKUP(B1194,Flights!A:H,6,FALSE())</f>
        <v>Delhi</v>
      </c>
      <c r="I1194" s="6" t="str">
        <f t="array" ref="I1194">IFERROR(INDEX(Bookings!$G:$G,MATCH(B1194,Bookings!$B:$B,0)),"")</f>
        <v>1</v>
      </c>
      <c r="J1194" s="5">
        <f>VLOOKUP(B1194,Bookings!B:H,7,FALSE())</f>
        <v>22.83</v>
      </c>
      <c r="K1194" s="5" t="str">
        <f t="shared" si="1"/>
        <v>Long</v>
      </c>
      <c r="L1194" s="11">
        <f t="array" ref="L1194">IFERROR(INDEX(Bookings!$K:$K,MATCH(A1194,Bookings!$A:$A,0)),"")</f>
        <v>59745</v>
      </c>
      <c r="M1194" s="5" t="str">
        <f t="shared" si="2"/>
        <v>High</v>
      </c>
      <c r="N1194" s="5">
        <f t="array" ref="N1194">IFERROR(INDEX(Bookings!$I:$I,MATCH(A1194,Bookings!$A:$A,0)),"")</f>
        <v>4</v>
      </c>
      <c r="O1194" s="5" t="str">
        <f t="shared" si="3"/>
        <v>Last Minute</v>
      </c>
      <c r="P1194" s="5" t="str">
        <f t="shared" si="4"/>
        <v>Chennai -&gt; Delhi</v>
      </c>
    </row>
    <row r="1195" ht="15.75" customHeight="1">
      <c r="A1195" s="5" t="s">
        <v>3103</v>
      </c>
      <c r="B1195" s="5" t="s">
        <v>2238</v>
      </c>
      <c r="C1195" s="5" t="s">
        <v>699</v>
      </c>
      <c r="D1195" s="5" t="s">
        <v>20</v>
      </c>
      <c r="E1195" s="6" t="str">
        <f t="array" ref="E1195">IFERROR(INDEX(Airlines!$B:$B,MATCH(D1195,Airlines!$A:$A,0)),"")</f>
        <v>Vistara</v>
      </c>
      <c r="F1195" s="6" t="str">
        <f>VLOOKUP(A1195,Bookings!$A:$F,6,FALSE())</f>
        <v>Business</v>
      </c>
      <c r="G1195" s="6" t="str">
        <f t="array" ref="G1195">IFERROR(INDEX(Flights!$E:$E,MATCH(B1195,Flights!$A:$A,0)),"")</f>
        <v>Chennai</v>
      </c>
      <c r="H1195" s="6" t="str">
        <f>VLOOKUP(B1195,Flights!A:H,6,FALSE())</f>
        <v>Delhi</v>
      </c>
      <c r="I1195" s="6" t="str">
        <f t="array" ref="I1195">IFERROR(INDEX(Bookings!$G:$G,MATCH(B1195,Bookings!$B:$B,0)),"")</f>
        <v>2+</v>
      </c>
      <c r="J1195" s="5">
        <f>VLOOKUP(B1195,Bookings!B:H,7,FALSE())</f>
        <v>14.92</v>
      </c>
      <c r="K1195" s="5" t="str">
        <f t="shared" si="1"/>
        <v>Long</v>
      </c>
      <c r="L1195" s="11">
        <f t="array" ref="L1195">IFERROR(INDEX(Bookings!$K:$K,MATCH(A1195,Bookings!$A:$A,0)),"")</f>
        <v>60160</v>
      </c>
      <c r="M1195" s="5" t="str">
        <f t="shared" si="2"/>
        <v>High</v>
      </c>
      <c r="N1195" s="5">
        <f t="array" ref="N1195">IFERROR(INDEX(Bookings!$I:$I,MATCH(A1195,Bookings!$A:$A,0)),"")</f>
        <v>26</v>
      </c>
      <c r="O1195" s="5" t="str">
        <f t="shared" si="3"/>
        <v>Moderate</v>
      </c>
      <c r="P1195" s="5" t="str">
        <f t="shared" si="4"/>
        <v>Chennai -&gt; Delhi</v>
      </c>
    </row>
    <row r="1196" ht="15.75" customHeight="1">
      <c r="A1196" s="5" t="s">
        <v>3105</v>
      </c>
      <c r="B1196" s="5" t="s">
        <v>2207</v>
      </c>
      <c r="C1196" s="5" t="s">
        <v>699</v>
      </c>
      <c r="D1196" s="5" t="s">
        <v>20</v>
      </c>
      <c r="E1196" s="6" t="str">
        <f t="array" ref="E1196">IFERROR(INDEX(Airlines!$B:$B,MATCH(D1196,Airlines!$A:$A,0)),"")</f>
        <v>Vistara</v>
      </c>
      <c r="F1196" s="6" t="str">
        <f>VLOOKUP(A1196,Bookings!$A:$F,6,FALSE())</f>
        <v>Business</v>
      </c>
      <c r="G1196" s="6" t="str">
        <f t="array" ref="G1196">IFERROR(INDEX(Flights!$E:$E,MATCH(B1196,Flights!$A:$A,0)),"")</f>
        <v>Chennai</v>
      </c>
      <c r="H1196" s="6" t="str">
        <f>VLOOKUP(B1196,Flights!A:H,6,FALSE())</f>
        <v>Delhi</v>
      </c>
      <c r="I1196" s="6" t="str">
        <f t="array" ref="I1196">IFERROR(INDEX(Bookings!$G:$G,MATCH(B1196,Bookings!$B:$B,0)),"")</f>
        <v>2+</v>
      </c>
      <c r="J1196" s="5">
        <f>VLOOKUP(B1196,Bookings!B:H,7,FALSE())</f>
        <v>8.67</v>
      </c>
      <c r="K1196" s="5" t="str">
        <f t="shared" si="1"/>
        <v>Medium</v>
      </c>
      <c r="L1196" s="11">
        <f t="array" ref="L1196">IFERROR(INDEX(Bookings!$K:$K,MATCH(A1196,Bookings!$A:$A,0)),"")</f>
        <v>64729</v>
      </c>
      <c r="M1196" s="5" t="str">
        <f t="shared" si="2"/>
        <v>High</v>
      </c>
      <c r="N1196" s="5">
        <f t="array" ref="N1196">IFERROR(INDEX(Bookings!$I:$I,MATCH(A1196,Bookings!$A:$A,0)),"")</f>
        <v>26</v>
      </c>
      <c r="O1196" s="5" t="str">
        <f t="shared" si="3"/>
        <v>Moderate</v>
      </c>
      <c r="P1196" s="5" t="str">
        <f t="shared" si="4"/>
        <v>Chennai -&gt; Delhi</v>
      </c>
    </row>
    <row r="1197" ht="15.75" customHeight="1">
      <c r="A1197" s="5" t="s">
        <v>3107</v>
      </c>
      <c r="B1197" s="5" t="s">
        <v>2360</v>
      </c>
      <c r="C1197" s="5" t="s">
        <v>723</v>
      </c>
      <c r="D1197" s="5" t="s">
        <v>20</v>
      </c>
      <c r="E1197" s="6" t="str">
        <f t="array" ref="E1197">IFERROR(INDEX(Airlines!$B:$B,MATCH(D1197,Airlines!$A:$A,0)),"")</f>
        <v>Vistara</v>
      </c>
      <c r="F1197" s="6" t="str">
        <f>VLOOKUP(A1197,Bookings!$A:$F,6,FALSE())</f>
        <v>Business</v>
      </c>
      <c r="G1197" s="6" t="str">
        <f t="array" ref="G1197">IFERROR(INDEX(Flights!$E:$E,MATCH(B1197,Flights!$A:$A,0)),"")</f>
        <v>Chennai</v>
      </c>
      <c r="H1197" s="6" t="str">
        <f>VLOOKUP(B1197,Flights!A:H,6,FALSE())</f>
        <v>Mumbai</v>
      </c>
      <c r="I1197" s="6" t="str">
        <f t="array" ref="I1197">IFERROR(INDEX(Bookings!$G:$G,MATCH(B1197,Bookings!$B:$B,0)),"")</f>
        <v>1</v>
      </c>
      <c r="J1197" s="5">
        <f>VLOOKUP(B1197,Bookings!B:H,7,FALSE())</f>
        <v>28.25</v>
      </c>
      <c r="K1197" s="5" t="str">
        <f t="shared" si="1"/>
        <v>Long</v>
      </c>
      <c r="L1197" s="11">
        <f t="array" ref="L1197">IFERROR(INDEX(Bookings!$K:$K,MATCH(A1197,Bookings!$A:$A,0)),"")</f>
        <v>68145</v>
      </c>
      <c r="M1197" s="5" t="str">
        <f t="shared" si="2"/>
        <v>High</v>
      </c>
      <c r="N1197" s="5">
        <f t="array" ref="N1197">IFERROR(INDEX(Bookings!$I:$I,MATCH(A1197,Bookings!$A:$A,0)),"")</f>
        <v>3</v>
      </c>
      <c r="O1197" s="5" t="str">
        <f t="shared" si="3"/>
        <v>Last Minute</v>
      </c>
      <c r="P1197" s="5" t="str">
        <f t="shared" si="4"/>
        <v>Chennai -&gt; Mumbai</v>
      </c>
    </row>
    <row r="1198" ht="15.75" customHeight="1">
      <c r="A1198" s="5" t="s">
        <v>3108</v>
      </c>
      <c r="B1198" s="5" t="s">
        <v>2503</v>
      </c>
      <c r="C1198" s="5" t="s">
        <v>753</v>
      </c>
      <c r="D1198" s="5" t="s">
        <v>45</v>
      </c>
      <c r="E1198" s="6" t="str">
        <f t="array" ref="E1198">IFERROR(INDEX(Airlines!$B:$B,MATCH(D1198,Airlines!$A:$A,0)),"")</f>
        <v>Air_India</v>
      </c>
      <c r="F1198" s="6" t="str">
        <f>VLOOKUP(A1198,Bookings!$A:$F,6,FALSE())</f>
        <v>Business</v>
      </c>
      <c r="G1198" s="6" t="str">
        <f t="array" ref="G1198">IFERROR(INDEX(Flights!$E:$E,MATCH(B1198,Flights!$A:$A,0)),"")</f>
        <v>Chennai</v>
      </c>
      <c r="H1198" s="6" t="str">
        <f>VLOOKUP(B1198,Flights!A:H,6,FALSE())</f>
        <v>Bengaluru</v>
      </c>
      <c r="I1198" s="6" t="str">
        <f t="array" ref="I1198">IFERROR(INDEX(Bookings!$G:$G,MATCH(B1198,Bookings!$B:$B,0)),"")</f>
        <v>1</v>
      </c>
      <c r="J1198" s="5">
        <f>VLOOKUP(B1198,Bookings!B:H,7,FALSE())</f>
        <v>18</v>
      </c>
      <c r="K1198" s="5" t="str">
        <f t="shared" si="1"/>
        <v>Long</v>
      </c>
      <c r="L1198" s="11">
        <f t="array" ref="L1198">IFERROR(INDEX(Bookings!$K:$K,MATCH(A1198,Bookings!$A:$A,0)),"")</f>
        <v>62891</v>
      </c>
      <c r="M1198" s="5" t="str">
        <f t="shared" si="2"/>
        <v>High</v>
      </c>
      <c r="N1198" s="5">
        <f t="array" ref="N1198">IFERROR(INDEX(Bookings!$I:$I,MATCH(A1198,Bookings!$A:$A,0)),"")</f>
        <v>22</v>
      </c>
      <c r="O1198" s="5" t="str">
        <f t="shared" si="3"/>
        <v>Moderate</v>
      </c>
      <c r="P1198" s="5" t="str">
        <f t="shared" si="4"/>
        <v>Chennai -&gt; Bengaluru</v>
      </c>
    </row>
    <row r="1199" ht="15.75" customHeight="1">
      <c r="A1199" s="5" t="s">
        <v>3110</v>
      </c>
      <c r="B1199" s="5" t="s">
        <v>2415</v>
      </c>
      <c r="C1199" s="5" t="s">
        <v>753</v>
      </c>
      <c r="D1199" s="5" t="s">
        <v>20</v>
      </c>
      <c r="E1199" s="6" t="str">
        <f t="array" ref="E1199">IFERROR(INDEX(Airlines!$B:$B,MATCH(D1199,Airlines!$A:$A,0)),"")</f>
        <v>Vistara</v>
      </c>
      <c r="F1199" s="6" t="str">
        <f>VLOOKUP(A1199,Bookings!$A:$F,6,FALSE())</f>
        <v>Business</v>
      </c>
      <c r="G1199" s="6" t="str">
        <f t="array" ref="G1199">IFERROR(INDEX(Flights!$E:$E,MATCH(B1199,Flights!$A:$A,0)),"")</f>
        <v>Chennai</v>
      </c>
      <c r="H1199" s="6" t="str">
        <f>VLOOKUP(B1199,Flights!A:H,6,FALSE())</f>
        <v>Bengaluru</v>
      </c>
      <c r="I1199" s="6" t="str">
        <f t="array" ref="I1199">IFERROR(INDEX(Bookings!$G:$G,MATCH(B1199,Bookings!$B:$B,0)),"")</f>
        <v>1</v>
      </c>
      <c r="J1199" s="5">
        <f>VLOOKUP(B1199,Bookings!B:H,7,FALSE())</f>
        <v>25.42</v>
      </c>
      <c r="K1199" s="5" t="str">
        <f t="shared" si="1"/>
        <v>Long</v>
      </c>
      <c r="L1199" s="11">
        <f t="array" ref="L1199">IFERROR(INDEX(Bookings!$K:$K,MATCH(A1199,Bookings!$A:$A,0)),"")</f>
        <v>60260</v>
      </c>
      <c r="M1199" s="5" t="str">
        <f t="shared" si="2"/>
        <v>High</v>
      </c>
      <c r="N1199" s="5">
        <f t="array" ref="N1199">IFERROR(INDEX(Bookings!$I:$I,MATCH(A1199,Bookings!$A:$A,0)),"")</f>
        <v>46</v>
      </c>
      <c r="O1199" s="5" t="str">
        <f t="shared" si="3"/>
        <v>Advance</v>
      </c>
      <c r="P1199" s="5" t="str">
        <f t="shared" si="4"/>
        <v>Chennai -&gt; Bengaluru</v>
      </c>
    </row>
    <row r="1200" ht="15.75" customHeight="1">
      <c r="A1200" s="5" t="s">
        <v>3111</v>
      </c>
      <c r="B1200" s="5" t="s">
        <v>2554</v>
      </c>
      <c r="C1200" s="5" t="s">
        <v>771</v>
      </c>
      <c r="D1200" s="5" t="s">
        <v>20</v>
      </c>
      <c r="E1200" s="6" t="str">
        <f t="array" ref="E1200">IFERROR(INDEX(Airlines!$B:$B,MATCH(D1200,Airlines!$A:$A,0)),"")</f>
        <v>Vistara</v>
      </c>
      <c r="F1200" s="6" t="str">
        <f>VLOOKUP(A1200,Bookings!$A:$F,6,FALSE())</f>
        <v>Business</v>
      </c>
      <c r="G1200" s="6" t="str">
        <f t="array" ref="G1200">IFERROR(INDEX(Flights!$E:$E,MATCH(B1200,Flights!$A:$A,0)),"")</f>
        <v>Chennai</v>
      </c>
      <c r="H1200" s="6" t="str">
        <f>VLOOKUP(B1200,Flights!A:H,6,FALSE())</f>
        <v>Kolkata</v>
      </c>
      <c r="I1200" s="6" t="str">
        <f t="array" ref="I1200">IFERROR(INDEX(Bookings!$G:$G,MATCH(B1200,Bookings!$B:$B,0)),"")</f>
        <v>1</v>
      </c>
      <c r="J1200" s="5">
        <f>VLOOKUP(B1200,Bookings!B:H,7,FALSE())</f>
        <v>34</v>
      </c>
      <c r="K1200" s="5" t="str">
        <f t="shared" si="1"/>
        <v>Long</v>
      </c>
      <c r="L1200" s="11">
        <f t="array" ref="L1200">IFERROR(INDEX(Bookings!$K:$K,MATCH(A1200,Bookings!$A:$A,0)),"")</f>
        <v>68963</v>
      </c>
      <c r="M1200" s="5" t="str">
        <f t="shared" si="2"/>
        <v>High</v>
      </c>
      <c r="N1200" s="5">
        <f t="array" ref="N1200">IFERROR(INDEX(Bookings!$I:$I,MATCH(A1200,Bookings!$A:$A,0)),"")</f>
        <v>2</v>
      </c>
      <c r="O1200" s="5" t="str">
        <f t="shared" si="3"/>
        <v>Last Minute</v>
      </c>
      <c r="P1200" s="5" t="str">
        <f t="shared" si="4"/>
        <v>Chennai -&gt; Kolkata</v>
      </c>
    </row>
    <row r="1201" ht="15.75" customHeight="1">
      <c r="A1201" s="5" t="s">
        <v>3112</v>
      </c>
      <c r="B1201" s="5" t="s">
        <v>2767</v>
      </c>
      <c r="C1201" s="5" t="s">
        <v>797</v>
      </c>
      <c r="D1201" s="5" t="s">
        <v>20</v>
      </c>
      <c r="E1201" s="6" t="str">
        <f t="array" ref="E1201">IFERROR(INDEX(Airlines!$B:$B,MATCH(D1201,Airlines!$A:$A,0)),"")</f>
        <v>Vistara</v>
      </c>
      <c r="F1201" s="6" t="str">
        <f>VLOOKUP(A1201,Bookings!$A:$F,6,FALSE())</f>
        <v>Business</v>
      </c>
      <c r="G1201" s="6" t="str">
        <f t="array" ref="G1201">IFERROR(INDEX(Flights!$E:$E,MATCH(B1201,Flights!$A:$A,0)),"")</f>
        <v>Chennai</v>
      </c>
      <c r="H1201" s="6" t="str">
        <f>VLOOKUP(B1201,Flights!A:H,6,FALSE())</f>
        <v>Hyderabad</v>
      </c>
      <c r="I1201" s="6" t="str">
        <f t="array" ref="I1201">IFERROR(INDEX(Bookings!$G:$G,MATCH(B1201,Bookings!$B:$B,0)),"")</f>
        <v>1</v>
      </c>
      <c r="J1201" s="5">
        <f>VLOOKUP(B1201,Bookings!B:H,7,FALSE())</f>
        <v>26.5</v>
      </c>
      <c r="K1201" s="5" t="str">
        <f t="shared" si="1"/>
        <v>Long</v>
      </c>
      <c r="L1201" s="11">
        <f t="array" ref="L1201">IFERROR(INDEX(Bookings!$K:$K,MATCH(A1201,Bookings!$A:$A,0)),"")</f>
        <v>51457</v>
      </c>
      <c r="M1201" s="5" t="str">
        <f t="shared" si="2"/>
        <v>High</v>
      </c>
      <c r="N1201" s="5">
        <f t="array" ref="N1201">IFERROR(INDEX(Bookings!$I:$I,MATCH(A1201,Bookings!$A:$A,0)),"")</f>
        <v>44</v>
      </c>
      <c r="O1201" s="5" t="str">
        <f t="shared" si="3"/>
        <v>Advance</v>
      </c>
      <c r="P1201" s="5" t="str">
        <f t="shared" si="4"/>
        <v>Chennai -&gt; Hyderabad</v>
      </c>
    </row>
  </sheetData>
  <customSheetViews>
    <customSheetView guid="{EE9066A9-E1C7-40D4-8750-FDB0F1CF95E3}" filter="1" showAutoFilter="1">
      <autoFilter ref="$A$1:$P$1201"/>
      <extLst>
        <ext uri="GoogleSheetsCustomDataVersion1">
          <go:sheetsCustomData xmlns:go="http://customooxmlschemas.google.com/" filterViewId="1841423961"/>
        </ext>
      </extLst>
    </customSheetView>
  </customSheetViews>
  <conditionalFormatting sqref="K1:K1201">
    <cfRule type="cellIs" dxfId="19" priority="1" operator="equal">
      <formula>"Long"</formula>
    </cfRule>
  </conditionalFormatting>
  <conditionalFormatting sqref="K1:K1201">
    <cfRule type="cellIs" dxfId="20" priority="2" operator="equal">
      <formula>"Medium"</formula>
    </cfRule>
  </conditionalFormatting>
  <conditionalFormatting sqref="K1:K1201">
    <cfRule type="cellIs" dxfId="21" priority="3" operator="equal">
      <formula>"Short"</formula>
    </cfRule>
  </conditionalFormatting>
  <conditionalFormatting sqref="M1:M1201">
    <cfRule type="cellIs" dxfId="20" priority="4" operator="equal">
      <formula>"Medium"</formula>
    </cfRule>
  </conditionalFormatting>
  <conditionalFormatting sqref="M1:M1201">
    <cfRule type="cellIs" dxfId="21" priority="5" operator="equal">
      <formula>"Low"</formula>
    </cfRule>
  </conditionalFormatting>
  <conditionalFormatting sqref="M1:M1201">
    <cfRule type="cellIs" dxfId="19" priority="6" operator="equal">
      <formula>"High"</formula>
    </cfRule>
  </conditionalFormatting>
  <conditionalFormatting sqref="O1:O1201">
    <cfRule type="cellIs" dxfId="22" priority="7" operator="equal">
      <formula>"Moderate"</formula>
    </cfRule>
  </conditionalFormatting>
  <conditionalFormatting sqref="O1:O1201">
    <cfRule type="cellIs" dxfId="21" priority="8" operator="equal">
      <formula>"Last Minute"</formula>
    </cfRule>
  </conditionalFormatting>
  <conditionalFormatting sqref="O1:O1201">
    <cfRule type="cellIs" dxfId="19" priority="9" operator="equal">
      <formula>"Advance"</formula>
    </cfRule>
  </conditionalFormatting>
  <conditionalFormatting sqref="O1:O1201">
    <cfRule type="containsText" dxfId="23" priority="10" operator="containsText" text="Short Notice">
      <formula>NOT(ISERROR(SEARCH(("Short Notice"),(O1))))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23.29"/>
    <col customWidth="1" min="4" max="4" width="23.0"/>
    <col customWidth="1" min="5" max="5" width="15.14"/>
    <col customWidth="1" min="6" max="6" width="8.71"/>
    <col customWidth="1" min="7" max="7" width="15.29"/>
    <col customWidth="1" min="8" max="8" width="13.29"/>
    <col customWidth="1" min="9" max="9" width="19.43"/>
    <col customWidth="1" min="10" max="10" width="15.57"/>
    <col customWidth="1" min="11" max="11" width="11.71"/>
    <col customWidth="1" min="12" max="26" width="8.71"/>
  </cols>
  <sheetData>
    <row r="1" ht="23.25" customHeight="1">
      <c r="E1" s="14" t="s">
        <v>987</v>
      </c>
    </row>
    <row r="2" ht="23.25" customHeight="1">
      <c r="E2" s="14"/>
    </row>
    <row r="3" ht="18.75" customHeight="1">
      <c r="C3" s="15" t="s">
        <v>989</v>
      </c>
      <c r="G3" s="16" t="s">
        <v>991</v>
      </c>
    </row>
    <row r="5">
      <c r="B5" s="17" t="s">
        <v>993</v>
      </c>
      <c r="C5" s="17" t="s">
        <v>995</v>
      </c>
      <c r="D5" s="17" t="s">
        <v>996</v>
      </c>
      <c r="E5" s="17" t="s">
        <v>997</v>
      </c>
      <c r="G5" s="17" t="s">
        <v>993</v>
      </c>
      <c r="H5" s="17" t="s">
        <v>998</v>
      </c>
      <c r="I5" s="17" t="s">
        <v>36</v>
      </c>
      <c r="J5" s="17" t="s">
        <v>38</v>
      </c>
    </row>
    <row r="6">
      <c r="B6" s="18" t="s">
        <v>49</v>
      </c>
      <c r="C6" s="19">
        <v>314.0</v>
      </c>
      <c r="D6" s="19">
        <v>107.0</v>
      </c>
      <c r="E6" s="19">
        <v>421.0</v>
      </c>
      <c r="G6" s="18" t="s">
        <v>49</v>
      </c>
      <c r="H6" s="19">
        <v>18373.6793349169</v>
      </c>
      <c r="I6" s="19">
        <v>1526.0</v>
      </c>
      <c r="J6" s="19">
        <v>75382.0</v>
      </c>
    </row>
    <row r="7">
      <c r="B7" s="18" t="s">
        <v>32</v>
      </c>
      <c r="C7" s="19">
        <v>61.0</v>
      </c>
      <c r="D7" s="19">
        <v>0.0</v>
      </c>
      <c r="E7" s="19">
        <v>61.0</v>
      </c>
      <c r="G7" s="18" t="s">
        <v>32</v>
      </c>
      <c r="H7" s="19">
        <v>3930.52459016394</v>
      </c>
      <c r="I7" s="19">
        <v>1443.0</v>
      </c>
      <c r="J7" s="19">
        <v>7484.0</v>
      </c>
    </row>
    <row r="8">
      <c r="B8" s="18" t="s">
        <v>59</v>
      </c>
      <c r="C8" s="19">
        <v>109.0</v>
      </c>
      <c r="D8" s="19">
        <v>0.0</v>
      </c>
      <c r="E8" s="19">
        <v>109.0</v>
      </c>
      <c r="G8" s="18" t="s">
        <v>59</v>
      </c>
      <c r="H8" s="19">
        <v>6339.71559633028</v>
      </c>
      <c r="I8" s="19">
        <v>2124.0</v>
      </c>
      <c r="J8" s="19">
        <v>31773.0</v>
      </c>
    </row>
    <row r="9">
      <c r="B9" s="18" t="s">
        <v>68</v>
      </c>
      <c r="C9" s="19">
        <v>225.0</v>
      </c>
      <c r="D9" s="19">
        <v>0.0</v>
      </c>
      <c r="E9" s="19">
        <v>225.0</v>
      </c>
      <c r="G9" s="18" t="s">
        <v>68</v>
      </c>
      <c r="H9" s="19">
        <v>5847.97777777778</v>
      </c>
      <c r="I9" s="19">
        <v>1105.0</v>
      </c>
      <c r="J9" s="19">
        <v>24561.0</v>
      </c>
    </row>
    <row r="10">
      <c r="B10" s="18" t="s">
        <v>73</v>
      </c>
      <c r="C10" s="19">
        <v>46.0</v>
      </c>
      <c r="D10" s="19">
        <v>0.0</v>
      </c>
      <c r="E10" s="19">
        <v>46.0</v>
      </c>
      <c r="G10" s="18" t="s">
        <v>73</v>
      </c>
      <c r="H10" s="19">
        <v>6134.97826086957</v>
      </c>
      <c r="I10" s="19">
        <v>1566.0</v>
      </c>
      <c r="J10" s="19">
        <v>27769.0</v>
      </c>
    </row>
    <row r="11">
      <c r="B11" s="18" t="s">
        <v>52</v>
      </c>
      <c r="C11" s="19">
        <v>222.0</v>
      </c>
      <c r="D11" s="19">
        <v>116.0</v>
      </c>
      <c r="E11" s="19">
        <v>338.0</v>
      </c>
      <c r="G11" s="18" t="s">
        <v>52</v>
      </c>
      <c r="H11" s="19">
        <v>25590.5177514793</v>
      </c>
      <c r="I11" s="19">
        <v>1776.0</v>
      </c>
      <c r="J11" s="19">
        <v>110936.0</v>
      </c>
    </row>
    <row r="12">
      <c r="B12" s="20" t="s">
        <v>1007</v>
      </c>
      <c r="C12" s="21">
        <v>977.0</v>
      </c>
      <c r="D12" s="21">
        <v>223.0</v>
      </c>
      <c r="E12" s="21">
        <v>1200.0</v>
      </c>
      <c r="G12" s="20" t="s">
        <v>1007</v>
      </c>
      <c r="H12" s="21">
        <v>11036.2322185896</v>
      </c>
      <c r="I12" s="21">
        <v>1105.0</v>
      </c>
      <c r="J12" s="21">
        <v>110936.0</v>
      </c>
    </row>
    <row r="15" ht="18.75" customHeight="1">
      <c r="C15" s="16" t="s">
        <v>1008</v>
      </c>
      <c r="H15" s="16" t="s">
        <v>1009</v>
      </c>
    </row>
    <row r="16" ht="18.75" customHeight="1">
      <c r="C16" s="16"/>
    </row>
    <row r="17">
      <c r="B17" s="17" t="s">
        <v>993</v>
      </c>
      <c r="C17" s="17" t="s">
        <v>1011</v>
      </c>
      <c r="D17" s="17" t="s">
        <v>1012</v>
      </c>
      <c r="E17" s="17" t="s">
        <v>1013</v>
      </c>
      <c r="G17" s="17" t="s">
        <v>993</v>
      </c>
      <c r="H17" s="17" t="s">
        <v>1013</v>
      </c>
      <c r="I17" s="17" t="s">
        <v>1012</v>
      </c>
    </row>
    <row r="18">
      <c r="B18" s="18" t="s">
        <v>1015</v>
      </c>
      <c r="C18" s="19">
        <v>18.53525</v>
      </c>
      <c r="D18" s="19">
        <v>14582.425</v>
      </c>
      <c r="E18" s="19">
        <v>40.0</v>
      </c>
      <c r="G18" s="18" t="s">
        <v>1017</v>
      </c>
      <c r="H18" s="19">
        <v>602.0</v>
      </c>
      <c r="I18" s="19">
        <v>13951.6827242525</v>
      </c>
    </row>
    <row r="19">
      <c r="B19" s="18" t="s">
        <v>1018</v>
      </c>
      <c r="C19" s="19">
        <v>11.719</v>
      </c>
      <c r="D19" s="19">
        <v>11995.55</v>
      </c>
      <c r="E19" s="19">
        <v>40.0</v>
      </c>
      <c r="G19" s="18" t="s">
        <v>1020</v>
      </c>
      <c r="H19" s="19">
        <v>313.0</v>
      </c>
      <c r="I19" s="19">
        <v>20829.3067092652</v>
      </c>
    </row>
    <row r="20">
      <c r="B20" s="18" t="s">
        <v>1021</v>
      </c>
      <c r="C20" s="19">
        <v>15.93575</v>
      </c>
      <c r="D20" s="19">
        <v>16989.55</v>
      </c>
      <c r="E20" s="19">
        <v>40.0</v>
      </c>
      <c r="G20" s="18" t="s">
        <v>1022</v>
      </c>
      <c r="H20" s="19">
        <v>165.0</v>
      </c>
      <c r="I20" s="19">
        <v>12276.5757575758</v>
      </c>
    </row>
    <row r="21" ht="15.75" customHeight="1">
      <c r="B21" s="18" t="s">
        <v>1023</v>
      </c>
      <c r="C21" s="19">
        <v>13.79175</v>
      </c>
      <c r="D21" s="19">
        <v>16061.4</v>
      </c>
      <c r="E21" s="19">
        <v>40.0</v>
      </c>
      <c r="G21" s="18" t="s">
        <v>1024</v>
      </c>
      <c r="H21" s="19">
        <v>120.0</v>
      </c>
      <c r="I21" s="19">
        <v>16413.2333333333</v>
      </c>
    </row>
    <row r="22" ht="15.75" customHeight="1">
      <c r="B22" s="18" t="s">
        <v>1025</v>
      </c>
      <c r="C22" s="19">
        <v>13.833</v>
      </c>
      <c r="D22" s="19">
        <v>19002.775</v>
      </c>
      <c r="E22" s="19">
        <v>40.0</v>
      </c>
      <c r="G22" s="20" t="s">
        <v>1007</v>
      </c>
      <c r="H22" s="21">
        <v>1200.0</v>
      </c>
      <c r="I22" s="21">
        <v>15761.4241666667</v>
      </c>
    </row>
    <row r="23" ht="15.75" customHeight="1">
      <c r="B23" s="18" t="s">
        <v>1026</v>
      </c>
      <c r="C23" s="19">
        <v>16.285</v>
      </c>
      <c r="D23" s="19">
        <v>18646.675</v>
      </c>
      <c r="E23" s="19">
        <v>40.0</v>
      </c>
    </row>
    <row r="24" ht="15.75" customHeight="1">
      <c r="B24" s="18" t="s">
        <v>1028</v>
      </c>
      <c r="C24" s="19">
        <v>15.34225</v>
      </c>
      <c r="D24" s="19">
        <v>20347.425</v>
      </c>
      <c r="E24" s="19">
        <v>40.0</v>
      </c>
    </row>
    <row r="25" ht="18.75" customHeight="1">
      <c r="B25" s="18" t="s">
        <v>1030</v>
      </c>
      <c r="C25" s="19">
        <v>13.09225</v>
      </c>
      <c r="D25" s="19">
        <v>13911.7</v>
      </c>
      <c r="E25" s="19">
        <v>40.0</v>
      </c>
      <c r="H25" s="16" t="s">
        <v>1031</v>
      </c>
    </row>
    <row r="26" ht="15.75" customHeight="1">
      <c r="B26" s="18" t="s">
        <v>1032</v>
      </c>
      <c r="C26" s="19">
        <v>16.3835</v>
      </c>
      <c r="D26" s="19">
        <v>15552.85</v>
      </c>
      <c r="E26" s="19">
        <v>40.0</v>
      </c>
    </row>
    <row r="27" ht="15.75" customHeight="1">
      <c r="B27" s="18" t="s">
        <v>1033</v>
      </c>
      <c r="C27" s="19">
        <v>16.2855</v>
      </c>
      <c r="D27" s="19">
        <v>17543.25</v>
      </c>
      <c r="E27" s="19">
        <v>40.0</v>
      </c>
      <c r="G27" s="17" t="s">
        <v>993</v>
      </c>
      <c r="H27" s="17" t="s">
        <v>1013</v>
      </c>
      <c r="I27" s="17" t="s">
        <v>1012</v>
      </c>
      <c r="J27" s="17" t="s">
        <v>1034</v>
      </c>
      <c r="K27" s="22" t="s">
        <v>1035</v>
      </c>
    </row>
    <row r="28" ht="15.75" customHeight="1">
      <c r="B28" s="18" t="s">
        <v>1036</v>
      </c>
      <c r="C28" s="19">
        <v>11.6415</v>
      </c>
      <c r="D28" s="19">
        <v>13093.1</v>
      </c>
      <c r="E28" s="19">
        <v>40.0</v>
      </c>
      <c r="G28" s="18" t="s">
        <v>53</v>
      </c>
      <c r="H28" s="19">
        <v>223.0</v>
      </c>
      <c r="I28" s="19">
        <v>49772.1569506726</v>
      </c>
      <c r="J28" s="19">
        <v>7336.0</v>
      </c>
      <c r="K28" s="22">
        <v>110936.0</v>
      </c>
    </row>
    <row r="29" ht="15.75" customHeight="1">
      <c r="B29" s="18" t="s">
        <v>1039</v>
      </c>
      <c r="C29" s="19">
        <v>15.8045</v>
      </c>
      <c r="D29" s="19">
        <v>19602.975</v>
      </c>
      <c r="E29" s="19">
        <v>40.0</v>
      </c>
      <c r="G29" s="18" t="s">
        <v>34</v>
      </c>
      <c r="H29" s="19">
        <v>977.0</v>
      </c>
      <c r="I29" s="19">
        <v>7998.48311156602</v>
      </c>
      <c r="J29" s="19">
        <v>1105.0</v>
      </c>
      <c r="K29" s="22">
        <v>33813.0</v>
      </c>
    </row>
    <row r="30" ht="15.75" customHeight="1">
      <c r="B30" s="18" t="s">
        <v>1041</v>
      </c>
      <c r="C30" s="19">
        <v>12.65425</v>
      </c>
      <c r="D30" s="19">
        <v>12376.25</v>
      </c>
      <c r="E30" s="19">
        <v>40.0</v>
      </c>
      <c r="G30" s="20" t="s">
        <v>1007</v>
      </c>
      <c r="H30" s="21">
        <v>1200.0</v>
      </c>
      <c r="I30" s="21">
        <v>15761.4241666667</v>
      </c>
      <c r="J30" s="21">
        <v>1105.0</v>
      </c>
      <c r="K30" s="22">
        <v>110936.0</v>
      </c>
    </row>
    <row r="31" ht="15.75" customHeight="1">
      <c r="B31" s="18" t="s">
        <v>1043</v>
      </c>
      <c r="C31" s="19">
        <v>14.379</v>
      </c>
      <c r="D31" s="19">
        <v>13356.975</v>
      </c>
      <c r="E31" s="19">
        <v>40.0</v>
      </c>
    </row>
    <row r="32" ht="15.75" customHeight="1">
      <c r="B32" s="18" t="s">
        <v>1044</v>
      </c>
      <c r="C32" s="19">
        <v>10.9085</v>
      </c>
      <c r="D32" s="19">
        <v>15969.15</v>
      </c>
      <c r="E32" s="19">
        <v>40.0</v>
      </c>
    </row>
    <row r="33" ht="15.75" customHeight="1">
      <c r="B33" s="18" t="s">
        <v>1045</v>
      </c>
      <c r="C33" s="19">
        <v>13.367</v>
      </c>
      <c r="D33" s="19">
        <v>13713.85</v>
      </c>
      <c r="E33" s="19">
        <v>40.0</v>
      </c>
    </row>
    <row r="34" ht="15.75" customHeight="1">
      <c r="B34" s="18" t="s">
        <v>1046</v>
      </c>
      <c r="C34" s="19">
        <v>12.5145</v>
      </c>
      <c r="D34" s="19">
        <v>13727.85</v>
      </c>
      <c r="E34" s="19">
        <v>40.0</v>
      </c>
    </row>
    <row r="35" ht="15.75" customHeight="1">
      <c r="B35" s="18" t="s">
        <v>1047</v>
      </c>
      <c r="C35" s="19">
        <v>13.10825</v>
      </c>
      <c r="D35" s="19">
        <v>16088.125</v>
      </c>
      <c r="E35" s="19">
        <v>40.0</v>
      </c>
    </row>
    <row r="36" ht="15.75" customHeight="1">
      <c r="B36" s="18" t="s">
        <v>1048</v>
      </c>
      <c r="C36" s="19">
        <v>16.3605</v>
      </c>
      <c r="D36" s="19">
        <v>17361.975</v>
      </c>
      <c r="E36" s="19">
        <v>40.0</v>
      </c>
    </row>
    <row r="37" ht="15.75" customHeight="1">
      <c r="B37" s="18" t="s">
        <v>1050</v>
      </c>
      <c r="C37" s="19">
        <v>14.707</v>
      </c>
      <c r="D37" s="19">
        <v>16356.95</v>
      </c>
      <c r="E37" s="19">
        <v>40.0</v>
      </c>
    </row>
    <row r="38" ht="15.75" customHeight="1">
      <c r="B38" s="18" t="s">
        <v>1052</v>
      </c>
      <c r="C38" s="19">
        <v>13.96075</v>
      </c>
      <c r="D38" s="19">
        <v>12438.45</v>
      </c>
      <c r="E38" s="19">
        <v>40.0</v>
      </c>
    </row>
    <row r="39" ht="15.75" customHeight="1">
      <c r="B39" s="18" t="s">
        <v>1054</v>
      </c>
      <c r="C39" s="19">
        <v>14.34825</v>
      </c>
      <c r="D39" s="19">
        <v>12966.7</v>
      </c>
      <c r="E39" s="19">
        <v>40.0</v>
      </c>
    </row>
    <row r="40" ht="15.75" customHeight="1">
      <c r="B40" s="18" t="s">
        <v>1055</v>
      </c>
      <c r="C40" s="19">
        <v>14.75825</v>
      </c>
      <c r="D40" s="19">
        <v>18093.675</v>
      </c>
      <c r="E40" s="19">
        <v>40.0</v>
      </c>
    </row>
    <row r="41" ht="15.75" customHeight="1">
      <c r="B41" s="18" t="s">
        <v>1056</v>
      </c>
      <c r="C41" s="19">
        <v>16.233</v>
      </c>
      <c r="D41" s="19">
        <v>14967.15</v>
      </c>
      <c r="E41" s="19">
        <v>40.0</v>
      </c>
    </row>
    <row r="42" ht="15.75" customHeight="1">
      <c r="B42" s="18" t="s">
        <v>1057</v>
      </c>
      <c r="C42" s="19">
        <v>16.566</v>
      </c>
      <c r="D42" s="19">
        <v>19956.725</v>
      </c>
      <c r="E42" s="19">
        <v>40.0</v>
      </c>
    </row>
    <row r="43" ht="15.75" customHeight="1">
      <c r="B43" s="18" t="s">
        <v>1058</v>
      </c>
      <c r="C43" s="19">
        <v>13.406</v>
      </c>
      <c r="D43" s="19">
        <v>12374.875</v>
      </c>
      <c r="E43" s="19">
        <v>40.0</v>
      </c>
    </row>
    <row r="44" ht="15.75" customHeight="1">
      <c r="B44" s="18" t="s">
        <v>1059</v>
      </c>
      <c r="C44" s="19">
        <v>15.9765</v>
      </c>
      <c r="D44" s="19">
        <v>17122.75</v>
      </c>
      <c r="E44" s="19">
        <v>40.0</v>
      </c>
    </row>
    <row r="45" ht="15.75" customHeight="1">
      <c r="B45" s="18" t="s">
        <v>1060</v>
      </c>
      <c r="C45" s="19">
        <v>10.546</v>
      </c>
      <c r="D45" s="19">
        <v>14808.775</v>
      </c>
      <c r="E45" s="19">
        <v>40.0</v>
      </c>
    </row>
    <row r="46" ht="15.75" customHeight="1">
      <c r="B46" s="18" t="s">
        <v>1061</v>
      </c>
      <c r="C46" s="19">
        <v>16.1605</v>
      </c>
      <c r="D46" s="19">
        <v>21092.8</v>
      </c>
      <c r="E46" s="19">
        <v>40.0</v>
      </c>
    </row>
    <row r="47" ht="15.75" customHeight="1">
      <c r="B47" s="18" t="s">
        <v>1062</v>
      </c>
      <c r="C47" s="19">
        <v>14.77875</v>
      </c>
      <c r="D47" s="19">
        <v>12740.025</v>
      </c>
      <c r="E47" s="19">
        <v>40.0</v>
      </c>
    </row>
    <row r="48" ht="15.75" customHeight="1">
      <c r="B48" s="20" t="s">
        <v>1007</v>
      </c>
      <c r="C48" s="21">
        <v>14.446075</v>
      </c>
      <c r="D48" s="21">
        <v>15761.4241666667</v>
      </c>
      <c r="E48" s="21">
        <v>1200.0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6.71"/>
    <col customWidth="1" min="3" max="3" width="18.71"/>
    <col customWidth="1" min="4" max="4" width="13.0"/>
    <col customWidth="1" min="5" max="5" width="18.71"/>
    <col customWidth="1" min="6" max="6" width="14.0"/>
    <col customWidth="1" min="7" max="7" width="18.71"/>
    <col customWidth="1" min="8" max="8" width="12.57"/>
    <col customWidth="1" min="9" max="9" width="20.43"/>
    <col customWidth="1" min="10" max="10" width="16.0"/>
    <col customWidth="1" min="11" max="26" width="8.71"/>
  </cols>
  <sheetData>
    <row r="1" ht="30.0" customHeight="1">
      <c r="D1" s="23" t="s">
        <v>1115</v>
      </c>
      <c r="E1" s="10"/>
      <c r="F1" s="10"/>
      <c r="G1" s="10"/>
    </row>
    <row r="2" ht="19.5" customHeight="1">
      <c r="A2" s="24" t="s">
        <v>18</v>
      </c>
      <c r="B2" s="25"/>
      <c r="C2" s="26" t="s">
        <v>25</v>
      </c>
      <c r="D2" s="26"/>
      <c r="E2" s="27" t="s">
        <v>30</v>
      </c>
      <c r="F2" s="27"/>
      <c r="G2" s="28" t="s">
        <v>36</v>
      </c>
      <c r="H2" s="28"/>
      <c r="I2" s="29" t="s">
        <v>38</v>
      </c>
      <c r="J2" s="29"/>
    </row>
    <row r="3" ht="19.5" customHeight="1">
      <c r="A3" s="30"/>
      <c r="B3" s="31"/>
      <c r="C3" s="32"/>
      <c r="D3" s="32"/>
      <c r="E3" s="33"/>
      <c r="F3" s="33"/>
      <c r="G3" s="34"/>
      <c r="H3" s="34"/>
      <c r="I3" s="35"/>
      <c r="J3" s="35"/>
    </row>
    <row r="4" ht="19.5" customHeight="1">
      <c r="A4" s="36" t="s">
        <v>1126</v>
      </c>
      <c r="B4" s="31">
        <v>200.0</v>
      </c>
      <c r="C4" s="37" t="s">
        <v>1126</v>
      </c>
      <c r="D4" s="32">
        <v>27.5</v>
      </c>
      <c r="E4" s="38" t="s">
        <v>1126</v>
      </c>
      <c r="F4" s="33">
        <v>11036.2322185896</v>
      </c>
      <c r="G4" s="39" t="s">
        <v>1126</v>
      </c>
      <c r="H4" s="34">
        <v>1590.0</v>
      </c>
      <c r="I4" s="40" t="s">
        <v>1126</v>
      </c>
      <c r="J4" s="35">
        <v>46317.5</v>
      </c>
    </row>
    <row r="5" ht="19.5" customHeight="1">
      <c r="A5" s="36" t="s">
        <v>1129</v>
      </c>
      <c r="B5" s="31">
        <v>63.200210970112</v>
      </c>
      <c r="C5" s="37" t="s">
        <v>1129</v>
      </c>
      <c r="D5" s="32">
        <v>1.31021626713557</v>
      </c>
      <c r="E5" s="38" t="s">
        <v>1129</v>
      </c>
      <c r="F5" s="33">
        <v>3601.63842967001</v>
      </c>
      <c r="G5" s="39" t="s">
        <v>1129</v>
      </c>
      <c r="H5" s="34">
        <v>139.195066962399</v>
      </c>
      <c r="I5" s="40" t="s">
        <v>1129</v>
      </c>
      <c r="J5" s="35">
        <v>15871.6424790673</v>
      </c>
    </row>
    <row r="6" ht="19.5" customHeight="1">
      <c r="A6" s="36" t="s">
        <v>1131</v>
      </c>
      <c r="B6" s="31">
        <v>167.0</v>
      </c>
      <c r="C6" s="37" t="s">
        <v>1131</v>
      </c>
      <c r="D6" s="32">
        <v>28.5</v>
      </c>
      <c r="E6" s="38" t="s">
        <v>1131</v>
      </c>
      <c r="F6" s="33">
        <v>6237.34692859992</v>
      </c>
      <c r="G6" s="39" t="s">
        <v>1131</v>
      </c>
      <c r="H6" s="34">
        <v>1546.0</v>
      </c>
      <c r="I6" s="40" t="s">
        <v>1131</v>
      </c>
      <c r="J6" s="35">
        <v>29771.0</v>
      </c>
    </row>
    <row r="7" ht="19.5" customHeight="1">
      <c r="A7" s="36" t="s">
        <v>1132</v>
      </c>
      <c r="B7" s="31" t="str">
        <f>#N/A</f>
        <v>#N/A</v>
      </c>
      <c r="C7" s="37" t="s">
        <v>1132</v>
      </c>
      <c r="D7" s="32">
        <v>30.0</v>
      </c>
      <c r="E7" s="38" t="s">
        <v>1132</v>
      </c>
      <c r="F7" s="33" t="str">
        <f>#N/A</f>
        <v>#N/A</v>
      </c>
      <c r="G7" s="39" t="s">
        <v>1132</v>
      </c>
      <c r="H7" s="34" t="str">
        <f>#N/A</f>
        <v>#N/A</v>
      </c>
      <c r="I7" s="40" t="s">
        <v>1132</v>
      </c>
      <c r="J7" s="35" t="str">
        <f>#N/A</f>
        <v>#N/A</v>
      </c>
    </row>
    <row r="8" ht="19.5" customHeight="1">
      <c r="A8" s="36" t="s">
        <v>1138</v>
      </c>
      <c r="B8" s="31">
        <v>154.808268513022</v>
      </c>
      <c r="C8" s="37" t="s">
        <v>1138</v>
      </c>
      <c r="D8" s="32">
        <v>3.20936130717624</v>
      </c>
      <c r="E8" s="38" t="s">
        <v>1138</v>
      </c>
      <c r="F8" s="33">
        <v>8822.17639069041</v>
      </c>
      <c r="G8" s="39" t="s">
        <v>1138</v>
      </c>
      <c r="H8" s="34">
        <v>340.956888770413</v>
      </c>
      <c r="I8" s="40" t="s">
        <v>1138</v>
      </c>
      <c r="J8" s="35">
        <v>38877.4254535971</v>
      </c>
    </row>
    <row r="9" ht="19.5" customHeight="1">
      <c r="A9" s="36" t="s">
        <v>1140</v>
      </c>
      <c r="B9" s="31">
        <v>23965.6</v>
      </c>
      <c r="C9" s="37" t="s">
        <v>1140</v>
      </c>
      <c r="D9" s="32">
        <v>10.3</v>
      </c>
      <c r="E9" s="38" t="s">
        <v>1140</v>
      </c>
      <c r="F9" s="33">
        <v>7.78307962684552E7</v>
      </c>
      <c r="G9" s="39" t="s">
        <v>1140</v>
      </c>
      <c r="H9" s="34">
        <v>116251.6</v>
      </c>
      <c r="I9" s="40" t="s">
        <v>1140</v>
      </c>
      <c r="J9" s="35">
        <v>1.5114542099E9</v>
      </c>
    </row>
    <row r="10" ht="19.5" customHeight="1">
      <c r="A10" s="36" t="s">
        <v>1142</v>
      </c>
      <c r="B10" s="31">
        <v>-1.67616379192368</v>
      </c>
      <c r="C10" s="37" t="s">
        <v>1142</v>
      </c>
      <c r="D10" s="32">
        <v>0.594778018663398</v>
      </c>
      <c r="E10" s="38" t="s">
        <v>1142</v>
      </c>
      <c r="F10" s="33">
        <v>-0.228706149790224</v>
      </c>
      <c r="G10" s="39" t="s">
        <v>1142</v>
      </c>
      <c r="H10" s="34">
        <v>0.914782234629064</v>
      </c>
      <c r="I10" s="40" t="s">
        <v>1142</v>
      </c>
      <c r="J10" s="35">
        <v>0.126521682544212</v>
      </c>
    </row>
    <row r="11" ht="19.5" customHeight="1">
      <c r="A11" s="36" t="s">
        <v>1143</v>
      </c>
      <c r="B11" s="31">
        <v>0.513151945942227</v>
      </c>
      <c r="C11" s="37" t="s">
        <v>1143</v>
      </c>
      <c r="D11" s="32">
        <v>-1.11627327961922</v>
      </c>
      <c r="E11" s="38" t="s">
        <v>1143</v>
      </c>
      <c r="F11" s="33">
        <v>1.20511905751773</v>
      </c>
      <c r="G11" s="39" t="s">
        <v>1143</v>
      </c>
      <c r="H11" s="34">
        <v>0.311616180731537</v>
      </c>
      <c r="I11" s="40" t="s">
        <v>1143</v>
      </c>
      <c r="J11" s="35">
        <v>1.10302287739277</v>
      </c>
    </row>
    <row r="12" ht="19.5" customHeight="1">
      <c r="A12" s="36" t="s">
        <v>1144</v>
      </c>
      <c r="B12" s="31">
        <v>375.0</v>
      </c>
      <c r="C12" s="37" t="s">
        <v>1144</v>
      </c>
      <c r="D12" s="32">
        <v>8.0</v>
      </c>
      <c r="E12" s="38" t="s">
        <v>1144</v>
      </c>
      <c r="F12" s="33">
        <v>21659.9931613154</v>
      </c>
      <c r="G12" s="39" t="s">
        <v>1144</v>
      </c>
      <c r="H12" s="34">
        <v>1019.0</v>
      </c>
      <c r="I12" s="40" t="s">
        <v>1144</v>
      </c>
      <c r="J12" s="35">
        <v>103452.0</v>
      </c>
    </row>
    <row r="13" ht="19.5" customHeight="1">
      <c r="A13" s="36" t="s">
        <v>1147</v>
      </c>
      <c r="B13" s="31">
        <v>46.0</v>
      </c>
      <c r="C13" s="37" t="s">
        <v>1147</v>
      </c>
      <c r="D13" s="32">
        <v>22.0</v>
      </c>
      <c r="E13" s="38" t="s">
        <v>1147</v>
      </c>
      <c r="F13" s="33">
        <v>3930.52459016394</v>
      </c>
      <c r="G13" s="39" t="s">
        <v>1147</v>
      </c>
      <c r="H13" s="34">
        <v>1105.0</v>
      </c>
      <c r="I13" s="40" t="s">
        <v>1147</v>
      </c>
      <c r="J13" s="35">
        <v>7484.0</v>
      </c>
    </row>
    <row r="14" ht="19.5" customHeight="1">
      <c r="A14" s="36" t="s">
        <v>1149</v>
      </c>
      <c r="B14" s="31">
        <v>421.0</v>
      </c>
      <c r="C14" s="37" t="s">
        <v>1149</v>
      </c>
      <c r="D14" s="32">
        <v>30.0</v>
      </c>
      <c r="E14" s="38" t="s">
        <v>1149</v>
      </c>
      <c r="F14" s="33">
        <v>25590.5177514793</v>
      </c>
      <c r="G14" s="39" t="s">
        <v>1149</v>
      </c>
      <c r="H14" s="34">
        <v>2124.0</v>
      </c>
      <c r="I14" s="40" t="s">
        <v>1149</v>
      </c>
      <c r="J14" s="35">
        <v>110936.0</v>
      </c>
    </row>
    <row r="15" ht="19.5" customHeight="1">
      <c r="A15" s="36" t="s">
        <v>1150</v>
      </c>
      <c r="B15" s="31">
        <v>1200.0</v>
      </c>
      <c r="C15" s="37" t="s">
        <v>1150</v>
      </c>
      <c r="D15" s="32">
        <v>165.0</v>
      </c>
      <c r="E15" s="38" t="s">
        <v>1150</v>
      </c>
      <c r="F15" s="33">
        <v>66217.3933115377</v>
      </c>
      <c r="G15" s="39" t="s">
        <v>1150</v>
      </c>
      <c r="H15" s="34">
        <v>9540.0</v>
      </c>
      <c r="I15" s="40" t="s">
        <v>1150</v>
      </c>
      <c r="J15" s="35">
        <v>277905.0</v>
      </c>
    </row>
    <row r="16" ht="19.5" customHeight="1">
      <c r="A16" s="41" t="s">
        <v>1151</v>
      </c>
      <c r="B16" s="42">
        <v>6.0</v>
      </c>
      <c r="C16" s="37" t="s">
        <v>1151</v>
      </c>
      <c r="D16" s="32">
        <v>6.0</v>
      </c>
      <c r="E16" s="38" t="s">
        <v>1151</v>
      </c>
      <c r="F16" s="33">
        <v>6.0</v>
      </c>
      <c r="G16" s="39" t="s">
        <v>1151</v>
      </c>
      <c r="H16" s="34">
        <v>6.0</v>
      </c>
      <c r="I16" s="40" t="s">
        <v>1151</v>
      </c>
      <c r="J16" s="35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2026-08-23T16:15:14Z</dcterms:created>
  <dc:creator>Sharnitha Raj</dc:creator>
</cp:coreProperties>
</file>